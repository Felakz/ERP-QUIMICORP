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7D84208-17EE-49A7-A943-7AAEA61C578A}" xr6:coauthVersionLast="47" xr6:coauthVersionMax="47" xr10:uidLastSave="{00000000-0000-0000-0000-000000000000}"/>
  <bookViews>
    <workbookView xWindow="-30828" yWindow="-108" windowWidth="30936" windowHeight="16776" activeTab="1" xr2:uid="{7BD5B38C-C2CE-4D2D-932C-B8BCD105FA2A}"/>
  </bookViews>
  <sheets>
    <sheet name="OC" sheetId="1" r:id="rId1"/>
    <sheet name="DATA PROVEEDOR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G17" i="1"/>
  <c r="G16" i="1"/>
  <c r="G15" i="1"/>
  <c r="G14" i="1"/>
  <c r="D18" i="1"/>
  <c r="D17" i="1"/>
  <c r="D16" i="1"/>
  <c r="D15" i="1"/>
  <c r="D14" i="1"/>
  <c r="G13" i="1"/>
  <c r="H37" i="1" l="1"/>
  <c r="H38" i="1" s="1"/>
</calcChain>
</file>

<file path=xl/sharedStrings.xml><?xml version="1.0" encoding="utf-8"?>
<sst xmlns="http://schemas.openxmlformats.org/spreadsheetml/2006/main" count="176" uniqueCount="153">
  <si>
    <t>Fecha</t>
  </si>
  <si>
    <t>RUC</t>
  </si>
  <si>
    <t>Contacto</t>
  </si>
  <si>
    <t>Teléfono</t>
  </si>
  <si>
    <t>Correo</t>
  </si>
  <si>
    <t>Cantidad</t>
  </si>
  <si>
    <t>Precio Unitario</t>
  </si>
  <si>
    <t>Subtotal</t>
  </si>
  <si>
    <t>IGV</t>
  </si>
  <si>
    <t>Total</t>
  </si>
  <si>
    <t>Observaciones:</t>
  </si>
  <si>
    <t>DATOS DEL PROVEEDOR</t>
  </si>
  <si>
    <t>Proveedor</t>
  </si>
  <si>
    <t>Dirección</t>
  </si>
  <si>
    <t>DATOS DE LA COMPRA</t>
  </si>
  <si>
    <t>Fecha de emisión</t>
  </si>
  <si>
    <t>Fecha requerida</t>
  </si>
  <si>
    <t>Centro de costo</t>
  </si>
  <si>
    <t>Solicitado por</t>
  </si>
  <si>
    <t>Autorizado por</t>
  </si>
  <si>
    <t>Lugar de entrega</t>
  </si>
  <si>
    <t>DETALLE</t>
  </si>
  <si>
    <t>Ítem</t>
  </si>
  <si>
    <t>Descripción</t>
  </si>
  <si>
    <t>Unidad</t>
  </si>
  <si>
    <t>TOTAL</t>
  </si>
  <si>
    <t>CONDICIONES</t>
  </si>
  <si>
    <t>Forma de pago</t>
  </si>
  <si>
    <t>Plazo de entrega</t>
  </si>
  <si>
    <t>RECEPCIÓN</t>
  </si>
  <si>
    <t>Recibido por</t>
  </si>
  <si>
    <t>Conforme</t>
  </si>
  <si>
    <t>ORDEN DE COMPRA N° OC-2026-07-0001</t>
  </si>
  <si>
    <t>Versión 01</t>
  </si>
  <si>
    <t>N.º OC-2026-07-0001</t>
  </si>
  <si>
    <t>DIRECCION</t>
  </si>
  <si>
    <t>CONTACTO</t>
  </si>
  <si>
    <t>TELEFONO</t>
  </si>
  <si>
    <t>Moneda</t>
  </si>
  <si>
    <t>___________________________</t>
  </si>
  <si>
    <t>Banco</t>
  </si>
  <si>
    <t>Cta Corriente</t>
  </si>
  <si>
    <t>CCI</t>
  </si>
  <si>
    <t>Cta Detrac. BN</t>
  </si>
  <si>
    <t>OBLIGATORIO: CONSIGNAR EL NUMERO DE ORDEN EN LA FACTURA Y GUIA DE REMISIÓN</t>
  </si>
  <si>
    <t>Condiciones especiales:</t>
  </si>
  <si>
    <r>
      <rPr>
        <b/>
        <sz val="11"/>
        <color rgb="FFFF0000"/>
        <rFont val="Perpetua"/>
        <family val="1"/>
      </rPr>
      <t>ENVIAR LA FACTURA ELECTRÓNICA Y EL ARCHIVO XML AL CORREO</t>
    </r>
    <r>
      <rPr>
        <b/>
        <sz val="11"/>
        <color theme="1"/>
        <rFont val="Perpetua"/>
        <family val="1"/>
      </rPr>
      <t xml:space="preserve"> quimicorpcontabilidad@gmail.com</t>
    </r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</si>
  <si>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</si>
  <si>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</si>
  <si>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</si>
  <si>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</si>
  <si>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</si>
  <si>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</si>
  <si>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</si>
  <si>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</si>
  <si>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</si>
  <si>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</si>
  <si>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</si>
  <si>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</si>
  <si>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</si>
  <si>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</si>
  <si>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</si>
  <si>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</si>
  <si>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</si>
  <si>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</si>
  <si>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</si>
  <si>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</si>
  <si>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</si>
  <si>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</si>
  <si>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N°</t>
  </si>
  <si>
    <t>Formato N°. 01</t>
  </si>
  <si>
    <t>QUIMICORP PERU S.A.C.</t>
  </si>
  <si>
    <t>QUIMICORP PERÚ S.A.C.</t>
  </si>
  <si>
    <t>RUC: 20614697327</t>
  </si>
  <si>
    <t>Código: FOR-COM-001</t>
  </si>
  <si>
    <t xml:space="preserve"> </t>
  </si>
  <si>
    <t xml:space="preserve">CLIENTE </t>
  </si>
  <si>
    <t>RUC / DNI</t>
  </si>
  <si>
    <t>INFORMACION CLIENTES</t>
  </si>
  <si>
    <t>ALFALION INVESTMENT SAC</t>
  </si>
  <si>
    <t>CALLE MOCHICAS 175 - SAN MIGUEL</t>
  </si>
  <si>
    <t>ANGIE  - PEDIDOS</t>
  </si>
  <si>
    <t>MIGUEL MARCOS - DUEÑO 1</t>
  </si>
  <si>
    <t xml:space="preserve">MIGUEL ENRIQUEZ - SUPERVISION </t>
  </si>
  <si>
    <t>DANIEL ESPINOZA - DUEÑO 2</t>
  </si>
  <si>
    <t>FENIX G EXPRESSN SAC</t>
  </si>
  <si>
    <t>AV LA PAZ 506</t>
  </si>
  <si>
    <t xml:space="preserve">LUIS MARIN - DUEÑO </t>
  </si>
  <si>
    <t xml:space="preserve">JHOSEP - ASITENTE </t>
  </si>
  <si>
    <t>IMPORT MERAKI HOGAR SAC</t>
  </si>
  <si>
    <t xml:space="preserve">PJ NEPTUNO 192 - RIMAC </t>
  </si>
  <si>
    <t xml:space="preserve">JAIRO OCHOA </t>
  </si>
  <si>
    <t xml:space="preserve">SHOPPERANG GROUP S.A.C. </t>
  </si>
  <si>
    <t>LUCIAALEXANDRA SERNAQUE BAYONA</t>
  </si>
  <si>
    <t>JHONATAN GARABITO SAMANIEGO</t>
  </si>
  <si>
    <t>GARB CORP PERU SAC</t>
  </si>
  <si>
    <t>MULTIPLAZA PERU S.A.C.</t>
  </si>
  <si>
    <t xml:space="preserve">AV. CANADA 3721 - SAN LUIS </t>
  </si>
  <si>
    <t>GEYMA NOVILLO - COMPRAS</t>
  </si>
  <si>
    <t>JHON ROBERT CCANTO PEREZ</t>
  </si>
  <si>
    <t xml:space="preserve">JHON CCANTO </t>
  </si>
  <si>
    <t xml:space="preserve">AV. FERROCARRIL CON LAS CASCADAS (DELIFRUT,WAFFLES, CREPES Y JUGOS) - SANTA ANITA </t>
  </si>
  <si>
    <t xml:space="preserve">ENVIO </t>
  </si>
  <si>
    <t>INDRIVER Y SR CESAR</t>
  </si>
  <si>
    <t xml:space="preserve"> SR CESAR</t>
  </si>
  <si>
    <t>INDRIVER</t>
  </si>
  <si>
    <t xml:space="preserve">DANIEL MEZA </t>
  </si>
  <si>
    <t>BODEGA - YUVA - ATE</t>
  </si>
  <si>
    <t>DANIEL MEZA  - DUEÑO</t>
  </si>
  <si>
    <t xml:space="preserve">ALEXIS - ASISTENTE </t>
  </si>
  <si>
    <t xml:space="preserve">DAVID SARMIENTO </t>
  </si>
  <si>
    <t xml:space="preserve">DIEGO - ASISTENTE </t>
  </si>
  <si>
    <t xml:space="preserve">RORY ALFREDO SERPA FLORES </t>
  </si>
  <si>
    <t>AV MICHEL FORT 172 - SMP</t>
  </si>
  <si>
    <t xml:space="preserve">AUSTIN </t>
  </si>
  <si>
    <t>NEXARA CORP SAC</t>
  </si>
  <si>
    <t>URB. SANTA MARINA DEL PINAR 4 E MZA. B LOTE 04 - PIURA</t>
  </si>
  <si>
    <t xml:space="preserve">NICOL - COMPRAS </t>
  </si>
  <si>
    <t xml:space="preserve">JOSE GERARDO - DUEÑO </t>
  </si>
  <si>
    <t>SHALOM</t>
  </si>
  <si>
    <t>JHON ERIC AVILA RAMIREZ</t>
  </si>
  <si>
    <t xml:space="preserve">JHON AVILA </t>
  </si>
  <si>
    <t xml:space="preserve">BRYAN FIESTAS </t>
  </si>
  <si>
    <t xml:space="preserve">RENZO </t>
  </si>
  <si>
    <t xml:space="preserve">RENZO - DUEÑO </t>
  </si>
  <si>
    <t xml:space="preserve">LAURA - ASISTENTE </t>
  </si>
  <si>
    <t xml:space="preserve">ROBERTO - RECEPCION </t>
  </si>
  <si>
    <t xml:space="preserve">CALLE SANTA MARIA AL FRENTE DE LA LOZA DEPORTIVA TG. ZAVALETA - SANTA ANITA </t>
  </si>
  <si>
    <t xml:space="preserve">EDSON ÑAUPARI </t>
  </si>
  <si>
    <t xml:space="preserve">AV. PACTO ANDINO 684 - VILLA EL SALVADOR </t>
  </si>
  <si>
    <t xml:space="preserve">LUZ - ASISTENTE </t>
  </si>
  <si>
    <t xml:space="preserve">LEO HIDALGO </t>
  </si>
  <si>
    <t xml:space="preserve">ALONSO CHUNGA </t>
  </si>
  <si>
    <t>ALONSO CHUNGA</t>
  </si>
  <si>
    <t xml:space="preserve">ERICK CHAVEZ </t>
  </si>
  <si>
    <t xml:space="preserve">MZ B LOTE 28 URB CABO LINARES - SMP </t>
  </si>
  <si>
    <t>ANGIE CHAVEZ</t>
  </si>
  <si>
    <t xml:space="preserve">JR JUPITER MZ F LOTE 24 - SMP </t>
  </si>
  <si>
    <t xml:space="preserve">ANGIE CRUZ </t>
  </si>
  <si>
    <t>MARLEX</t>
  </si>
  <si>
    <t>KATHERIN</t>
  </si>
  <si>
    <t>MOVILIDAD PROPIA</t>
  </si>
  <si>
    <t xml:space="preserve">JUANA VASQUEZ </t>
  </si>
  <si>
    <t xml:space="preserve">AV. HUARA MZ B2 LOTE 18  MI PERU - VENTANILLA </t>
  </si>
  <si>
    <t xml:space="preserve">JUANA VAZQUES </t>
  </si>
  <si>
    <t xml:space="preserve">LUIS JURADO </t>
  </si>
  <si>
    <t xml:space="preserve">CALLE PADRE IZAGUIRRE 290 -Ñ RIMAC </t>
  </si>
  <si>
    <t xml:space="preserve">INDRIVER </t>
  </si>
  <si>
    <t xml:space="preserve">TAINTY CORPORACION </t>
  </si>
  <si>
    <t>CARLOS ESPARZA</t>
  </si>
  <si>
    <t xml:space="preserve">STARHOME PERU SAC </t>
  </si>
  <si>
    <t xml:space="preserve">JR JORGE CHAVEZ 460 URB. CHACRA COLORADA - BREÑA </t>
  </si>
  <si>
    <t>DANIEL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</si>
</sst>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erpetua"/>
      <family val="1"/>
    </font>
    <font>
      <b/>
      <sz val="11"/>
      <color theme="1"/>
      <name val="Perpetua"/>
      <family val="1"/>
    </font>
    <font>
      <sz val="10"/>
      <color theme="1"/>
      <name val="Perpetua"/>
      <family val="1"/>
    </font>
    <font>
      <b/>
      <sz val="11"/>
      <color rgb="FFFF0000"/>
      <name val="Perpetu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4" fontId="2" fillId="0" borderId="4" xfId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vertical="center"/>
    </xf>
    <xf numFmtId="0" fontId="3" fillId="0" borderId="0" xfId="0" applyFont="1"/>
    <xf numFmtId="0" fontId="2" fillId="0" borderId="0" xfId="0" quotePrefix="1" applyFont="1"/>
    <xf numFmtId="0" fontId="3" fillId="0" borderId="2" xfId="0" applyFont="1" applyBorder="1" applyAlignment="1">
      <alignment horizontal="centerContinuous" vertical="center" wrapText="1"/>
    </xf>
    <xf numFmtId="0" fontId="3" fillId="0" borderId="1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21" xfId="0" applyFont="1" applyBorder="1"/>
    <xf numFmtId="0" fontId="4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5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0" fontId="2" fillId="0" borderId="21" xfId="0" quotePrefix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wrapText="1"/>
    </xf>
    <xf numFmtId="0" fontId="2" fillId="0" borderId="22" xfId="0" quotePrefix="1" applyFont="1" applyBorder="1" applyAlignment="1">
      <alignment horizontal="center" vertical="center"/>
    </xf>
    <xf numFmtId="0" fontId="7" fillId="0" borderId="21" xfId="2" applyBorder="1" applyAlignment="1">
      <alignment horizontal="center"/>
    </xf>
    <xf numFmtId="0" fontId="2" fillId="0" borderId="24" xfId="0" quotePrefix="1" applyFont="1" applyBorder="1" applyAlignment="1">
      <alignment horizontal="center"/>
    </xf>
    <xf numFmtId="0" fontId="3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quotePrefix="1" applyFont="1" applyBorder="1" applyAlignment="1">
      <alignment horizontal="center"/>
    </xf>
    <xf numFmtId="0" fontId="2" fillId="0" borderId="24" xfId="0" quotePrefix="1" applyFont="1" applyBorder="1" applyAlignment="1">
      <alignment horizontal="center"/>
    </xf>
    <xf numFmtId="0" fontId="2" fillId="0" borderId="21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27814</xdr:colOff>
      <xdr:row>0</xdr:row>
      <xdr:rowOff>54992</xdr:rowOff>
    </xdr:from>
    <xdr:to>
      <xdr:col>3</xdr:col>
      <xdr:colOff>551307</xdr:colOff>
      <xdr:row>2</xdr:row>
      <xdr:rowOff>140590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748BE1-C896-CF8C-62DC-051ADCD19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94" y="54992"/>
          <a:ext cx="1399793" cy="4665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BB05-B434-42DE-8D1C-F09D085FF333}">
  <dimension ref="B1:O70"/>
  <sheetViews>
    <sheetView showGridLines="0" zoomScaleNormal="100" workbookViewId="0">
      <selection activeCell="H37" sqref="H37"/>
    </sheetView>
  </sheetViews>
  <sheetFormatPr baseColWidth="10" defaultColWidth="11.5546875" defaultRowHeight="15" x14ac:dyDescent="0.35"/>
  <cols>
    <col min="1" max="1" width="2.6640625" style="1" customWidth="1"/>
    <col min="2" max="2" width="8.44140625" style="1" customWidth="1"/>
    <col min="3" max="3" width="4.33203125" style="1" customWidth="1"/>
    <col min="4" max="4" width="40.5546875" style="1" customWidth="1"/>
    <col min="5" max="8" width="11.5546875" style="1"/>
    <col min="9" max="9" width="2.6640625" style="1" customWidth="1"/>
    <col min="10" max="14" width="11.5546875" style="14"/>
    <col min="15" max="16384" width="11.5546875" style="1"/>
  </cols>
  <sheetData>
    <row r="1" spans="2:14" s="4" customFormat="1" x14ac:dyDescent="0.3">
      <c r="B1" s="2"/>
      <c r="C1" s="2"/>
      <c r="H1" s="2" t="s">
        <v>33</v>
      </c>
      <c r="J1" s="13"/>
      <c r="K1" s="13"/>
      <c r="L1" s="13"/>
      <c r="M1" s="13"/>
      <c r="N1" s="13"/>
    </row>
    <row r="2" spans="2:14" s="4" customFormat="1" x14ac:dyDescent="0.3">
      <c r="B2" s="2"/>
      <c r="C2" s="2"/>
      <c r="J2" s="13"/>
      <c r="K2" s="13"/>
      <c r="L2" s="13"/>
      <c r="M2" s="13"/>
      <c r="N2" s="13"/>
    </row>
    <row r="3" spans="2:14" s="4" customFormat="1" x14ac:dyDescent="0.3">
      <c r="B3" s="2"/>
      <c r="C3" s="2"/>
      <c r="J3" s="13"/>
      <c r="K3" s="13"/>
      <c r="L3" s="13"/>
      <c r="M3" s="13"/>
      <c r="N3" s="13"/>
    </row>
    <row r="4" spans="2:14" s="4" customFormat="1" x14ac:dyDescent="0.3">
      <c r="B4" s="38" t="s">
        <v>32</v>
      </c>
      <c r="C4" s="16"/>
      <c r="D4" s="17"/>
      <c r="E4" s="17"/>
      <c r="F4" s="17"/>
      <c r="G4" s="17"/>
      <c r="H4" s="18"/>
      <c r="J4" s="13"/>
      <c r="K4" s="13"/>
      <c r="L4" s="13"/>
      <c r="M4" s="13"/>
      <c r="N4" s="13"/>
    </row>
    <row r="5" spans="2:14" s="4" customFormat="1" x14ac:dyDescent="0.3">
      <c r="J5" s="13"/>
      <c r="K5" s="13"/>
      <c r="L5" s="13"/>
      <c r="M5" s="13"/>
      <c r="N5" s="13"/>
    </row>
    <row r="6" spans="2:14" s="4" customFormat="1" ht="10.95" customHeight="1" x14ac:dyDescent="0.3">
      <c r="B6" s="39" t="s">
        <v>72</v>
      </c>
      <c r="C6" s="11" t="s">
        <v>71</v>
      </c>
      <c r="D6" s="11"/>
      <c r="E6" s="11"/>
      <c r="F6" s="11"/>
      <c r="G6" s="11"/>
      <c r="H6" s="12"/>
      <c r="J6" s="13"/>
      <c r="K6" s="13"/>
      <c r="L6" s="13"/>
      <c r="M6" s="13"/>
      <c r="N6" s="13"/>
    </row>
    <row r="7" spans="2:14" s="4" customFormat="1" ht="10.95" customHeight="1" x14ac:dyDescent="0.3">
      <c r="B7" s="40" t="s">
        <v>73</v>
      </c>
      <c r="H7" s="10"/>
      <c r="J7" s="13"/>
      <c r="K7" s="13"/>
      <c r="L7" s="13"/>
      <c r="M7" s="13"/>
      <c r="N7" s="13"/>
    </row>
    <row r="8" spans="2:14" s="4" customFormat="1" ht="10.95" customHeight="1" x14ac:dyDescent="0.3">
      <c r="B8" s="40" t="s">
        <v>70</v>
      </c>
      <c r="H8" s="10"/>
      <c r="J8" s="13"/>
      <c r="K8" s="13"/>
      <c r="L8" s="13"/>
      <c r="M8" s="13"/>
      <c r="N8" s="13"/>
    </row>
    <row r="9" spans="2:14" s="4" customFormat="1" ht="10.95" customHeight="1" x14ac:dyDescent="0.3">
      <c r="B9" s="40" t="s">
        <v>74</v>
      </c>
      <c r="H9" s="10"/>
      <c r="J9" s="13"/>
      <c r="K9" s="13"/>
      <c r="L9" s="13"/>
      <c r="M9" s="13"/>
      <c r="N9" s="13"/>
    </row>
    <row r="10" spans="2:14" s="4" customFormat="1" ht="10.95" customHeight="1" x14ac:dyDescent="0.3">
      <c r="B10" s="41" t="s">
        <v>34</v>
      </c>
      <c r="C10" s="8"/>
      <c r="D10" s="8"/>
      <c r="E10" s="8"/>
      <c r="F10" s="8"/>
      <c r="G10" s="8"/>
      <c r="H10" s="9"/>
      <c r="J10" s="13"/>
      <c r="K10" s="13"/>
      <c r="L10" s="13"/>
      <c r="M10" s="13"/>
      <c r="N10" s="13"/>
    </row>
    <row r="11" spans="2:14" s="4" customFormat="1" ht="7.95" customHeight="1" x14ac:dyDescent="0.3">
      <c r="J11" s="13"/>
      <c r="K11" s="13"/>
      <c r="L11" s="13"/>
      <c r="M11" s="13"/>
      <c r="N11" s="13"/>
    </row>
    <row r="12" spans="2:14" s="4" customFormat="1" x14ac:dyDescent="0.3">
      <c r="B12" s="2" t="s">
        <v>11</v>
      </c>
      <c r="C12" s="2"/>
      <c r="J12" s="13"/>
      <c r="K12" s="13"/>
      <c r="L12" s="13"/>
      <c r="M12" s="13"/>
      <c r="N12" s="13"/>
    </row>
    <row r="13" spans="2:14" s="4" customFormat="1" ht="12" customHeight="1" x14ac:dyDescent="0.3">
      <c r="B13" s="26" t="s">
        <v>1</v>
      </c>
      <c r="C13" s="27"/>
      <c r="D13" s="28">
        <v>10426469460</v>
      </c>
      <c r="E13" s="27"/>
      <c r="F13" s="27" t="s">
        <v>40</v>
      </c>
      <c r="G13" s="28" t="e">
        <f>VLOOKUP($D$13,'DATA PROVEEDORES'!$C$2:$G$12,7,0)</f>
        <v>#N/A</v>
      </c>
      <c r="H13" s="29"/>
      <c r="J13" s="13"/>
      <c r="K13" s="13"/>
      <c r="L13" s="13"/>
      <c r="M13" s="13"/>
      <c r="N13" s="13"/>
    </row>
    <row r="14" spans="2:14" s="4" customFormat="1" ht="12" customHeight="1" x14ac:dyDescent="0.3">
      <c r="B14" s="30" t="s">
        <v>12</v>
      </c>
      <c r="D14" s="15" t="e">
        <f>VLOOKUP(D13,'DATA PROVEEDORES'!$C$2:$G$12,2,0)</f>
        <v>#N/A</v>
      </c>
      <c r="F14" s="4" t="s">
        <v>38</v>
      </c>
      <c r="G14" s="15" t="e">
        <f>VLOOKUP($D$13,'DATA PROVEEDORES'!$C$2:$G$12,8,0)</f>
        <v>#N/A</v>
      </c>
      <c r="H14" s="31"/>
      <c r="J14" s="13"/>
      <c r="K14" s="13"/>
      <c r="L14" s="13"/>
      <c r="M14" s="13"/>
      <c r="N14" s="13"/>
    </row>
    <row r="15" spans="2:14" s="4" customFormat="1" ht="12" customHeight="1" x14ac:dyDescent="0.3">
      <c r="B15" s="30" t="s">
        <v>13</v>
      </c>
      <c r="D15" s="15" t="e">
        <f>VLOOKUP($D$13,'DATA PROVEEDORES'!$C$2:$G$12,3,0)</f>
        <v>#N/A</v>
      </c>
      <c r="F15" s="4" t="s">
        <v>41</v>
      </c>
      <c r="G15" s="15" t="e">
        <f>VLOOKUP($D$13,'DATA PROVEEDORES'!$C$2:$G$12,9,0)</f>
        <v>#N/A</v>
      </c>
      <c r="H15" s="31"/>
      <c r="J15" s="13"/>
      <c r="K15" s="13"/>
      <c r="L15" s="13"/>
      <c r="M15" s="13"/>
      <c r="N15" s="13"/>
    </row>
    <row r="16" spans="2:14" s="4" customFormat="1" ht="12" customHeight="1" x14ac:dyDescent="0.3">
      <c r="B16" s="30" t="s">
        <v>2</v>
      </c>
      <c r="D16" s="15" t="e">
        <f>VLOOKUP($D$13,'DATA PROVEEDORES'!$C$2:$G$12,4,0)</f>
        <v>#N/A</v>
      </c>
      <c r="F16" s="4" t="s">
        <v>42</v>
      </c>
      <c r="G16" s="15" t="e">
        <f>VLOOKUP($D$13,'DATA PROVEEDORES'!$C$2:$G$12,10,0)</f>
        <v>#N/A</v>
      </c>
      <c r="H16" s="31"/>
      <c r="J16" s="13"/>
      <c r="K16" s="13"/>
      <c r="L16" s="13"/>
      <c r="M16" s="13"/>
      <c r="N16" s="13"/>
    </row>
    <row r="17" spans="2:14" s="4" customFormat="1" ht="12" customHeight="1" x14ac:dyDescent="0.3">
      <c r="B17" s="30" t="s">
        <v>4</v>
      </c>
      <c r="D17" s="15" t="e">
        <f>VLOOKUP($D$13,'DATA PROVEEDORES'!$C$2:$G$12,5,0)</f>
        <v>#N/A</v>
      </c>
      <c r="F17" s="4" t="s">
        <v>43</v>
      </c>
      <c r="G17" s="15" t="e">
        <f>VLOOKUP($D$13,'DATA PROVEEDORES'!$C$2:$G$12,11,0)</f>
        <v>#N/A</v>
      </c>
      <c r="H17" s="31"/>
      <c r="J17" s="13"/>
      <c r="K17" s="13"/>
      <c r="L17" s="13"/>
      <c r="M17" s="13"/>
      <c r="N17" s="13"/>
    </row>
    <row r="18" spans="2:14" s="4" customFormat="1" ht="12" customHeight="1" x14ac:dyDescent="0.3">
      <c r="B18" s="32" t="s">
        <v>3</v>
      </c>
      <c r="C18" s="33"/>
      <c r="D18" s="34" t="e">
        <f>VLOOKUP($D$13,'DATA PROVEEDORES'!$C$2:$G$12,6,0)</f>
        <v>#N/A</v>
      </c>
      <c r="E18" s="33"/>
      <c r="F18" s="33"/>
      <c r="G18" s="34"/>
      <c r="H18" s="35"/>
      <c r="J18" s="13"/>
      <c r="K18" s="13"/>
      <c r="L18" s="13"/>
      <c r="M18" s="13"/>
      <c r="N18" s="13"/>
    </row>
    <row r="19" spans="2:14" s="4" customFormat="1" ht="7.95" customHeight="1" x14ac:dyDescent="0.3">
      <c r="J19" s="13"/>
      <c r="K19" s="13"/>
      <c r="L19" s="13"/>
      <c r="M19" s="13"/>
      <c r="N19" s="13"/>
    </row>
    <row r="20" spans="2:14" s="4" customFormat="1" x14ac:dyDescent="0.3">
      <c r="B20" s="2" t="s">
        <v>14</v>
      </c>
      <c r="C20" s="2"/>
      <c r="J20" s="13"/>
      <c r="K20" s="13"/>
      <c r="L20" s="13"/>
      <c r="M20" s="13"/>
      <c r="N20" s="13"/>
    </row>
    <row r="21" spans="2:14" s="4" customFormat="1" ht="12" customHeight="1" x14ac:dyDescent="0.3">
      <c r="B21" s="19" t="s">
        <v>15</v>
      </c>
      <c r="C21" s="11"/>
      <c r="D21" s="11"/>
      <c r="E21" s="11"/>
      <c r="F21" s="11"/>
      <c r="G21" s="11"/>
      <c r="H21" s="12"/>
      <c r="J21" s="13"/>
      <c r="K21" s="13"/>
      <c r="L21" s="13"/>
      <c r="M21" s="13"/>
      <c r="N21" s="13"/>
    </row>
    <row r="22" spans="2:14" s="4" customFormat="1" ht="12" customHeight="1" x14ac:dyDescent="0.3">
      <c r="B22" s="20" t="s">
        <v>16</v>
      </c>
      <c r="H22" s="10"/>
      <c r="J22" s="13"/>
      <c r="K22" s="13"/>
      <c r="L22" s="13"/>
      <c r="M22" s="13"/>
      <c r="N22" s="13"/>
    </row>
    <row r="23" spans="2:14" s="4" customFormat="1" ht="12" customHeight="1" x14ac:dyDescent="0.3">
      <c r="B23" s="20" t="s">
        <v>17</v>
      </c>
      <c r="H23" s="10"/>
      <c r="J23" s="13"/>
      <c r="K23" s="13"/>
      <c r="L23" s="13"/>
      <c r="M23" s="13"/>
      <c r="N23" s="13"/>
    </row>
    <row r="24" spans="2:14" s="4" customFormat="1" ht="12" customHeight="1" x14ac:dyDescent="0.3">
      <c r="B24" s="20" t="s">
        <v>18</v>
      </c>
      <c r="H24" s="10"/>
      <c r="J24" s="13"/>
      <c r="K24" s="13"/>
      <c r="L24" s="13"/>
      <c r="M24" s="13"/>
      <c r="N24" s="13"/>
    </row>
    <row r="25" spans="2:14" s="4" customFormat="1" ht="12" customHeight="1" x14ac:dyDescent="0.3">
      <c r="B25" s="20" t="s">
        <v>19</v>
      </c>
      <c r="H25" s="10"/>
      <c r="J25" s="13"/>
      <c r="K25" s="13"/>
      <c r="L25" s="13"/>
      <c r="M25" s="13"/>
      <c r="N25" s="13"/>
    </row>
    <row r="26" spans="2:14" s="4" customFormat="1" ht="12" customHeight="1" x14ac:dyDescent="0.3">
      <c r="B26" s="21" t="s">
        <v>20</v>
      </c>
      <c r="C26" s="8"/>
      <c r="D26" s="8"/>
      <c r="E26" s="8"/>
      <c r="F26" s="8"/>
      <c r="G26" s="8"/>
      <c r="H26" s="9"/>
      <c r="J26" s="13"/>
      <c r="K26" s="13"/>
      <c r="L26" s="13"/>
      <c r="M26" s="13"/>
      <c r="N26" s="13"/>
    </row>
    <row r="27" spans="2:14" s="4" customFormat="1" ht="7.95" customHeight="1" x14ac:dyDescent="0.3">
      <c r="J27" s="13"/>
      <c r="K27" s="13"/>
      <c r="L27" s="13"/>
      <c r="M27" s="13"/>
      <c r="N27" s="13"/>
    </row>
    <row r="28" spans="2:14" s="4" customFormat="1" x14ac:dyDescent="0.3">
      <c r="B28" s="2" t="s">
        <v>21</v>
      </c>
      <c r="C28" s="2"/>
      <c r="J28" s="13"/>
      <c r="K28" s="13"/>
      <c r="L28" s="13"/>
      <c r="M28" s="13"/>
      <c r="N28" s="13"/>
    </row>
    <row r="29" spans="2:14" s="4" customFormat="1" ht="7.95" customHeight="1" x14ac:dyDescent="0.3">
      <c r="J29" s="13"/>
      <c r="K29" s="13"/>
      <c r="L29" s="13"/>
      <c r="M29" s="13"/>
      <c r="N29" s="13"/>
    </row>
    <row r="30" spans="2:14" s="4" customFormat="1" ht="30" x14ac:dyDescent="0.3">
      <c r="B30" s="3" t="s">
        <v>22</v>
      </c>
      <c r="C30" s="3"/>
      <c r="D30" s="3" t="s">
        <v>23</v>
      </c>
      <c r="E30" s="3" t="s">
        <v>24</v>
      </c>
      <c r="F30" s="3" t="s">
        <v>5</v>
      </c>
      <c r="G30" s="3" t="s">
        <v>6</v>
      </c>
      <c r="H30" s="3" t="s">
        <v>9</v>
      </c>
      <c r="J30" s="13"/>
      <c r="K30" s="13"/>
      <c r="L30" s="13"/>
      <c r="M30" s="13"/>
      <c r="N30" s="13"/>
    </row>
    <row r="31" spans="2:14" s="4" customFormat="1" ht="12" customHeight="1" x14ac:dyDescent="0.3">
      <c r="B31" s="3"/>
      <c r="C31" s="3"/>
      <c r="D31" s="3"/>
      <c r="E31" s="3"/>
      <c r="F31" s="3"/>
      <c r="G31" s="3"/>
      <c r="H31" s="3"/>
      <c r="J31" s="13"/>
      <c r="K31" s="13"/>
      <c r="L31" s="13"/>
      <c r="M31" s="13"/>
      <c r="N31" s="13"/>
    </row>
    <row r="32" spans="2:14" s="4" customFormat="1" ht="12" customHeight="1" x14ac:dyDescent="0.3">
      <c r="B32" s="3"/>
      <c r="C32" s="3"/>
      <c r="D32" s="3"/>
      <c r="E32" s="3"/>
      <c r="F32" s="3"/>
      <c r="G32" s="3"/>
      <c r="H32" s="3"/>
      <c r="J32" s="13"/>
      <c r="K32" s="13"/>
      <c r="L32" s="13"/>
      <c r="M32" s="13"/>
      <c r="N32" s="13"/>
    </row>
    <row r="33" spans="2:14" s="4" customFormat="1" ht="12" customHeight="1" x14ac:dyDescent="0.3">
      <c r="B33" s="3"/>
      <c r="C33" s="3"/>
      <c r="D33" s="3"/>
      <c r="E33" s="3"/>
      <c r="F33" s="3"/>
      <c r="G33" s="3"/>
      <c r="H33" s="3"/>
      <c r="J33" s="13"/>
      <c r="K33" s="13"/>
      <c r="L33" s="13"/>
      <c r="M33" s="13"/>
      <c r="N33" s="13"/>
    </row>
    <row r="34" spans="2:14" s="4" customFormat="1" ht="12" customHeight="1" x14ac:dyDescent="0.3">
      <c r="B34" s="3"/>
      <c r="C34" s="3"/>
      <c r="D34" s="3"/>
      <c r="E34" s="3"/>
      <c r="F34" s="3"/>
      <c r="G34" s="3"/>
      <c r="H34" s="3"/>
      <c r="J34" s="13"/>
      <c r="K34" s="13"/>
      <c r="L34" s="13"/>
      <c r="M34" s="13"/>
      <c r="N34" s="13"/>
    </row>
    <row r="35" spans="2:14" s="4" customFormat="1" ht="12" customHeight="1" x14ac:dyDescent="0.3">
      <c r="B35" s="22"/>
      <c r="C35" s="22"/>
      <c r="D35" s="22"/>
      <c r="E35" s="22"/>
      <c r="F35" s="22"/>
      <c r="G35" s="22"/>
      <c r="H35" s="22"/>
      <c r="J35" s="13"/>
      <c r="K35" s="13"/>
      <c r="L35" s="13"/>
      <c r="M35" s="13"/>
      <c r="N35" s="13"/>
    </row>
    <row r="36" spans="2:14" s="4" customFormat="1" ht="12" customHeight="1" x14ac:dyDescent="0.3">
      <c r="B36" s="5" t="s">
        <v>7</v>
      </c>
      <c r="C36" s="23"/>
      <c r="D36" s="6"/>
      <c r="E36" s="6"/>
      <c r="F36" s="6"/>
      <c r="G36" s="6"/>
      <c r="H36" s="24">
        <f>SUM(H31:H35)</f>
        <v>0</v>
      </c>
      <c r="J36" s="13"/>
      <c r="K36" s="13"/>
      <c r="L36" s="13"/>
      <c r="M36" s="13"/>
      <c r="N36" s="13"/>
    </row>
    <row r="37" spans="2:14" s="4" customFormat="1" ht="12" customHeight="1" x14ac:dyDescent="0.3">
      <c r="B37" s="5" t="s">
        <v>8</v>
      </c>
      <c r="C37" s="23"/>
      <c r="D37" s="6"/>
      <c r="E37" s="6"/>
      <c r="F37" s="6"/>
      <c r="G37" s="6"/>
      <c r="H37" s="24">
        <f>+H36*0.18</f>
        <v>0</v>
      </c>
      <c r="J37" s="13"/>
      <c r="K37" s="13"/>
      <c r="L37" s="13"/>
      <c r="M37" s="13"/>
      <c r="N37" s="13"/>
    </row>
    <row r="38" spans="2:14" s="4" customFormat="1" ht="12" customHeight="1" x14ac:dyDescent="0.3">
      <c r="B38" s="5" t="s">
        <v>25</v>
      </c>
      <c r="C38" s="23"/>
      <c r="D38" s="6"/>
      <c r="E38" s="6"/>
      <c r="F38" s="6"/>
      <c r="G38" s="6"/>
      <c r="H38" s="24">
        <f>+H36+H37</f>
        <v>0</v>
      </c>
      <c r="J38" s="13"/>
      <c r="K38" s="13"/>
      <c r="L38" s="13"/>
      <c r="M38" s="13"/>
      <c r="N38" s="13"/>
    </row>
    <row r="39" spans="2:14" s="4" customFormat="1" ht="7.95" customHeight="1" x14ac:dyDescent="0.3">
      <c r="J39" s="13"/>
      <c r="K39" s="13"/>
      <c r="L39" s="13"/>
      <c r="M39" s="13"/>
      <c r="N39" s="13"/>
    </row>
    <row r="40" spans="2:14" s="4" customFormat="1" x14ac:dyDescent="0.3">
      <c r="B40" s="2" t="s">
        <v>26</v>
      </c>
      <c r="C40" s="2"/>
      <c r="J40" s="13"/>
      <c r="K40" s="13"/>
      <c r="L40" s="13"/>
      <c r="M40" s="13"/>
      <c r="N40" s="13"/>
    </row>
    <row r="41" spans="2:14" s="4" customFormat="1" ht="12" customHeight="1" x14ac:dyDescent="0.3">
      <c r="B41" s="25" t="s">
        <v>27</v>
      </c>
      <c r="C41" s="6"/>
      <c r="D41" s="6"/>
      <c r="E41" s="6"/>
      <c r="F41" s="6"/>
      <c r="G41" s="6"/>
      <c r="H41" s="7"/>
      <c r="J41" s="13"/>
      <c r="K41" s="13"/>
      <c r="L41" s="13"/>
      <c r="M41" s="13"/>
      <c r="N41" s="13"/>
    </row>
    <row r="42" spans="2:14" s="4" customFormat="1" ht="12" customHeight="1" x14ac:dyDescent="0.3">
      <c r="B42" s="25" t="s">
        <v>28</v>
      </c>
      <c r="C42" s="6"/>
      <c r="D42" s="6"/>
      <c r="E42" s="6"/>
      <c r="F42" s="6"/>
      <c r="G42" s="6"/>
      <c r="H42" s="7"/>
      <c r="J42" s="13"/>
      <c r="K42" s="13"/>
      <c r="L42" s="13"/>
      <c r="M42" s="13"/>
      <c r="N42" s="13"/>
    </row>
    <row r="43" spans="2:14" s="4" customFormat="1" ht="12" customHeight="1" x14ac:dyDescent="0.3">
      <c r="B43" s="25" t="s">
        <v>45</v>
      </c>
      <c r="C43" s="6"/>
      <c r="D43" s="6"/>
      <c r="E43" s="6"/>
      <c r="F43" s="6"/>
      <c r="G43" s="6"/>
      <c r="H43" s="7"/>
      <c r="J43" s="13"/>
      <c r="K43" s="13"/>
      <c r="L43" s="13"/>
      <c r="M43" s="13"/>
      <c r="N43" s="13"/>
    </row>
    <row r="44" spans="2:14" s="4" customFormat="1" ht="12" customHeight="1" x14ac:dyDescent="0.3">
      <c r="B44" s="2" t="s">
        <v>44</v>
      </c>
      <c r="J44" s="13"/>
      <c r="K44" s="13"/>
      <c r="L44" s="13"/>
      <c r="M44" s="13"/>
      <c r="N44" s="13"/>
    </row>
    <row r="45" spans="2:14" s="4" customFormat="1" ht="12" customHeight="1" x14ac:dyDescent="0.3">
      <c r="B45" s="2" t="s">
        <v>46</v>
      </c>
      <c r="J45" s="13"/>
      <c r="K45" s="13"/>
      <c r="L45" s="13"/>
      <c r="M45" s="13"/>
      <c r="N45" s="13"/>
    </row>
    <row r="46" spans="2:14" s="4" customFormat="1" ht="12" customHeight="1" x14ac:dyDescent="0.3">
      <c r="J46" s="13"/>
      <c r="K46" s="13"/>
      <c r="L46" s="13"/>
      <c r="M46" s="13"/>
      <c r="N46" s="13"/>
    </row>
    <row r="47" spans="2:14" s="4" customFormat="1" x14ac:dyDescent="0.3">
      <c r="B47" s="2" t="s">
        <v>29</v>
      </c>
      <c r="C47" s="2"/>
      <c r="J47" s="13"/>
      <c r="K47" s="13"/>
      <c r="L47" s="13"/>
      <c r="M47" s="13"/>
      <c r="N47" s="13"/>
    </row>
    <row r="48" spans="2:14" s="4" customFormat="1" x14ac:dyDescent="0.3">
      <c r="B48" s="25" t="s">
        <v>0</v>
      </c>
      <c r="C48" s="6"/>
      <c r="D48" s="6"/>
      <c r="E48" s="6"/>
      <c r="F48" s="6"/>
      <c r="G48" s="6"/>
      <c r="H48" s="7"/>
      <c r="J48" s="13"/>
      <c r="K48" s="13"/>
      <c r="L48" s="13"/>
      <c r="M48" s="13"/>
      <c r="N48" s="13"/>
    </row>
    <row r="49" spans="2:15" s="4" customFormat="1" x14ac:dyDescent="0.3">
      <c r="B49" s="25" t="s">
        <v>30</v>
      </c>
      <c r="C49" s="6"/>
      <c r="D49" s="6"/>
      <c r="E49" s="6"/>
      <c r="F49" s="6"/>
      <c r="G49" s="6"/>
      <c r="H49" s="7"/>
      <c r="J49" s="13"/>
      <c r="K49" s="13"/>
      <c r="L49" s="13"/>
      <c r="M49" s="13"/>
      <c r="N49" s="13"/>
    </row>
    <row r="50" spans="2:15" s="4" customFormat="1" x14ac:dyDescent="0.3">
      <c r="B50" s="4" t="s">
        <v>31</v>
      </c>
      <c r="J50" s="13"/>
      <c r="K50" s="13"/>
      <c r="L50" s="13"/>
      <c r="M50" s="13"/>
      <c r="N50" s="13"/>
    </row>
    <row r="51" spans="2:15" s="4" customFormat="1" x14ac:dyDescent="0.3">
      <c r="B51" s="61" t="s">
        <v>10</v>
      </c>
      <c r="C51" s="62"/>
      <c r="D51" s="62"/>
      <c r="E51" s="62"/>
      <c r="F51" s="62"/>
      <c r="G51" s="62"/>
      <c r="H51" s="63"/>
      <c r="J51" s="13"/>
      <c r="K51" s="13"/>
      <c r="L51" s="13"/>
      <c r="M51" s="13"/>
      <c r="N51" s="13"/>
    </row>
    <row r="52" spans="2:15" s="4" customFormat="1" x14ac:dyDescent="0.3">
      <c r="B52" s="64"/>
      <c r="C52" s="65"/>
      <c r="D52" s="65"/>
      <c r="E52" s="65"/>
      <c r="F52" s="65"/>
      <c r="G52" s="65"/>
      <c r="H52" s="66"/>
      <c r="J52" s="13"/>
      <c r="K52" s="13"/>
      <c r="L52" s="13"/>
      <c r="M52" s="13"/>
      <c r="N52" s="13"/>
    </row>
    <row r="53" spans="2:15" s="4" customFormat="1" x14ac:dyDescent="0.3">
      <c r="B53" s="64"/>
      <c r="C53" s="65"/>
      <c r="D53" s="65"/>
      <c r="E53" s="65"/>
      <c r="F53" s="65"/>
      <c r="G53" s="65"/>
      <c r="H53" s="66"/>
      <c r="J53" s="13"/>
      <c r="K53" s="13"/>
      <c r="L53" s="13"/>
      <c r="M53" s="13"/>
      <c r="N53" s="13"/>
    </row>
    <row r="54" spans="2:15" s="4" customFormat="1" x14ac:dyDescent="0.3">
      <c r="B54" s="67"/>
      <c r="C54" s="68"/>
      <c r="D54" s="68"/>
      <c r="E54" s="68"/>
      <c r="F54" s="68"/>
      <c r="G54" s="68"/>
      <c r="H54" s="69"/>
      <c r="J54" s="13"/>
      <c r="K54" s="13"/>
      <c r="L54" s="13"/>
      <c r="M54" s="13"/>
      <c r="N54" s="13"/>
    </row>
    <row r="55" spans="2:15" s="4" customFormat="1" x14ac:dyDescent="0.3">
      <c r="J55" s="13"/>
      <c r="K55" s="13"/>
      <c r="L55" s="13"/>
      <c r="M55" s="13"/>
      <c r="N55" s="13"/>
    </row>
    <row r="56" spans="2:15" s="4" customFormat="1" x14ac:dyDescent="0.3">
      <c r="J56" s="13"/>
      <c r="K56" s="13"/>
      <c r="L56" s="13"/>
      <c r="M56" s="13"/>
      <c r="N56" s="13"/>
    </row>
    <row r="57" spans="2:15" s="4" customFormat="1" x14ac:dyDescent="0.3">
      <c r="J57" s="13"/>
      <c r="K57" s="13"/>
      <c r="L57" s="13"/>
      <c r="M57" s="13"/>
      <c r="N57" s="13"/>
    </row>
    <row r="58" spans="2:15" s="4" customFormat="1" x14ac:dyDescent="0.3">
      <c r="J58" s="13"/>
      <c r="K58" s="13"/>
      <c r="L58" s="13"/>
      <c r="M58" s="13"/>
      <c r="N58" s="13"/>
    </row>
    <row r="59" spans="2:15" s="4" customFormat="1" x14ac:dyDescent="0.3">
      <c r="D59" s="4" t="s">
        <v>39</v>
      </c>
      <c r="F59" s="4" t="s">
        <v>39</v>
      </c>
      <c r="K59" s="13"/>
      <c r="L59" s="13"/>
      <c r="M59" s="13"/>
      <c r="N59" s="13"/>
      <c r="O59" s="13"/>
    </row>
    <row r="60" spans="2:15" s="4" customFormat="1" x14ac:dyDescent="0.3">
      <c r="K60" s="13"/>
      <c r="L60" s="13"/>
      <c r="M60" s="13"/>
      <c r="N60" s="13"/>
      <c r="O60" s="13"/>
    </row>
    <row r="61" spans="2:15" s="4" customFormat="1" x14ac:dyDescent="0.3">
      <c r="K61" s="13"/>
      <c r="L61" s="13"/>
      <c r="M61" s="13"/>
      <c r="N61" s="13"/>
      <c r="O61" s="13"/>
    </row>
    <row r="62" spans="2:15" s="4" customFormat="1" x14ac:dyDescent="0.3">
      <c r="J62" s="13"/>
      <c r="K62" s="13"/>
      <c r="L62" s="13"/>
      <c r="M62" s="13"/>
      <c r="N62" s="13"/>
    </row>
    <row r="63" spans="2:15" s="4" customFormat="1" x14ac:dyDescent="0.3">
      <c r="J63" s="13"/>
      <c r="K63" s="13"/>
      <c r="L63" s="13"/>
      <c r="M63" s="13"/>
      <c r="N63" s="13"/>
    </row>
    <row r="64" spans="2:15" s="4" customFormat="1" x14ac:dyDescent="0.3">
      <c r="J64" s="13"/>
      <c r="K64" s="13"/>
      <c r="L64" s="13"/>
      <c r="M64" s="13"/>
      <c r="N64" s="13"/>
    </row>
    <row r="65" spans="10:14" s="4" customFormat="1" x14ac:dyDescent="0.3">
      <c r="J65" s="13"/>
      <c r="K65" s="13"/>
      <c r="L65" s="13"/>
      <c r="M65" s="13"/>
      <c r="N65" s="13"/>
    </row>
    <row r="66" spans="10:14" s="4" customFormat="1" x14ac:dyDescent="0.3">
      <c r="J66" s="13"/>
      <c r="K66" s="13"/>
      <c r="L66" s="13"/>
      <c r="M66" s="13"/>
      <c r="N66" s="13"/>
    </row>
    <row r="67" spans="10:14" s="4" customFormat="1" x14ac:dyDescent="0.3">
      <c r="J67" s="13"/>
      <c r="K67" s="13"/>
      <c r="L67" s="13"/>
      <c r="M67" s="13"/>
      <c r="N67" s="13"/>
    </row>
    <row r="68" spans="10:14" s="4" customFormat="1" x14ac:dyDescent="0.3">
      <c r="J68" s="13"/>
      <c r="K68" s="13"/>
      <c r="L68" s="13"/>
      <c r="M68" s="13"/>
      <c r="N68" s="13"/>
    </row>
    <row r="69" spans="10:14" s="4" customFormat="1" x14ac:dyDescent="0.3">
      <c r="J69" s="13"/>
      <c r="K69" s="13"/>
      <c r="L69" s="13"/>
      <c r="M69" s="13"/>
      <c r="N69" s="13"/>
    </row>
    <row r="70" spans="10:14" s="4" customFormat="1" x14ac:dyDescent="0.3">
      <c r="J70" s="13"/>
      <c r="K70" s="13"/>
      <c r="L70" s="13"/>
      <c r="M70" s="13"/>
      <c r="N70" s="13"/>
    </row>
  </sheetData>
  <mergeCells count="1">
    <mergeCell ref="B51:H54"/>
  </mergeCells>
  <pageMargins left="0.51181102362204722" right="0.51181102362204722" top="0.55118110236220474" bottom="0.55118110236220474" header="0.31496062992125984" footer="0.31496062992125984"/>
  <pageSetup paperSize="9" scale="9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F97465-B59B-4E0F-99F3-D39069A257FA}">
          <x14:formula1>
            <xm:f>'DATA PROVEEDORES'!$C$2:$C$128</xm:f>
          </x14:formula1>
          <xm:sqref>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07-6A82-447F-A935-9AFC627AF23F}">
  <dimension ref="B1:H67"/>
  <sheetViews>
    <sheetView showGridLines="0" tabSelected="1" zoomScale="80" zoomScaleNormal="80" workbookViewId="0">
      <selection activeCell="K25" sqref="K25"/>
    </sheetView>
  </sheetViews>
  <sheetFormatPr baseColWidth="10" defaultColWidth="11.5546875" defaultRowHeight="15" x14ac:dyDescent="0.35"/>
  <cols>
    <col min="1" max="1" width="11.5546875" style="1"/>
    <col min="2" max="2" width="3.88671875" style="1" customWidth="1"/>
    <col min="3" max="3" width="13.77734375" style="1" customWidth="1"/>
    <col min="4" max="4" width="44.6640625" style="1" bestFit="1" customWidth="1"/>
    <col min="5" max="5" width="67.21875" style="1" bestFit="1" customWidth="1"/>
    <col min="6" max="6" width="34.44140625" style="1" customWidth="1"/>
    <col min="7" max="7" width="14.44140625" style="1" customWidth="1"/>
    <col min="8" max="16384" width="11.5546875" style="1"/>
  </cols>
  <sheetData>
    <row r="1" spans="2:8" x14ac:dyDescent="0.35">
      <c r="C1" s="36" t="s">
        <v>78</v>
      </c>
    </row>
    <row r="2" spans="2:8" x14ac:dyDescent="0.35">
      <c r="B2" s="1" t="s">
        <v>69</v>
      </c>
      <c r="C2" s="45" t="s">
        <v>77</v>
      </c>
      <c r="D2" s="45" t="s">
        <v>76</v>
      </c>
      <c r="E2" s="45" t="s">
        <v>35</v>
      </c>
      <c r="F2" s="45" t="s">
        <v>36</v>
      </c>
      <c r="G2" s="45" t="s">
        <v>37</v>
      </c>
      <c r="H2" s="43" t="s">
        <v>102</v>
      </c>
    </row>
    <row r="3" spans="2:8" x14ac:dyDescent="0.35">
      <c r="B3" s="75" t="s">
        <v>47</v>
      </c>
      <c r="C3" s="80">
        <v>20612434124</v>
      </c>
      <c r="D3" s="80" t="s">
        <v>79</v>
      </c>
      <c r="E3" s="84" t="s">
        <v>80</v>
      </c>
      <c r="F3" s="50" t="s">
        <v>81</v>
      </c>
      <c r="G3" s="49">
        <v>951166256</v>
      </c>
      <c r="H3" s="72" t="s">
        <v>103</v>
      </c>
    </row>
    <row r="4" spans="2:8" x14ac:dyDescent="0.35">
      <c r="B4" s="75"/>
      <c r="C4" s="87"/>
      <c r="D4" s="87"/>
      <c r="E4" s="85"/>
      <c r="F4" s="52" t="s">
        <v>83</v>
      </c>
      <c r="G4" s="53">
        <v>955361128</v>
      </c>
      <c r="H4" s="72"/>
    </row>
    <row r="5" spans="2:8" x14ac:dyDescent="0.35">
      <c r="B5" s="75"/>
      <c r="C5" s="87"/>
      <c r="D5" s="87"/>
      <c r="E5" s="85"/>
      <c r="F5" s="52" t="s">
        <v>82</v>
      </c>
      <c r="G5" s="53">
        <v>944245458</v>
      </c>
      <c r="H5" s="72"/>
    </row>
    <row r="6" spans="2:8" x14ac:dyDescent="0.35">
      <c r="B6" s="75"/>
      <c r="C6" s="81"/>
      <c r="D6" s="81"/>
      <c r="E6" s="86"/>
      <c r="F6" s="51" t="s">
        <v>84</v>
      </c>
      <c r="G6" s="48">
        <v>937283433</v>
      </c>
      <c r="H6" s="72"/>
    </row>
    <row r="7" spans="2:8" x14ac:dyDescent="0.35">
      <c r="B7" s="76" t="s">
        <v>48</v>
      </c>
      <c r="C7" s="71">
        <v>20613316184</v>
      </c>
      <c r="D7" s="71" t="s">
        <v>85</v>
      </c>
      <c r="E7" s="71" t="s">
        <v>86</v>
      </c>
      <c r="F7" s="48" t="s">
        <v>87</v>
      </c>
      <c r="G7" s="48">
        <v>949348085</v>
      </c>
      <c r="H7" s="79" t="s">
        <v>103</v>
      </c>
    </row>
    <row r="8" spans="2:8" x14ac:dyDescent="0.35">
      <c r="B8" s="76"/>
      <c r="C8" s="71"/>
      <c r="D8" s="71"/>
      <c r="E8" s="71"/>
      <c r="F8" s="47" t="s">
        <v>88</v>
      </c>
      <c r="G8" s="47">
        <v>912195363</v>
      </c>
      <c r="H8" s="79"/>
    </row>
    <row r="9" spans="2:8" x14ac:dyDescent="0.35">
      <c r="B9" s="58" t="s">
        <v>49</v>
      </c>
      <c r="C9" s="47">
        <v>20614181444</v>
      </c>
      <c r="D9" s="47" t="s">
        <v>89</v>
      </c>
      <c r="E9" s="47" t="s">
        <v>90</v>
      </c>
      <c r="F9" s="47" t="s">
        <v>91</v>
      </c>
      <c r="G9" s="47">
        <v>948124738</v>
      </c>
      <c r="H9" s="47" t="s">
        <v>105</v>
      </c>
    </row>
    <row r="10" spans="2:8" x14ac:dyDescent="0.35">
      <c r="B10" s="75" t="s">
        <v>50</v>
      </c>
      <c r="C10" s="47">
        <v>20611510315</v>
      </c>
      <c r="D10" s="47" t="s">
        <v>96</v>
      </c>
      <c r="E10" s="84" t="s">
        <v>97</v>
      </c>
      <c r="F10" s="80" t="s">
        <v>98</v>
      </c>
      <c r="G10" s="80">
        <v>939353078</v>
      </c>
      <c r="H10" s="72" t="s">
        <v>104</v>
      </c>
    </row>
    <row r="11" spans="2:8" x14ac:dyDescent="0.35">
      <c r="B11" s="75"/>
      <c r="C11" s="47">
        <v>20614915189</v>
      </c>
      <c r="D11" s="47" t="s">
        <v>92</v>
      </c>
      <c r="E11" s="85"/>
      <c r="F11" s="87"/>
      <c r="G11" s="87"/>
      <c r="H11" s="72"/>
    </row>
    <row r="12" spans="2:8" x14ac:dyDescent="0.35">
      <c r="B12" s="75"/>
      <c r="C12" s="47">
        <v>10719389533</v>
      </c>
      <c r="D12" s="47" t="s">
        <v>93</v>
      </c>
      <c r="E12" s="85"/>
      <c r="F12" s="87"/>
      <c r="G12" s="87"/>
      <c r="H12" s="72"/>
    </row>
    <row r="13" spans="2:8" x14ac:dyDescent="0.35">
      <c r="B13" s="75"/>
      <c r="C13" s="47">
        <v>10751305511</v>
      </c>
      <c r="D13" s="47" t="s">
        <v>94</v>
      </c>
      <c r="E13" s="85"/>
      <c r="F13" s="87"/>
      <c r="G13" s="87"/>
      <c r="H13" s="72"/>
    </row>
    <row r="14" spans="2:8" x14ac:dyDescent="0.35">
      <c r="B14" s="75"/>
      <c r="C14" s="47">
        <v>20613225995</v>
      </c>
      <c r="D14" s="47" t="s">
        <v>95</v>
      </c>
      <c r="E14" s="86"/>
      <c r="F14" s="81"/>
      <c r="G14" s="81"/>
      <c r="H14" s="72"/>
    </row>
    <row r="15" spans="2:8" ht="30" x14ac:dyDescent="0.35">
      <c r="B15" s="55" t="s">
        <v>51</v>
      </c>
      <c r="C15" s="46">
        <v>73940637</v>
      </c>
      <c r="D15" s="46" t="s">
        <v>99</v>
      </c>
      <c r="E15" s="56" t="s">
        <v>101</v>
      </c>
      <c r="F15" s="46" t="s">
        <v>100</v>
      </c>
      <c r="G15" s="46">
        <v>910425618</v>
      </c>
      <c r="H15" s="57" t="s">
        <v>103</v>
      </c>
    </row>
    <row r="16" spans="2:8" x14ac:dyDescent="0.35">
      <c r="B16" s="76" t="s">
        <v>52</v>
      </c>
      <c r="C16" s="70"/>
      <c r="D16" s="71" t="s">
        <v>106</v>
      </c>
      <c r="E16" s="80" t="s">
        <v>107</v>
      </c>
      <c r="F16" s="47" t="s">
        <v>108</v>
      </c>
      <c r="G16" s="47">
        <v>994663345</v>
      </c>
      <c r="H16" s="82" t="s">
        <v>103</v>
      </c>
    </row>
    <row r="17" spans="2:8" x14ac:dyDescent="0.35">
      <c r="B17" s="76"/>
      <c r="C17" s="70"/>
      <c r="D17" s="71"/>
      <c r="E17" s="81"/>
      <c r="F17" s="47" t="s">
        <v>109</v>
      </c>
      <c r="G17" s="47">
        <v>955475499</v>
      </c>
      <c r="H17" s="83"/>
    </row>
    <row r="18" spans="2:8" x14ac:dyDescent="0.35">
      <c r="B18" s="76" t="s">
        <v>53</v>
      </c>
      <c r="C18" s="70"/>
      <c r="D18" s="71" t="s">
        <v>110</v>
      </c>
      <c r="E18" s="77"/>
      <c r="F18" s="47" t="s">
        <v>110</v>
      </c>
      <c r="G18" s="47">
        <v>900955714</v>
      </c>
      <c r="H18" s="71" t="s">
        <v>105</v>
      </c>
    </row>
    <row r="19" spans="2:8" x14ac:dyDescent="0.35">
      <c r="B19" s="76"/>
      <c r="C19" s="70"/>
      <c r="D19" s="71"/>
      <c r="E19" s="78"/>
      <c r="F19" s="47" t="s">
        <v>111</v>
      </c>
      <c r="G19" s="59">
        <v>972645769</v>
      </c>
      <c r="H19" s="71"/>
    </row>
    <row r="20" spans="2:8" ht="29.4" customHeight="1" x14ac:dyDescent="0.35">
      <c r="B20" s="55" t="s">
        <v>54</v>
      </c>
      <c r="C20" s="46">
        <v>48558440</v>
      </c>
      <c r="D20" s="46" t="s">
        <v>112</v>
      </c>
      <c r="E20" s="46" t="s">
        <v>113</v>
      </c>
      <c r="F20" s="46" t="s">
        <v>114</v>
      </c>
      <c r="G20" s="46">
        <v>965371878</v>
      </c>
      <c r="H20" s="56" t="s">
        <v>103</v>
      </c>
    </row>
    <row r="21" spans="2:8" x14ac:dyDescent="0.35">
      <c r="B21" s="75" t="s">
        <v>55</v>
      </c>
      <c r="C21" s="71">
        <v>20615778207</v>
      </c>
      <c r="D21" s="71" t="s">
        <v>115</v>
      </c>
      <c r="E21" s="71" t="s">
        <v>116</v>
      </c>
      <c r="F21" s="47" t="s">
        <v>117</v>
      </c>
      <c r="G21" s="47">
        <v>950186349</v>
      </c>
      <c r="H21" s="72" t="s">
        <v>119</v>
      </c>
    </row>
    <row r="22" spans="2:8" x14ac:dyDescent="0.35">
      <c r="B22" s="75"/>
      <c r="C22" s="71"/>
      <c r="D22" s="71"/>
      <c r="E22" s="71"/>
      <c r="F22" s="47" t="s">
        <v>118</v>
      </c>
      <c r="G22" s="47">
        <v>947602825</v>
      </c>
      <c r="H22" s="72"/>
    </row>
    <row r="23" spans="2:8" x14ac:dyDescent="0.35">
      <c r="B23" s="54" t="s">
        <v>56</v>
      </c>
      <c r="C23" s="47">
        <v>75129824</v>
      </c>
      <c r="D23" s="47" t="s">
        <v>120</v>
      </c>
      <c r="E23" s="44"/>
      <c r="F23" s="47" t="s">
        <v>121</v>
      </c>
      <c r="G23" s="47"/>
      <c r="H23" s="47" t="s">
        <v>105</v>
      </c>
    </row>
    <row r="24" spans="2:8" ht="30" x14ac:dyDescent="0.35">
      <c r="B24" s="55" t="s">
        <v>57</v>
      </c>
      <c r="C24" s="46"/>
      <c r="D24" s="46" t="s">
        <v>122</v>
      </c>
      <c r="E24" s="46"/>
      <c r="F24" s="46" t="s">
        <v>122</v>
      </c>
      <c r="G24" s="46">
        <v>945741365</v>
      </c>
      <c r="H24" s="56" t="s">
        <v>141</v>
      </c>
    </row>
    <row r="25" spans="2:8" x14ac:dyDescent="0.35">
      <c r="B25" s="75" t="s">
        <v>58</v>
      </c>
      <c r="C25" s="71">
        <v>70042804</v>
      </c>
      <c r="D25" s="71" t="s">
        <v>123</v>
      </c>
      <c r="E25" s="72" t="s">
        <v>127</v>
      </c>
      <c r="F25" s="47" t="s">
        <v>124</v>
      </c>
      <c r="G25" s="47">
        <v>958483996</v>
      </c>
      <c r="H25" s="72" t="s">
        <v>103</v>
      </c>
    </row>
    <row r="26" spans="2:8" x14ac:dyDescent="0.35">
      <c r="B26" s="75"/>
      <c r="C26" s="71"/>
      <c r="D26" s="71"/>
      <c r="E26" s="72"/>
      <c r="F26" s="47" t="s">
        <v>125</v>
      </c>
      <c r="G26" s="47">
        <v>902608957</v>
      </c>
      <c r="H26" s="72"/>
    </row>
    <row r="27" spans="2:8" x14ac:dyDescent="0.35">
      <c r="B27" s="75"/>
      <c r="C27" s="71"/>
      <c r="D27" s="71"/>
      <c r="E27" s="72"/>
      <c r="F27" s="47" t="s">
        <v>126</v>
      </c>
      <c r="G27" s="47">
        <v>952896929</v>
      </c>
      <c r="H27" s="72"/>
    </row>
    <row r="28" spans="2:8" x14ac:dyDescent="0.35">
      <c r="B28" s="73" t="s">
        <v>59</v>
      </c>
      <c r="C28" s="70"/>
      <c r="D28" s="71" t="s">
        <v>128</v>
      </c>
      <c r="E28" s="71" t="s">
        <v>129</v>
      </c>
      <c r="F28" s="47" t="s">
        <v>128</v>
      </c>
      <c r="G28" s="47">
        <v>943595898</v>
      </c>
      <c r="H28" s="72" t="s">
        <v>103</v>
      </c>
    </row>
    <row r="29" spans="2:8" x14ac:dyDescent="0.35">
      <c r="B29" s="74"/>
      <c r="C29" s="70"/>
      <c r="D29" s="71"/>
      <c r="E29" s="71"/>
      <c r="F29" s="47" t="s">
        <v>130</v>
      </c>
      <c r="G29" s="47">
        <v>960817853</v>
      </c>
      <c r="H29" s="72"/>
    </row>
    <row r="30" spans="2:8" x14ac:dyDescent="0.35">
      <c r="B30" s="54" t="s">
        <v>60</v>
      </c>
      <c r="C30" s="47"/>
      <c r="D30" s="47" t="s">
        <v>131</v>
      </c>
      <c r="E30" s="47"/>
      <c r="F30" s="47" t="s">
        <v>131</v>
      </c>
      <c r="G30" s="47">
        <v>924091032</v>
      </c>
      <c r="H30" s="47" t="s">
        <v>105</v>
      </c>
    </row>
    <row r="31" spans="2:8" x14ac:dyDescent="0.35">
      <c r="B31" s="54" t="s">
        <v>61</v>
      </c>
      <c r="C31" s="44"/>
      <c r="D31" s="47" t="s">
        <v>132</v>
      </c>
      <c r="E31" s="47"/>
      <c r="F31" s="47" t="s">
        <v>133</v>
      </c>
      <c r="G31" s="47">
        <v>901495303</v>
      </c>
      <c r="H31" s="47" t="s">
        <v>105</v>
      </c>
    </row>
    <row r="32" spans="2:8" x14ac:dyDescent="0.35">
      <c r="B32" s="54" t="s">
        <v>62</v>
      </c>
      <c r="C32" s="44"/>
      <c r="D32" s="47" t="s">
        <v>134</v>
      </c>
      <c r="E32" s="47" t="s">
        <v>135</v>
      </c>
      <c r="F32" s="47" t="s">
        <v>134</v>
      </c>
      <c r="G32" s="47">
        <v>9958835633</v>
      </c>
      <c r="H32" s="47" t="s">
        <v>105</v>
      </c>
    </row>
    <row r="33" spans="2:8" x14ac:dyDescent="0.35">
      <c r="B33" s="54" t="s">
        <v>63</v>
      </c>
      <c r="C33" s="47"/>
      <c r="D33" s="47" t="s">
        <v>136</v>
      </c>
      <c r="E33" s="47" t="s">
        <v>137</v>
      </c>
      <c r="F33" s="47" t="s">
        <v>138</v>
      </c>
      <c r="G33" s="47">
        <v>914727861</v>
      </c>
      <c r="H33" s="47" t="s">
        <v>105</v>
      </c>
    </row>
    <row r="34" spans="2:8" ht="30" x14ac:dyDescent="0.35">
      <c r="B34" s="54" t="s">
        <v>64</v>
      </c>
      <c r="C34" s="46"/>
      <c r="D34" s="46" t="s">
        <v>139</v>
      </c>
      <c r="E34" s="46"/>
      <c r="F34" s="46" t="s">
        <v>140</v>
      </c>
      <c r="G34" s="46">
        <v>955282478</v>
      </c>
      <c r="H34" s="56" t="s">
        <v>141</v>
      </c>
    </row>
    <row r="35" spans="2:8" x14ac:dyDescent="0.35">
      <c r="B35" s="60" t="s">
        <v>65</v>
      </c>
      <c r="C35" s="47"/>
      <c r="D35" s="47" t="s">
        <v>142</v>
      </c>
      <c r="E35" s="47" t="s">
        <v>143</v>
      </c>
      <c r="F35" s="47" t="s">
        <v>144</v>
      </c>
      <c r="G35" s="47">
        <v>961273061</v>
      </c>
      <c r="H35" s="47" t="s">
        <v>105</v>
      </c>
    </row>
    <row r="36" spans="2:8" x14ac:dyDescent="0.35">
      <c r="B36" s="54" t="s">
        <v>66</v>
      </c>
      <c r="C36" s="47"/>
      <c r="D36" s="47" t="s">
        <v>145</v>
      </c>
      <c r="E36" s="47" t="s">
        <v>146</v>
      </c>
      <c r="F36" s="47" t="s">
        <v>145</v>
      </c>
      <c r="G36" s="47">
        <v>970368128</v>
      </c>
      <c r="H36" s="47" t="s">
        <v>147</v>
      </c>
    </row>
    <row r="37" spans="2:8" x14ac:dyDescent="0.35">
      <c r="B37" s="54" t="s">
        <v>67</v>
      </c>
      <c r="C37" s="47"/>
      <c r="D37" s="47" t="s">
        <v>148</v>
      </c>
      <c r="E37" s="47"/>
      <c r="F37" s="47" t="s">
        <v>149</v>
      </c>
      <c r="G37" s="47">
        <v>932491316</v>
      </c>
      <c r="H37" s="47" t="s">
        <v>147</v>
      </c>
    </row>
    <row r="38" spans="2:8" ht="30" x14ac:dyDescent="0.35">
      <c r="B38" s="55" t="s">
        <v>68</v>
      </c>
      <c r="C38" s="46">
        <v>20612436062</v>
      </c>
      <c r="D38" s="46" t="s">
        <v>150</v>
      </c>
      <c r="E38" s="46" t="s">
        <v>151</v>
      </c>
      <c r="F38" s="46" t="s">
        <v>152</v>
      </c>
      <c r="G38" s="46">
        <v>937283433</v>
      </c>
      <c r="H38" s="56" t="s">
        <v>103</v>
      </c>
    </row>
    <row r="39" spans="2:8" x14ac:dyDescent="0.35">
      <c r="B39" s="37"/>
      <c r="C39" s="42"/>
    </row>
    <row r="40" spans="2:8" x14ac:dyDescent="0.35">
      <c r="B40" s="37"/>
    </row>
    <row r="41" spans="2:8" x14ac:dyDescent="0.35">
      <c r="B41" s="37"/>
    </row>
    <row r="42" spans="2:8" x14ac:dyDescent="0.35">
      <c r="B42" s="37"/>
    </row>
    <row r="43" spans="2:8" x14ac:dyDescent="0.35">
      <c r="B43" s="37"/>
    </row>
    <row r="44" spans="2:8" x14ac:dyDescent="0.35">
      <c r="B44" s="37"/>
    </row>
    <row r="45" spans="2:8" x14ac:dyDescent="0.35">
      <c r="B45" s="37"/>
    </row>
    <row r="46" spans="2:8" x14ac:dyDescent="0.35">
      <c r="B46" s="37"/>
    </row>
    <row r="67" spans="5:5" x14ac:dyDescent="0.35">
      <c r="E67" s="1" t="s">
        <v>75</v>
      </c>
    </row>
  </sheetData>
  <mergeCells count="40">
    <mergeCell ref="G10:G14"/>
    <mergeCell ref="C3:C6"/>
    <mergeCell ref="D3:D6"/>
    <mergeCell ref="E3:E6"/>
    <mergeCell ref="H3:H6"/>
    <mergeCell ref="H7:H8"/>
    <mergeCell ref="H10:H14"/>
    <mergeCell ref="B10:B14"/>
    <mergeCell ref="B16:B17"/>
    <mergeCell ref="C16:C17"/>
    <mergeCell ref="D16:D17"/>
    <mergeCell ref="E16:E17"/>
    <mergeCell ref="H16:H17"/>
    <mergeCell ref="B3:B6"/>
    <mergeCell ref="B7:B8"/>
    <mergeCell ref="C7:C8"/>
    <mergeCell ref="D7:D8"/>
    <mergeCell ref="E7:E8"/>
    <mergeCell ref="E10:E14"/>
    <mergeCell ref="F10:F14"/>
    <mergeCell ref="B18:B19"/>
    <mergeCell ref="C18:C19"/>
    <mergeCell ref="D18:D19"/>
    <mergeCell ref="H18:H19"/>
    <mergeCell ref="E18:E19"/>
    <mergeCell ref="B21:B22"/>
    <mergeCell ref="D25:D27"/>
    <mergeCell ref="E25:E27"/>
    <mergeCell ref="C25:C27"/>
    <mergeCell ref="H25:H27"/>
    <mergeCell ref="B25:B27"/>
    <mergeCell ref="H21:H22"/>
    <mergeCell ref="C21:C22"/>
    <mergeCell ref="D21:D22"/>
    <mergeCell ref="E21:E22"/>
    <mergeCell ref="C28:C29"/>
    <mergeCell ref="D28:D29"/>
    <mergeCell ref="E28:E29"/>
    <mergeCell ref="H28:H29"/>
    <mergeCell ref="B28:B29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OC</vt:lpstr>
      <vt:lpstr>DATA 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Yarlequé</dc:creator>
  <cp:lastModifiedBy>USER</cp:lastModifiedBy>
  <cp:lastPrinted>2026-08-04T16:50:02Z</cp:lastPrinted>
  <dcterms:created xsi:type="dcterms:W3CDTF">2026-07-03T17:53:32Z</dcterms:created>
  <dcterms:modified xsi:type="dcterms:W3CDTF">2026-08-05T21:58:27Z</dcterms:modified>
</cp:coreProperties>
</file>