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5E6164-7002-4B10-8D2A-A6C94D32268B}" xr6:coauthVersionLast="47" xr6:coauthVersionMax="47" xr10:uidLastSave="{00000000-0000-0000-0000-000000000000}"/>
  <bookViews>
    <workbookView xWindow="-108" yWindow="-108" windowWidth="23256" windowHeight="12456" firstSheet="21" activeTab="28" xr2:uid="{B67BC98D-A533-4C48-B154-66A7C0B9D86C}"/>
  </bookViews>
  <sheets>
    <sheet name="ALFALION" sheetId="3" r:id="rId1"/>
    <sheet name="DANIEL ESPINOZA." sheetId="48" r:id="rId2"/>
    <sheet name=" GEYMA - LUIS G" sheetId="1" r:id="rId3"/>
    <sheet name="LUIS MARIN" sheetId="2" r:id="rId4"/>
    <sheet name="JHON CANTO" sheetId="4" r:id="rId5"/>
    <sheet name="ROBERTO CASTILLO" sheetId="33" r:id="rId6"/>
    <sheet name="JOSE PUELLES" sheetId="32" r:id="rId7"/>
    <sheet name="ÑAUPARI" sheetId="11" r:id="rId8"/>
    <sheet name="LUIS JURADO" sheetId="9" r:id="rId9"/>
    <sheet name="ERICK CHAVEZ " sheetId="5" r:id="rId10"/>
    <sheet name="DAVID SARMIENTO" sheetId="10" r:id="rId11"/>
    <sheet name="DANIEL MEZA" sheetId="8" r:id="rId12"/>
    <sheet name="JEAN" sheetId="13" r:id="rId13"/>
    <sheet name="CARLOS ESPARZA" sheetId="46" r:id="rId14"/>
    <sheet name="AUSTIN SANTOS" sheetId="44" r:id="rId15"/>
    <sheet name="RENZO" sheetId="29" r:id="rId16"/>
    <sheet name="ALONSO CHUNGA" sheetId="34" r:id="rId17"/>
    <sheet name="HENRY " sheetId="35" r:id="rId18"/>
    <sheet name="LEO HIDALGO" sheetId="38" r:id="rId19"/>
    <sheet name="FIESTAS" sheetId="36" r:id="rId20"/>
    <sheet name="JAIRO OCHOA" sheetId="39" r:id="rId21"/>
    <sheet name="NEXARA SAC" sheetId="40" r:id="rId22"/>
    <sheet name="CARLA RIVERA" sheetId="41" r:id="rId23"/>
    <sheet name="JHON AVILA" sheetId="49" r:id="rId24"/>
    <sheet name="ANGIE CRUZ" sheetId="42" r:id="rId25"/>
    <sheet name="KELLY PEÑA" sheetId="43" r:id="rId26"/>
    <sheet name="ALEXANDRA" sheetId="7" r:id="rId27"/>
    <sheet name="KENY " sheetId="30" r:id="rId28"/>
    <sheet name="Hoja1" sheetId="12" r:id="rId29"/>
    <sheet name="JUAN FORMULAS" sheetId="31" r:id="rId30"/>
    <sheet name="AUTOMOTRIZ" sheetId="27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34" l="1"/>
  <c r="E46" i="34"/>
  <c r="J45" i="34"/>
  <c r="I45" i="34"/>
  <c r="H45" i="34"/>
  <c r="G45" i="34"/>
  <c r="J44" i="34"/>
  <c r="I44" i="34"/>
  <c r="H44" i="34"/>
  <c r="G44" i="34"/>
  <c r="J43" i="34"/>
  <c r="I43" i="34"/>
  <c r="H43" i="34"/>
  <c r="J42" i="34"/>
  <c r="I42" i="34"/>
  <c r="H42" i="34"/>
  <c r="J41" i="34"/>
  <c r="I41" i="34"/>
  <c r="H41" i="34"/>
  <c r="G41" i="34"/>
  <c r="J40" i="34"/>
  <c r="I40" i="34"/>
  <c r="H40" i="34"/>
  <c r="G40" i="34"/>
  <c r="J39" i="34"/>
  <c r="I39" i="34"/>
  <c r="H39" i="34"/>
  <c r="G39" i="34"/>
  <c r="J38" i="34"/>
  <c r="I38" i="34"/>
  <c r="H38" i="34"/>
  <c r="G38" i="34"/>
  <c r="J37" i="34"/>
  <c r="I37" i="34"/>
  <c r="H37" i="34"/>
  <c r="G37" i="34"/>
  <c r="J36" i="34"/>
  <c r="J46" i="34" s="1"/>
  <c r="I36" i="34"/>
  <c r="I46" i="34" s="1"/>
  <c r="H36" i="34"/>
  <c r="G36" i="34"/>
  <c r="J35" i="34"/>
  <c r="I35" i="34"/>
  <c r="H35" i="34"/>
  <c r="G35" i="34"/>
  <c r="G46" i="34" s="1"/>
  <c r="I66" i="39" l="1"/>
  <c r="H66" i="39"/>
  <c r="G66" i="39"/>
  <c r="D66" i="39"/>
  <c r="F65" i="39"/>
  <c r="F64" i="39"/>
  <c r="F63" i="39"/>
  <c r="F62" i="39"/>
  <c r="F61" i="39"/>
  <c r="F60" i="39"/>
  <c r="F59" i="39"/>
  <c r="F58" i="39"/>
  <c r="F57" i="39"/>
  <c r="F56" i="39"/>
  <c r="F55" i="39"/>
  <c r="F54" i="39"/>
  <c r="F66" i="39" s="1"/>
  <c r="J1323" i="3"/>
  <c r="I1323" i="3"/>
  <c r="H1323" i="3"/>
  <c r="E1323" i="3"/>
  <c r="G1310" i="3"/>
  <c r="G1323" i="3" s="1"/>
  <c r="I50" i="44"/>
  <c r="H50" i="44"/>
  <c r="G50" i="44"/>
  <c r="D50" i="44"/>
  <c r="F42" i="44"/>
  <c r="F50" i="44" s="1"/>
  <c r="I60" i="13"/>
  <c r="H60" i="13"/>
  <c r="G60" i="13"/>
  <c r="D60" i="13"/>
  <c r="F52" i="13"/>
  <c r="F60" i="13" s="1"/>
  <c r="J1305" i="3"/>
  <c r="I1305" i="3"/>
  <c r="H1305" i="3"/>
  <c r="E1305" i="3"/>
  <c r="G1300" i="3"/>
  <c r="G1305" i="3" s="1"/>
  <c r="I46" i="36"/>
  <c r="H46" i="36"/>
  <c r="G46" i="36"/>
  <c r="F46" i="36"/>
  <c r="D46" i="36"/>
  <c r="F35" i="36"/>
  <c r="J1295" i="3"/>
  <c r="I1295" i="3"/>
  <c r="H1295" i="3"/>
  <c r="E1295" i="3"/>
  <c r="G1284" i="3"/>
  <c r="G1295" i="3" s="1"/>
  <c r="I31" i="48"/>
  <c r="H31" i="48"/>
  <c r="G31" i="48"/>
  <c r="D31" i="48"/>
  <c r="F25" i="48"/>
  <c r="F31" i="48" s="1"/>
  <c r="I401" i="1"/>
  <c r="I415" i="1"/>
  <c r="I49" i="39"/>
  <c r="H49" i="39"/>
  <c r="F49" i="39"/>
  <c r="D49" i="39"/>
  <c r="G48" i="39"/>
  <c r="G47" i="39"/>
  <c r="G46" i="39"/>
  <c r="G45" i="39"/>
  <c r="G44" i="39"/>
  <c r="G43" i="39"/>
  <c r="G42" i="39"/>
  <c r="G41" i="39"/>
  <c r="G40" i="39"/>
  <c r="G39" i="39"/>
  <c r="G38" i="39"/>
  <c r="F38" i="39"/>
  <c r="I33" i="39"/>
  <c r="H33" i="39"/>
  <c r="D33" i="39"/>
  <c r="G32" i="39"/>
  <c r="G31" i="39"/>
  <c r="G30" i="39"/>
  <c r="G29" i="39"/>
  <c r="G28" i="39"/>
  <c r="G27" i="39"/>
  <c r="G26" i="39"/>
  <c r="G25" i="39"/>
  <c r="G24" i="39"/>
  <c r="G23" i="39"/>
  <c r="G22" i="39"/>
  <c r="F22" i="39"/>
  <c r="F33" i="39" s="1"/>
  <c r="J174" i="10"/>
  <c r="I174" i="10"/>
  <c r="H174" i="10"/>
  <c r="E174" i="10"/>
  <c r="G169" i="10"/>
  <c r="G174" i="10" s="1"/>
  <c r="I350" i="2"/>
  <c r="H350" i="2"/>
  <c r="G350" i="2"/>
  <c r="D350" i="2"/>
  <c r="F345" i="2"/>
  <c r="F350" i="2" s="1"/>
  <c r="I319" i="4"/>
  <c r="H319" i="4"/>
  <c r="G319" i="4"/>
  <c r="D319" i="4"/>
  <c r="F307" i="4"/>
  <c r="F319" i="4" s="1"/>
  <c r="D301" i="4"/>
  <c r="F299" i="4"/>
  <c r="J1278" i="3"/>
  <c r="I1278" i="3"/>
  <c r="H1278" i="3"/>
  <c r="E1278" i="3"/>
  <c r="G1270" i="3"/>
  <c r="G1278" i="3" s="1"/>
  <c r="I14" i="49"/>
  <c r="H14" i="49"/>
  <c r="G14" i="49"/>
  <c r="D14" i="49"/>
  <c r="F5" i="49"/>
  <c r="F14" i="49" s="1"/>
  <c r="I19" i="48"/>
  <c r="H19" i="48"/>
  <c r="G19" i="48"/>
  <c r="D19" i="48"/>
  <c r="F14" i="48"/>
  <c r="F19" i="48" s="1"/>
  <c r="I8" i="48"/>
  <c r="H8" i="48"/>
  <c r="G8" i="48"/>
  <c r="D8" i="48"/>
  <c r="F5" i="48"/>
  <c r="F8" i="48" s="1"/>
  <c r="I340" i="2"/>
  <c r="H340" i="2"/>
  <c r="G340" i="2"/>
  <c r="D340" i="2"/>
  <c r="F335" i="2"/>
  <c r="F340" i="2" s="1"/>
  <c r="J1265" i="3"/>
  <c r="I1265" i="3"/>
  <c r="H1265" i="3"/>
  <c r="E1265" i="3"/>
  <c r="G1253" i="3"/>
  <c r="G1265" i="3" s="1"/>
  <c r="F5" i="13"/>
  <c r="G5" i="13"/>
  <c r="H5" i="13" s="1"/>
  <c r="F6" i="13"/>
  <c r="G6" i="13"/>
  <c r="H6" i="13"/>
  <c r="F7" i="13"/>
  <c r="G7" i="13"/>
  <c r="H7" i="13" s="1"/>
  <c r="F8" i="13"/>
  <c r="G8" i="13"/>
  <c r="H8" i="13"/>
  <c r="F9" i="13"/>
  <c r="G9" i="13"/>
  <c r="H9" i="13" s="1"/>
  <c r="F10" i="13"/>
  <c r="G10" i="13"/>
  <c r="H10" i="13" s="1"/>
  <c r="D11" i="13"/>
  <c r="I37" i="44"/>
  <c r="H37" i="44"/>
  <c r="G37" i="44"/>
  <c r="D37" i="44"/>
  <c r="F32" i="44"/>
  <c r="F37" i="44" s="1"/>
  <c r="I188" i="4"/>
  <c r="H188" i="4"/>
  <c r="G188" i="4"/>
  <c r="D188" i="4"/>
  <c r="F184" i="4"/>
  <c r="F188" i="4" s="1"/>
  <c r="I331" i="2"/>
  <c r="H331" i="2"/>
  <c r="G331" i="2"/>
  <c r="D331" i="2"/>
  <c r="F321" i="2"/>
  <c r="F331" i="2" s="1"/>
  <c r="J1248" i="3"/>
  <c r="I1248" i="3"/>
  <c r="H1248" i="3"/>
  <c r="E1248" i="3"/>
  <c r="G1236" i="3"/>
  <c r="G1248" i="3" s="1"/>
  <c r="J1230" i="3"/>
  <c r="I1230" i="3"/>
  <c r="H1230" i="3"/>
  <c r="E1230" i="3"/>
  <c r="G1225" i="3"/>
  <c r="G1230" i="3" s="1"/>
  <c r="J163" i="10"/>
  <c r="I163" i="10"/>
  <c r="H163" i="10"/>
  <c r="G163" i="10"/>
  <c r="E163" i="10"/>
  <c r="G158" i="10"/>
  <c r="J153" i="10"/>
  <c r="I153" i="10"/>
  <c r="H153" i="10"/>
  <c r="E153" i="10"/>
  <c r="G144" i="10"/>
  <c r="G153" i="10" s="1"/>
  <c r="H415" i="1"/>
  <c r="G415" i="1"/>
  <c r="D415" i="1"/>
  <c r="F406" i="1"/>
  <c r="F415" i="1" s="1"/>
  <c r="E1220" i="3"/>
  <c r="J1219" i="3"/>
  <c r="I1219" i="3"/>
  <c r="H1219" i="3"/>
  <c r="J1218" i="3"/>
  <c r="I1218" i="3"/>
  <c r="H1218" i="3"/>
  <c r="J1217" i="3"/>
  <c r="I1217" i="3"/>
  <c r="H1217" i="3"/>
  <c r="J1216" i="3"/>
  <c r="I1216" i="3"/>
  <c r="H1216" i="3"/>
  <c r="J1210" i="3"/>
  <c r="I1210" i="3"/>
  <c r="H1210" i="3"/>
  <c r="E1210" i="3"/>
  <c r="G1207" i="3"/>
  <c r="G1210" i="3" s="1"/>
  <c r="J1202" i="3"/>
  <c r="I1202" i="3"/>
  <c r="H1202" i="3"/>
  <c r="E1202" i="3"/>
  <c r="G1199" i="3"/>
  <c r="G1202" i="3" s="1"/>
  <c r="J1194" i="3"/>
  <c r="I1194" i="3"/>
  <c r="H1194" i="3"/>
  <c r="E1194" i="3"/>
  <c r="G1191" i="3"/>
  <c r="G1194" i="3" s="1"/>
  <c r="I316" i="2"/>
  <c r="H316" i="2"/>
  <c r="G316" i="2"/>
  <c r="D316" i="2"/>
  <c r="F310" i="2"/>
  <c r="F316" i="2" s="1"/>
  <c r="J138" i="10"/>
  <c r="I138" i="10"/>
  <c r="H138" i="10"/>
  <c r="E138" i="10"/>
  <c r="G129" i="10"/>
  <c r="G138" i="10" s="1"/>
  <c r="J1186" i="3"/>
  <c r="I1186" i="3"/>
  <c r="H1186" i="3"/>
  <c r="E1186" i="3"/>
  <c r="G1177" i="3"/>
  <c r="G1186" i="3" s="1"/>
  <c r="I1170" i="3"/>
  <c r="H1170" i="3"/>
  <c r="E1170" i="3"/>
  <c r="G1166" i="3"/>
  <c r="G1170" i="3" s="1"/>
  <c r="E793" i="3"/>
  <c r="I294" i="4"/>
  <c r="I301" i="4" s="1"/>
  <c r="H294" i="4"/>
  <c r="H301" i="4" s="1"/>
  <c r="G294" i="4"/>
  <c r="G301" i="4" s="1"/>
  <c r="F294" i="4"/>
  <c r="D294" i="4"/>
  <c r="H1161" i="3"/>
  <c r="G1161" i="3"/>
  <c r="F1161" i="3"/>
  <c r="E1161" i="3"/>
  <c r="H401" i="1"/>
  <c r="G401" i="1"/>
  <c r="D401" i="1"/>
  <c r="F390" i="1"/>
  <c r="F401" i="1" s="1"/>
  <c r="H1147" i="3"/>
  <c r="G1147" i="3"/>
  <c r="F1147" i="3"/>
  <c r="E1147" i="3"/>
  <c r="D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I16" i="46"/>
  <c r="H16" i="46"/>
  <c r="G16" i="46"/>
  <c r="D16" i="46"/>
  <c r="F5" i="46"/>
  <c r="F16" i="46" s="1"/>
  <c r="H1134" i="3"/>
  <c r="G1134" i="3"/>
  <c r="F1134" i="3"/>
  <c r="E1134" i="3"/>
  <c r="I78" i="29"/>
  <c r="H78" i="29"/>
  <c r="G78" i="29"/>
  <c r="D78" i="29"/>
  <c r="F67" i="29"/>
  <c r="F78" i="29" s="1"/>
  <c r="H1122" i="3"/>
  <c r="G1122" i="3"/>
  <c r="F1122" i="3"/>
  <c r="E1122" i="3"/>
  <c r="I305" i="2"/>
  <c r="H305" i="2"/>
  <c r="G305" i="2"/>
  <c r="D305" i="2"/>
  <c r="F295" i="2"/>
  <c r="F305" i="2" s="1"/>
  <c r="I290" i="2"/>
  <c r="H290" i="2"/>
  <c r="G290" i="2"/>
  <c r="D290" i="2"/>
  <c r="F283" i="2"/>
  <c r="F290" i="2" s="1"/>
  <c r="E1110" i="3"/>
  <c r="I17" i="39"/>
  <c r="H17" i="39"/>
  <c r="G17" i="39"/>
  <c r="D17" i="39"/>
  <c r="F7" i="39"/>
  <c r="F17" i="39" s="1"/>
  <c r="G385" i="1"/>
  <c r="F385" i="1"/>
  <c r="E385" i="1"/>
  <c r="D385" i="1"/>
  <c r="H1091" i="3"/>
  <c r="G1091" i="3"/>
  <c r="F1091" i="3"/>
  <c r="E1091" i="3"/>
  <c r="H1074" i="3"/>
  <c r="G1074" i="3"/>
  <c r="F1074" i="3"/>
  <c r="E1074" i="3"/>
  <c r="I168" i="8"/>
  <c r="H168" i="8"/>
  <c r="F168" i="8"/>
  <c r="D168" i="8"/>
  <c r="G165" i="8"/>
  <c r="G168" i="8" s="1"/>
  <c r="F160" i="8"/>
  <c r="I154" i="8"/>
  <c r="H154" i="8"/>
  <c r="G154" i="8"/>
  <c r="D154" i="8"/>
  <c r="F144" i="8"/>
  <c r="F154" i="8" s="1"/>
  <c r="H1054" i="3"/>
  <c r="G1054" i="3"/>
  <c r="F1054" i="3"/>
  <c r="E1054" i="3"/>
  <c r="I29" i="41"/>
  <c r="H29" i="41"/>
  <c r="G29" i="41"/>
  <c r="D29" i="41"/>
  <c r="F17" i="41"/>
  <c r="F29" i="41" s="1"/>
  <c r="J30" i="34"/>
  <c r="I30" i="34"/>
  <c r="E30" i="34"/>
  <c r="H29" i="34"/>
  <c r="H28" i="34"/>
  <c r="H27" i="34"/>
  <c r="H26" i="34"/>
  <c r="H25" i="34"/>
  <c r="H24" i="34"/>
  <c r="H23" i="34"/>
  <c r="H22" i="34"/>
  <c r="H21" i="34"/>
  <c r="H30" i="34" s="1"/>
  <c r="G21" i="34"/>
  <c r="G30" i="34" s="1"/>
  <c r="I278" i="2"/>
  <c r="H278" i="2"/>
  <c r="D278" i="2"/>
  <c r="G277" i="2"/>
  <c r="G276" i="2"/>
  <c r="G275" i="2"/>
  <c r="G274" i="2"/>
  <c r="G273" i="2"/>
  <c r="G272" i="2"/>
  <c r="G271" i="2"/>
  <c r="G270" i="2"/>
  <c r="G269" i="2"/>
  <c r="F269" i="2"/>
  <c r="F278" i="2" s="1"/>
  <c r="H1025" i="3"/>
  <c r="G1025" i="3"/>
  <c r="F1025" i="3"/>
  <c r="E1025" i="3"/>
  <c r="F1012" i="3"/>
  <c r="E1012" i="3"/>
  <c r="I264" i="2"/>
  <c r="H264" i="2"/>
  <c r="G264" i="2"/>
  <c r="F264" i="2"/>
  <c r="D264" i="2"/>
  <c r="I247" i="2"/>
  <c r="H247" i="2"/>
  <c r="G247" i="2"/>
  <c r="F247" i="2"/>
  <c r="D247" i="2"/>
  <c r="J123" i="10"/>
  <c r="I123" i="10"/>
  <c r="H123" i="10"/>
  <c r="G123" i="10"/>
  <c r="E123" i="10"/>
  <c r="D47" i="13"/>
  <c r="I46" i="13"/>
  <c r="G46" i="13"/>
  <c r="H46" i="13" s="1"/>
  <c r="F46" i="13"/>
  <c r="I45" i="13"/>
  <c r="G45" i="13"/>
  <c r="H45" i="13" s="1"/>
  <c r="F45" i="13"/>
  <c r="I44" i="13"/>
  <c r="G44" i="13"/>
  <c r="H44" i="13" s="1"/>
  <c r="F44" i="13"/>
  <c r="I43" i="13"/>
  <c r="G43" i="13"/>
  <c r="H43" i="13" s="1"/>
  <c r="F43" i="13"/>
  <c r="I42" i="13"/>
  <c r="G42" i="13"/>
  <c r="H42" i="13" s="1"/>
  <c r="F42" i="13"/>
  <c r="I41" i="13"/>
  <c r="G41" i="13"/>
  <c r="H41" i="13" s="1"/>
  <c r="F41" i="13"/>
  <c r="I40" i="13"/>
  <c r="G40" i="13"/>
  <c r="F40" i="13"/>
  <c r="D27" i="44"/>
  <c r="I26" i="44"/>
  <c r="G26" i="44"/>
  <c r="H26" i="44" s="1"/>
  <c r="F26" i="44"/>
  <c r="I25" i="44"/>
  <c r="G25" i="44"/>
  <c r="H25" i="44" s="1"/>
  <c r="F25" i="44"/>
  <c r="I24" i="44"/>
  <c r="G24" i="44"/>
  <c r="H24" i="44" s="1"/>
  <c r="F24" i="44"/>
  <c r="I23" i="44"/>
  <c r="H23" i="44"/>
  <c r="G23" i="44"/>
  <c r="F23" i="44"/>
  <c r="I22" i="44"/>
  <c r="G22" i="44"/>
  <c r="H22" i="44" s="1"/>
  <c r="F22" i="44"/>
  <c r="I21" i="44"/>
  <c r="H21" i="44"/>
  <c r="G21" i="44"/>
  <c r="F21" i="44"/>
  <c r="I20" i="44"/>
  <c r="I27" i="44" s="1"/>
  <c r="G20" i="44"/>
  <c r="H20" i="44" s="1"/>
  <c r="F20" i="44"/>
  <c r="F27" i="44" s="1"/>
  <c r="D230" i="2"/>
  <c r="I229" i="2"/>
  <c r="G229" i="2"/>
  <c r="H229" i="2" s="1"/>
  <c r="F229" i="2"/>
  <c r="I228" i="2"/>
  <c r="G228" i="2"/>
  <c r="H228" i="2" s="1"/>
  <c r="F228" i="2"/>
  <c r="I227" i="2"/>
  <c r="G227" i="2"/>
  <c r="H227" i="2" s="1"/>
  <c r="F227" i="2"/>
  <c r="I226" i="2"/>
  <c r="G226" i="2"/>
  <c r="H226" i="2" s="1"/>
  <c r="F226" i="2"/>
  <c r="I225" i="2"/>
  <c r="G225" i="2"/>
  <c r="H225" i="2" s="1"/>
  <c r="F225" i="2"/>
  <c r="I224" i="2"/>
  <c r="G224" i="2"/>
  <c r="H224" i="2" s="1"/>
  <c r="F224" i="2"/>
  <c r="I223" i="2"/>
  <c r="G223" i="2"/>
  <c r="H223" i="2" s="1"/>
  <c r="F223" i="2"/>
  <c r="D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I206" i="2"/>
  <c r="H206" i="2"/>
  <c r="F206" i="2"/>
  <c r="D206" i="2"/>
  <c r="J105" i="10"/>
  <c r="I105" i="10"/>
  <c r="G105" i="10"/>
  <c r="E105" i="10"/>
  <c r="E996" i="3"/>
  <c r="H47" i="27"/>
  <c r="G47" i="27"/>
  <c r="F47" i="27"/>
  <c r="D47" i="27"/>
  <c r="I61" i="33"/>
  <c r="H61" i="33"/>
  <c r="G61" i="33"/>
  <c r="E61" i="33"/>
  <c r="H73" i="32"/>
  <c r="G73" i="32"/>
  <c r="F73" i="32"/>
  <c r="D73" i="32"/>
  <c r="I15" i="44"/>
  <c r="H15" i="44"/>
  <c r="G15" i="44"/>
  <c r="F15" i="44"/>
  <c r="D15" i="44"/>
  <c r="I281" i="4"/>
  <c r="H281" i="4"/>
  <c r="F281" i="4"/>
  <c r="D281" i="4"/>
  <c r="I267" i="4"/>
  <c r="H267" i="4"/>
  <c r="G267" i="4"/>
  <c r="D267" i="4"/>
  <c r="F255" i="4"/>
  <c r="F267" i="4" s="1"/>
  <c r="I31" i="32"/>
  <c r="H31" i="32"/>
  <c r="G31" i="32"/>
  <c r="D31" i="32"/>
  <c r="F19" i="32"/>
  <c r="F31" i="32" s="1"/>
  <c r="F982" i="3"/>
  <c r="E982" i="3"/>
  <c r="J47" i="33"/>
  <c r="H47" i="33"/>
  <c r="E47" i="33"/>
  <c r="I45" i="33"/>
  <c r="G45" i="33"/>
  <c r="I44" i="33"/>
  <c r="G44" i="33"/>
  <c r="I43" i="33"/>
  <c r="G43" i="33"/>
  <c r="I42" i="33"/>
  <c r="G42" i="33"/>
  <c r="I41" i="33"/>
  <c r="G41" i="33"/>
  <c r="I40" i="33"/>
  <c r="G40" i="33"/>
  <c r="I39" i="33"/>
  <c r="I38" i="33"/>
  <c r="I37" i="33"/>
  <c r="I36" i="33"/>
  <c r="G36" i="33"/>
  <c r="I35" i="33"/>
  <c r="I47" i="33" s="1"/>
  <c r="G35" i="33"/>
  <c r="G47" i="33" s="1"/>
  <c r="I34" i="33"/>
  <c r="G34" i="33"/>
  <c r="F965" i="3"/>
  <c r="E965" i="3"/>
  <c r="F302" i="3"/>
  <c r="E302" i="3"/>
  <c r="F951" i="3"/>
  <c r="E951" i="3"/>
  <c r="F935" i="3"/>
  <c r="E935" i="3"/>
  <c r="I218" i="2"/>
  <c r="H218" i="2"/>
  <c r="G218" i="2"/>
  <c r="D218" i="2"/>
  <c r="F211" i="2"/>
  <c r="F218" i="2" s="1"/>
  <c r="G373" i="1"/>
  <c r="F373" i="1"/>
  <c r="E373" i="1"/>
  <c r="D373" i="1"/>
  <c r="I12" i="41"/>
  <c r="H12" i="41"/>
  <c r="G12" i="41"/>
  <c r="F12" i="41"/>
  <c r="D12" i="41"/>
  <c r="F4" i="41"/>
  <c r="F118" i="3"/>
  <c r="E118" i="3"/>
  <c r="F916" i="3"/>
  <c r="E916" i="3"/>
  <c r="I15" i="43"/>
  <c r="H15" i="43"/>
  <c r="G15" i="43"/>
  <c r="D15" i="43"/>
  <c r="F5" i="43"/>
  <c r="F15" i="43" s="1"/>
  <c r="E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D98" i="1"/>
  <c r="G97" i="1"/>
  <c r="E97" i="1"/>
  <c r="F97" i="1" s="1"/>
  <c r="G96" i="1"/>
  <c r="E96" i="1"/>
  <c r="F96" i="1" s="1"/>
  <c r="G95" i="1"/>
  <c r="E95" i="1"/>
  <c r="F95" i="1" s="1"/>
  <c r="G94" i="1"/>
  <c r="E94" i="1"/>
  <c r="F94" i="1" s="1"/>
  <c r="G93" i="1"/>
  <c r="E93" i="1"/>
  <c r="F93" i="1" s="1"/>
  <c r="G92" i="1"/>
  <c r="E92" i="1"/>
  <c r="F92" i="1" s="1"/>
  <c r="G91" i="1"/>
  <c r="E91" i="1"/>
  <c r="F91" i="1" s="1"/>
  <c r="G90" i="1"/>
  <c r="E90" i="1"/>
  <c r="F90" i="1" s="1"/>
  <c r="G89" i="1"/>
  <c r="E89" i="1"/>
  <c r="F89" i="1" s="1"/>
  <c r="G88" i="1"/>
  <c r="F88" i="1"/>
  <c r="E88" i="1"/>
  <c r="I15" i="42"/>
  <c r="H15" i="42"/>
  <c r="G15" i="42"/>
  <c r="D15" i="42"/>
  <c r="F14" i="42"/>
  <c r="F11" i="42"/>
  <c r="F10" i="42"/>
  <c r="F4" i="42"/>
  <c r="F15" i="42" s="1"/>
  <c r="I30" i="36"/>
  <c r="H30" i="36"/>
  <c r="G30" i="36"/>
  <c r="D30" i="36"/>
  <c r="F29" i="36"/>
  <c r="F28" i="36"/>
  <c r="F27" i="36"/>
  <c r="F26" i="36"/>
  <c r="F25" i="36"/>
  <c r="F24" i="36"/>
  <c r="F23" i="36"/>
  <c r="F22" i="36"/>
  <c r="F21" i="36"/>
  <c r="F30" i="36" s="1"/>
  <c r="I15" i="40"/>
  <c r="D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G8" i="40"/>
  <c r="F8" i="40"/>
  <c r="G7" i="40"/>
  <c r="F7" i="40"/>
  <c r="G6" i="40"/>
  <c r="F6" i="40"/>
  <c r="G5" i="40"/>
  <c r="G15" i="40" s="1"/>
  <c r="F5" i="40"/>
  <c r="F15" i="40" s="1"/>
  <c r="G356" i="1"/>
  <c r="F356" i="1"/>
  <c r="E356" i="1"/>
  <c r="D356" i="1"/>
  <c r="G338" i="1"/>
  <c r="F338" i="1"/>
  <c r="E338" i="1"/>
  <c r="D338" i="1"/>
  <c r="G11" i="13" l="1"/>
  <c r="F301" i="4"/>
  <c r="G230" i="2"/>
  <c r="I230" i="2"/>
  <c r="F230" i="2"/>
  <c r="G278" i="2"/>
  <c r="J1220" i="3"/>
  <c r="E66" i="1"/>
  <c r="G49" i="39"/>
  <c r="G33" i="39"/>
  <c r="I1220" i="3"/>
  <c r="H11" i="13"/>
  <c r="G47" i="13"/>
  <c r="F11" i="13"/>
  <c r="H1220" i="3"/>
  <c r="F66" i="1"/>
  <c r="G66" i="1"/>
  <c r="F282" i="1"/>
  <c r="I47" i="13"/>
  <c r="F47" i="13"/>
  <c r="H40" i="13"/>
  <c r="H47" i="13" s="1"/>
  <c r="H27" i="44"/>
  <c r="G27" i="44"/>
  <c r="H230" i="2"/>
  <c r="E282" i="1"/>
  <c r="G282" i="1"/>
  <c r="E98" i="1"/>
  <c r="G98" i="1"/>
  <c r="F98" i="1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22" i="8"/>
  <c r="I207" i="4"/>
  <c r="I208" i="4"/>
  <c r="I209" i="4"/>
  <c r="I210" i="4"/>
  <c r="I211" i="4"/>
  <c r="I212" i="4"/>
  <c r="I213" i="4"/>
  <c r="I206" i="4"/>
  <c r="G6" i="2"/>
  <c r="G7" i="2"/>
  <c r="G8" i="2"/>
  <c r="G9" i="2"/>
  <c r="G5" i="2"/>
  <c r="I183" i="2"/>
  <c r="I184" i="2"/>
  <c r="I185" i="2"/>
  <c r="I186" i="2"/>
  <c r="I187" i="2"/>
  <c r="I188" i="2"/>
  <c r="I189" i="2"/>
  <c r="I190" i="2"/>
  <c r="I191" i="2"/>
  <c r="I182" i="2"/>
  <c r="H16" i="10"/>
  <c r="H17" i="10"/>
  <c r="H18" i="10"/>
  <c r="H15" i="10"/>
  <c r="H28" i="38"/>
  <c r="I28" i="38"/>
  <c r="J28" i="38"/>
  <c r="H27" i="38"/>
  <c r="I27" i="38"/>
  <c r="J27" i="38"/>
  <c r="E31" i="38"/>
  <c r="J30" i="38"/>
  <c r="I30" i="38"/>
  <c r="H30" i="38"/>
  <c r="G30" i="38"/>
  <c r="J29" i="38"/>
  <c r="I29" i="38"/>
  <c r="H29" i="38"/>
  <c r="G29" i="38"/>
  <c r="J26" i="38"/>
  <c r="I26" i="38"/>
  <c r="H26" i="38"/>
  <c r="G26" i="38"/>
  <c r="J25" i="38"/>
  <c r="I25" i="38"/>
  <c r="H25" i="38"/>
  <c r="G25" i="38"/>
  <c r="J24" i="38"/>
  <c r="I24" i="38"/>
  <c r="H24" i="38"/>
  <c r="G24" i="38"/>
  <c r="J23" i="38"/>
  <c r="I23" i="38"/>
  <c r="H23" i="38"/>
  <c r="G23" i="38"/>
  <c r="J22" i="38"/>
  <c r="I22" i="38"/>
  <c r="H22" i="38"/>
  <c r="G22" i="38"/>
  <c r="J21" i="38"/>
  <c r="I21" i="38"/>
  <c r="H21" i="38"/>
  <c r="G21" i="38"/>
  <c r="J20" i="38"/>
  <c r="I20" i="38"/>
  <c r="H20" i="38"/>
  <c r="G20" i="38"/>
  <c r="F207" i="31"/>
  <c r="L206" i="31"/>
  <c r="K206" i="31"/>
  <c r="I206" i="31"/>
  <c r="J206" i="31" s="1"/>
  <c r="H206" i="31"/>
  <c r="L205" i="31"/>
  <c r="K205" i="31"/>
  <c r="I205" i="31"/>
  <c r="J205" i="31" s="1"/>
  <c r="H205" i="31"/>
  <c r="L204" i="31"/>
  <c r="K204" i="31"/>
  <c r="I204" i="31"/>
  <c r="J204" i="31" s="1"/>
  <c r="H204" i="31"/>
  <c r="L203" i="31"/>
  <c r="K203" i="31"/>
  <c r="I203" i="31"/>
  <c r="J203" i="31" s="1"/>
  <c r="H203" i="31"/>
  <c r="L202" i="31"/>
  <c r="L207" i="31" s="1"/>
  <c r="K202" i="31"/>
  <c r="K207" i="31" s="1"/>
  <c r="I202" i="31"/>
  <c r="H202" i="31"/>
  <c r="H207" i="31" s="1"/>
  <c r="E883" i="3"/>
  <c r="H882" i="3"/>
  <c r="G882" i="3"/>
  <c r="F882" i="3"/>
  <c r="H881" i="3"/>
  <c r="G881" i="3"/>
  <c r="F881" i="3"/>
  <c r="H880" i="3"/>
  <c r="G880" i="3"/>
  <c r="F880" i="3"/>
  <c r="H876" i="3"/>
  <c r="G876" i="3"/>
  <c r="F876" i="3"/>
  <c r="H875" i="3"/>
  <c r="G875" i="3"/>
  <c r="F875" i="3"/>
  <c r="H874" i="3"/>
  <c r="G874" i="3"/>
  <c r="F874" i="3"/>
  <c r="H873" i="3"/>
  <c r="G873" i="3"/>
  <c r="F873" i="3"/>
  <c r="H872" i="3"/>
  <c r="G872" i="3"/>
  <c r="F872" i="3"/>
  <c r="H871" i="3"/>
  <c r="G871" i="3"/>
  <c r="F871" i="3"/>
  <c r="H190" i="31"/>
  <c r="F197" i="31"/>
  <c r="L196" i="31"/>
  <c r="K196" i="31"/>
  <c r="I196" i="31"/>
  <c r="J196" i="31" s="1"/>
  <c r="H196" i="31"/>
  <c r="L195" i="31"/>
  <c r="K195" i="31"/>
  <c r="I195" i="31"/>
  <c r="J195" i="31" s="1"/>
  <c r="H195" i="31"/>
  <c r="L194" i="31"/>
  <c r="K194" i="31"/>
  <c r="I194" i="31"/>
  <c r="J194" i="31" s="1"/>
  <c r="H194" i="31"/>
  <c r="L193" i="31"/>
  <c r="K193" i="31"/>
  <c r="I193" i="31"/>
  <c r="J193" i="31" s="1"/>
  <c r="H193" i="31"/>
  <c r="L192" i="31"/>
  <c r="K192" i="31"/>
  <c r="I192" i="31"/>
  <c r="J192" i="31" s="1"/>
  <c r="H192" i="31"/>
  <c r="L191" i="31"/>
  <c r="K191" i="31"/>
  <c r="I191" i="31"/>
  <c r="J191" i="31" s="1"/>
  <c r="H191" i="31"/>
  <c r="L190" i="31"/>
  <c r="K190" i="31"/>
  <c r="I190" i="31"/>
  <c r="I181" i="31"/>
  <c r="J181" i="31"/>
  <c r="K181" i="31"/>
  <c r="I173" i="31"/>
  <c r="I174" i="31"/>
  <c r="I175" i="31"/>
  <c r="I176" i="31"/>
  <c r="I177" i="31"/>
  <c r="I178" i="31"/>
  <c r="I179" i="31"/>
  <c r="I180" i="31"/>
  <c r="I182" i="31"/>
  <c r="I183" i="31"/>
  <c r="I184" i="31"/>
  <c r="J173" i="31"/>
  <c r="J174" i="31"/>
  <c r="J175" i="31"/>
  <c r="J176" i="31"/>
  <c r="J177" i="31"/>
  <c r="J178" i="31"/>
  <c r="J179" i="31"/>
  <c r="J180" i="31"/>
  <c r="J182" i="31"/>
  <c r="J183" i="31"/>
  <c r="J184" i="31"/>
  <c r="I172" i="31"/>
  <c r="J172" i="31"/>
  <c r="F185" i="31"/>
  <c r="K184" i="31"/>
  <c r="K183" i="31"/>
  <c r="H183" i="31"/>
  <c r="K182" i="31"/>
  <c r="H182" i="31"/>
  <c r="K180" i="31"/>
  <c r="H180" i="31"/>
  <c r="K179" i="31"/>
  <c r="H179" i="31"/>
  <c r="K178" i="31"/>
  <c r="H178" i="31"/>
  <c r="K177" i="31"/>
  <c r="H177" i="31"/>
  <c r="K176" i="31"/>
  <c r="H176" i="31"/>
  <c r="K175" i="31"/>
  <c r="H175" i="31"/>
  <c r="K174" i="31"/>
  <c r="H174" i="31"/>
  <c r="K173" i="31"/>
  <c r="H173" i="31"/>
  <c r="K172" i="31"/>
  <c r="H172" i="31"/>
  <c r="E867" i="3"/>
  <c r="G866" i="3"/>
  <c r="F866" i="3"/>
  <c r="G865" i="3"/>
  <c r="F865" i="3"/>
  <c r="G864" i="3"/>
  <c r="F864" i="3"/>
  <c r="G863" i="3"/>
  <c r="F863" i="3"/>
  <c r="G862" i="3"/>
  <c r="F862" i="3"/>
  <c r="E857" i="3"/>
  <c r="G856" i="3"/>
  <c r="F856" i="3"/>
  <c r="G855" i="3"/>
  <c r="F855" i="3"/>
  <c r="G854" i="3"/>
  <c r="F854" i="3"/>
  <c r="D192" i="2"/>
  <c r="J191" i="2"/>
  <c r="G191" i="2"/>
  <c r="H191" i="2" s="1"/>
  <c r="F191" i="2"/>
  <c r="J190" i="2"/>
  <c r="G190" i="2"/>
  <c r="H190" i="2" s="1"/>
  <c r="F190" i="2"/>
  <c r="J189" i="2"/>
  <c r="G189" i="2"/>
  <c r="H189" i="2" s="1"/>
  <c r="F189" i="2"/>
  <c r="J188" i="2"/>
  <c r="G188" i="2"/>
  <c r="H188" i="2" s="1"/>
  <c r="F188" i="2"/>
  <c r="J187" i="2"/>
  <c r="G187" i="2"/>
  <c r="H187" i="2" s="1"/>
  <c r="F187" i="2"/>
  <c r="J186" i="2"/>
  <c r="G186" i="2"/>
  <c r="H186" i="2" s="1"/>
  <c r="F186" i="2"/>
  <c r="J185" i="2"/>
  <c r="G185" i="2"/>
  <c r="H185" i="2" s="1"/>
  <c r="F185" i="2"/>
  <c r="J184" i="2"/>
  <c r="G184" i="2"/>
  <c r="H184" i="2" s="1"/>
  <c r="F184" i="2"/>
  <c r="J183" i="2"/>
  <c r="G183" i="2"/>
  <c r="H183" i="2" s="1"/>
  <c r="F183" i="2"/>
  <c r="J182" i="2"/>
  <c r="G182" i="2"/>
  <c r="F182" i="2"/>
  <c r="G241" i="4"/>
  <c r="H241" i="4" s="1"/>
  <c r="G242" i="4"/>
  <c r="H242" i="4" s="1"/>
  <c r="G243" i="4"/>
  <c r="H243" i="4" s="1"/>
  <c r="G244" i="4"/>
  <c r="H244" i="4" s="1"/>
  <c r="G245" i="4"/>
  <c r="H245" i="4" s="1"/>
  <c r="G246" i="4"/>
  <c r="H246" i="4" s="1"/>
  <c r="G247" i="4"/>
  <c r="H247" i="4" s="1"/>
  <c r="G248" i="4"/>
  <c r="H248" i="4" s="1"/>
  <c r="G249" i="4"/>
  <c r="H249" i="4" s="1"/>
  <c r="G240" i="4"/>
  <c r="D250" i="4"/>
  <c r="J249" i="4"/>
  <c r="I249" i="4"/>
  <c r="F249" i="4"/>
  <c r="J248" i="4"/>
  <c r="I248" i="4"/>
  <c r="F248" i="4"/>
  <c r="J247" i="4"/>
  <c r="I247" i="4"/>
  <c r="F247" i="4"/>
  <c r="J246" i="4"/>
  <c r="I246" i="4"/>
  <c r="F246" i="4"/>
  <c r="J245" i="4"/>
  <c r="I245" i="4"/>
  <c r="F245" i="4"/>
  <c r="J244" i="4"/>
  <c r="I244" i="4"/>
  <c r="F244" i="4"/>
  <c r="J243" i="4"/>
  <c r="I243" i="4"/>
  <c r="F243" i="4"/>
  <c r="J242" i="4"/>
  <c r="I242" i="4"/>
  <c r="F242" i="4"/>
  <c r="J241" i="4"/>
  <c r="I241" i="4"/>
  <c r="F241" i="4"/>
  <c r="J240" i="4"/>
  <c r="I240" i="4"/>
  <c r="F240" i="4"/>
  <c r="H110" i="8"/>
  <c r="G110" i="8"/>
  <c r="F122" i="8"/>
  <c r="F123" i="8"/>
  <c r="F124" i="8"/>
  <c r="F125" i="8"/>
  <c r="F126" i="8"/>
  <c r="F127" i="8"/>
  <c r="F128" i="8"/>
  <c r="F129" i="8"/>
  <c r="F138" i="8"/>
  <c r="F136" i="8"/>
  <c r="F135" i="8"/>
  <c r="F134" i="8"/>
  <c r="H136" i="8"/>
  <c r="I136" i="8"/>
  <c r="H135" i="8"/>
  <c r="I135" i="8"/>
  <c r="H134" i="8"/>
  <c r="I134" i="8"/>
  <c r="D139" i="8"/>
  <c r="I138" i="8"/>
  <c r="H138" i="8"/>
  <c r="I137" i="8"/>
  <c r="H137" i="8"/>
  <c r="F137" i="8"/>
  <c r="I133" i="8"/>
  <c r="H133" i="8"/>
  <c r="F133" i="8"/>
  <c r="I132" i="8"/>
  <c r="H132" i="8"/>
  <c r="F132" i="8"/>
  <c r="I131" i="8"/>
  <c r="H131" i="8"/>
  <c r="F131" i="8"/>
  <c r="I130" i="8"/>
  <c r="H130" i="8"/>
  <c r="H139" i="8" s="1"/>
  <c r="F130" i="8"/>
  <c r="F842" i="3"/>
  <c r="F843" i="3"/>
  <c r="F844" i="3"/>
  <c r="F845" i="3"/>
  <c r="F846" i="3"/>
  <c r="F847" i="3"/>
  <c r="F848" i="3"/>
  <c r="F841" i="3"/>
  <c r="G842" i="3"/>
  <c r="G843" i="3"/>
  <c r="G844" i="3"/>
  <c r="G845" i="3"/>
  <c r="G846" i="3"/>
  <c r="G847" i="3"/>
  <c r="G848" i="3"/>
  <c r="G841" i="3"/>
  <c r="E849" i="3"/>
  <c r="H165" i="31"/>
  <c r="I165" i="31"/>
  <c r="J165" i="31" s="1"/>
  <c r="K165" i="31"/>
  <c r="E162" i="1"/>
  <c r="E163" i="1"/>
  <c r="E164" i="1"/>
  <c r="E165" i="1"/>
  <c r="E166" i="1"/>
  <c r="E167" i="1"/>
  <c r="E168" i="1"/>
  <c r="E169" i="1"/>
  <c r="E170" i="1"/>
  <c r="E171" i="1"/>
  <c r="E172" i="1"/>
  <c r="E161" i="1"/>
  <c r="F829" i="3"/>
  <c r="F830" i="3"/>
  <c r="F831" i="3"/>
  <c r="F832" i="3"/>
  <c r="F833" i="3"/>
  <c r="F834" i="3"/>
  <c r="F835" i="3"/>
  <c r="F828" i="3"/>
  <c r="E836" i="3"/>
  <c r="G835" i="3"/>
  <c r="H835" i="3"/>
  <c r="H834" i="3"/>
  <c r="G834" i="3"/>
  <c r="H833" i="3"/>
  <c r="G833" i="3"/>
  <c r="H832" i="3"/>
  <c r="G832" i="3"/>
  <c r="H831" i="3"/>
  <c r="G831" i="3"/>
  <c r="H830" i="3"/>
  <c r="G830" i="3"/>
  <c r="H829" i="3"/>
  <c r="G829" i="3"/>
  <c r="H828" i="3"/>
  <c r="G828" i="3"/>
  <c r="F167" i="31"/>
  <c r="K166" i="31"/>
  <c r="I166" i="31"/>
  <c r="J166" i="31" s="1"/>
  <c r="H166" i="31"/>
  <c r="K164" i="31"/>
  <c r="I164" i="31"/>
  <c r="J164" i="31" s="1"/>
  <c r="H164" i="31"/>
  <c r="K163" i="31"/>
  <c r="I163" i="31"/>
  <c r="J163" i="31" s="1"/>
  <c r="H163" i="31"/>
  <c r="K162" i="31"/>
  <c r="I162" i="31"/>
  <c r="J162" i="31" s="1"/>
  <c r="H162" i="31"/>
  <c r="K161" i="31"/>
  <c r="I161" i="31"/>
  <c r="J161" i="31" s="1"/>
  <c r="H161" i="31"/>
  <c r="K160" i="31"/>
  <c r="I160" i="31"/>
  <c r="J160" i="31" s="1"/>
  <c r="H160" i="31"/>
  <c r="K159" i="31"/>
  <c r="I159" i="31"/>
  <c r="J159" i="31" s="1"/>
  <c r="H159" i="31"/>
  <c r="K158" i="31"/>
  <c r="I158" i="31"/>
  <c r="J158" i="31" s="1"/>
  <c r="H158" i="31"/>
  <c r="K157" i="31"/>
  <c r="I157" i="31"/>
  <c r="J157" i="31" s="1"/>
  <c r="H157" i="31"/>
  <c r="K156" i="31"/>
  <c r="I156" i="31"/>
  <c r="H156" i="31"/>
  <c r="H81" i="10"/>
  <c r="H82" i="10"/>
  <c r="H83" i="10"/>
  <c r="H84" i="10"/>
  <c r="H85" i="10"/>
  <c r="H86" i="10"/>
  <c r="H87" i="10"/>
  <c r="H88" i="10"/>
  <c r="H89" i="10"/>
  <c r="H90" i="10"/>
  <c r="H91" i="10"/>
  <c r="H80" i="10"/>
  <c r="G81" i="10"/>
  <c r="G82" i="10"/>
  <c r="G83" i="10"/>
  <c r="G84" i="10"/>
  <c r="G85" i="10"/>
  <c r="G86" i="10"/>
  <c r="G87" i="10"/>
  <c r="G88" i="10"/>
  <c r="G89" i="10"/>
  <c r="G90" i="10"/>
  <c r="G91" i="10"/>
  <c r="G80" i="10"/>
  <c r="E92" i="10"/>
  <c r="I91" i="10"/>
  <c r="I90" i="10"/>
  <c r="I89" i="10"/>
  <c r="I88" i="10"/>
  <c r="I87" i="10"/>
  <c r="I86" i="10"/>
  <c r="I85" i="10"/>
  <c r="I84" i="10"/>
  <c r="I83" i="10"/>
  <c r="I80" i="10"/>
  <c r="E822" i="3"/>
  <c r="F821" i="3"/>
  <c r="F820" i="3"/>
  <c r="F819" i="3"/>
  <c r="F818" i="3"/>
  <c r="F817" i="3"/>
  <c r="F816" i="3"/>
  <c r="F815" i="3"/>
  <c r="F814" i="3"/>
  <c r="F151" i="31"/>
  <c r="K143" i="31"/>
  <c r="I143" i="31"/>
  <c r="J143" i="31" s="1"/>
  <c r="H143" i="31"/>
  <c r="K142" i="31"/>
  <c r="I142" i="31"/>
  <c r="J142" i="31" s="1"/>
  <c r="H142" i="31"/>
  <c r="K150" i="31"/>
  <c r="I150" i="31"/>
  <c r="J150" i="31" s="1"/>
  <c r="H150" i="31"/>
  <c r="K149" i="31"/>
  <c r="I149" i="31"/>
  <c r="J149" i="31" s="1"/>
  <c r="H149" i="31"/>
  <c r="K148" i="31"/>
  <c r="I148" i="31"/>
  <c r="J148" i="31" s="1"/>
  <c r="H148" i="31"/>
  <c r="K147" i="31"/>
  <c r="I147" i="31"/>
  <c r="J147" i="31" s="1"/>
  <c r="H147" i="31"/>
  <c r="K146" i="31"/>
  <c r="I146" i="31"/>
  <c r="J146" i="31" s="1"/>
  <c r="H146" i="31"/>
  <c r="K145" i="31"/>
  <c r="I145" i="31"/>
  <c r="J145" i="31" s="1"/>
  <c r="H145" i="31"/>
  <c r="K144" i="31"/>
  <c r="I144" i="31"/>
  <c r="J144" i="31" s="1"/>
  <c r="H144" i="31"/>
  <c r="K141" i="31"/>
  <c r="K151" i="31" s="1"/>
  <c r="I141" i="31"/>
  <c r="H141" i="31"/>
  <c r="H151" i="31" s="1"/>
  <c r="F808" i="3"/>
  <c r="F807" i="3"/>
  <c r="F806" i="3"/>
  <c r="F805" i="3"/>
  <c r="F804" i="3"/>
  <c r="F803" i="3"/>
  <c r="F802" i="3"/>
  <c r="F801" i="3"/>
  <c r="F800" i="3"/>
  <c r="F799" i="3"/>
  <c r="F798" i="3"/>
  <c r="J88" i="2"/>
  <c r="J89" i="2"/>
  <c r="J90" i="2"/>
  <c r="J91" i="2"/>
  <c r="J92" i="2"/>
  <c r="J93" i="2"/>
  <c r="J94" i="2"/>
  <c r="J95" i="2"/>
  <c r="J87" i="2"/>
  <c r="I87" i="2"/>
  <c r="G95" i="2"/>
  <c r="G90" i="2"/>
  <c r="G87" i="2"/>
  <c r="I95" i="2"/>
  <c r="I88" i="2"/>
  <c r="I89" i="2"/>
  <c r="I90" i="2"/>
  <c r="I91" i="2"/>
  <c r="I92" i="2"/>
  <c r="I93" i="2"/>
  <c r="I94" i="2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20" i="4"/>
  <c r="G220" i="4"/>
  <c r="G234" i="4"/>
  <c r="G233" i="4"/>
  <c r="G232" i="4"/>
  <c r="G230" i="4"/>
  <c r="G229" i="4"/>
  <c r="G228" i="4"/>
  <c r="G227" i="4"/>
  <c r="G226" i="4"/>
  <c r="G225" i="4"/>
  <c r="G224" i="4"/>
  <c r="G223" i="4"/>
  <c r="G222" i="4"/>
  <c r="G221" i="4"/>
  <c r="G231" i="4"/>
  <c r="D235" i="4"/>
  <c r="H234" i="4"/>
  <c r="F234" i="4"/>
  <c r="H233" i="4"/>
  <c r="F233" i="4"/>
  <c r="H232" i="4"/>
  <c r="F232" i="4"/>
  <c r="H231" i="4"/>
  <c r="F231" i="4"/>
  <c r="D223" i="1"/>
  <c r="F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10" i="1"/>
  <c r="G195" i="1"/>
  <c r="G196" i="1"/>
  <c r="G197" i="1"/>
  <c r="G198" i="1"/>
  <c r="G199" i="1"/>
  <c r="G200" i="1"/>
  <c r="G201" i="1"/>
  <c r="G202" i="1"/>
  <c r="G203" i="1"/>
  <c r="G204" i="1"/>
  <c r="G194" i="1"/>
  <c r="F195" i="1"/>
  <c r="F196" i="1"/>
  <c r="F197" i="1"/>
  <c r="F198" i="1"/>
  <c r="F199" i="1"/>
  <c r="F200" i="1"/>
  <c r="F201" i="1"/>
  <c r="F202" i="1"/>
  <c r="F203" i="1"/>
  <c r="F204" i="1"/>
  <c r="F194" i="1"/>
  <c r="E195" i="1"/>
  <c r="E196" i="1"/>
  <c r="E197" i="1"/>
  <c r="E198" i="1"/>
  <c r="E199" i="1"/>
  <c r="E200" i="1"/>
  <c r="E201" i="1"/>
  <c r="E202" i="1"/>
  <c r="E203" i="1"/>
  <c r="E204" i="1"/>
  <c r="E194" i="1"/>
  <c r="G71" i="1"/>
  <c r="G33" i="1"/>
  <c r="G34" i="1"/>
  <c r="G35" i="1"/>
  <c r="G36" i="1"/>
  <c r="G37" i="1"/>
  <c r="G38" i="1"/>
  <c r="G39" i="1"/>
  <c r="G32" i="1"/>
  <c r="F33" i="1"/>
  <c r="F34" i="1"/>
  <c r="F35" i="1"/>
  <c r="F36" i="1"/>
  <c r="F37" i="1"/>
  <c r="F38" i="1"/>
  <c r="F39" i="1"/>
  <c r="F32" i="1"/>
  <c r="E32" i="1"/>
  <c r="E16" i="1"/>
  <c r="G6" i="1"/>
  <c r="G7" i="1"/>
  <c r="G8" i="1"/>
  <c r="G5" i="1"/>
  <c r="E6" i="1"/>
  <c r="E7" i="1"/>
  <c r="E8" i="1"/>
  <c r="E5" i="1"/>
  <c r="F6" i="1"/>
  <c r="F7" i="1"/>
  <c r="F8" i="1"/>
  <c r="F5" i="1"/>
  <c r="F277" i="3"/>
  <c r="F278" i="3"/>
  <c r="F279" i="3"/>
  <c r="F280" i="3"/>
  <c r="F281" i="3"/>
  <c r="F282" i="3"/>
  <c r="F276" i="3"/>
  <c r="F251" i="3"/>
  <c r="F252" i="3"/>
  <c r="F253" i="3"/>
  <c r="F254" i="3"/>
  <c r="F255" i="3"/>
  <c r="F256" i="3"/>
  <c r="F257" i="3"/>
  <c r="F258" i="3"/>
  <c r="F259" i="3"/>
  <c r="F250" i="3"/>
  <c r="F149" i="3"/>
  <c r="F150" i="3"/>
  <c r="F148" i="3"/>
  <c r="G124" i="3"/>
  <c r="G125" i="3"/>
  <c r="G126" i="3"/>
  <c r="G127" i="3"/>
  <c r="G123" i="3"/>
  <c r="F124" i="3"/>
  <c r="F125" i="3"/>
  <c r="F126" i="3"/>
  <c r="F127" i="3"/>
  <c r="F123" i="3"/>
  <c r="F82" i="3"/>
  <c r="F83" i="3"/>
  <c r="F84" i="3"/>
  <c r="F85" i="3"/>
  <c r="F86" i="3"/>
  <c r="F87" i="3"/>
  <c r="F88" i="3"/>
  <c r="F89" i="3"/>
  <c r="F90" i="3"/>
  <c r="F81" i="3"/>
  <c r="F73" i="3"/>
  <c r="F63" i="3"/>
  <c r="F49" i="3"/>
  <c r="F6" i="3"/>
  <c r="F7" i="3"/>
  <c r="F8" i="3"/>
  <c r="F9" i="3"/>
  <c r="F10" i="3"/>
  <c r="F11" i="3"/>
  <c r="F12" i="3"/>
  <c r="F5" i="3"/>
  <c r="F791" i="3"/>
  <c r="F790" i="3"/>
  <c r="F789" i="3"/>
  <c r="I6" i="38"/>
  <c r="I7" i="38"/>
  <c r="I8" i="38"/>
  <c r="I9" i="38"/>
  <c r="I10" i="38"/>
  <c r="I11" i="38"/>
  <c r="I12" i="38"/>
  <c r="I13" i="38"/>
  <c r="I5" i="38"/>
  <c r="J6" i="38"/>
  <c r="J7" i="38"/>
  <c r="J8" i="38"/>
  <c r="J9" i="38"/>
  <c r="J10" i="38"/>
  <c r="J11" i="38"/>
  <c r="J12" i="38"/>
  <c r="J13" i="38"/>
  <c r="J5" i="38"/>
  <c r="H6" i="38"/>
  <c r="H7" i="38"/>
  <c r="H8" i="38"/>
  <c r="H9" i="38"/>
  <c r="H10" i="38"/>
  <c r="H11" i="38"/>
  <c r="H12" i="38"/>
  <c r="H13" i="38"/>
  <c r="H5" i="38"/>
  <c r="E14" i="38"/>
  <c r="G13" i="38"/>
  <c r="G12" i="38"/>
  <c r="G11" i="38"/>
  <c r="G10" i="38"/>
  <c r="G9" i="38"/>
  <c r="G8" i="38"/>
  <c r="G7" i="38"/>
  <c r="G6" i="38"/>
  <c r="G5" i="38"/>
  <c r="E781" i="3"/>
  <c r="F780" i="3"/>
  <c r="F779" i="3"/>
  <c r="F778" i="3"/>
  <c r="F777" i="3"/>
  <c r="F776" i="3"/>
  <c r="F775" i="3"/>
  <c r="D176" i="2"/>
  <c r="J175" i="2"/>
  <c r="I175" i="2"/>
  <c r="G175" i="2"/>
  <c r="F175" i="2"/>
  <c r="J174" i="2"/>
  <c r="I174" i="2"/>
  <c r="G174" i="2"/>
  <c r="F174" i="2"/>
  <c r="J173" i="2"/>
  <c r="I173" i="2"/>
  <c r="G173" i="2"/>
  <c r="F173" i="2"/>
  <c r="J172" i="2"/>
  <c r="I172" i="2"/>
  <c r="G172" i="2"/>
  <c r="F172" i="2"/>
  <c r="J171" i="2"/>
  <c r="I171" i="2"/>
  <c r="G171" i="2"/>
  <c r="F171" i="2"/>
  <c r="G5" i="36"/>
  <c r="H6" i="36"/>
  <c r="H7" i="36"/>
  <c r="H8" i="36"/>
  <c r="H9" i="36"/>
  <c r="H10" i="36"/>
  <c r="H11" i="36"/>
  <c r="H12" i="36"/>
  <c r="H13" i="36"/>
  <c r="H14" i="36"/>
  <c r="H15" i="36"/>
  <c r="H5" i="36"/>
  <c r="G6" i="36"/>
  <c r="G7" i="36"/>
  <c r="G8" i="36"/>
  <c r="G9" i="36"/>
  <c r="G10" i="36"/>
  <c r="G11" i="36"/>
  <c r="G12" i="36"/>
  <c r="G13" i="36"/>
  <c r="G14" i="36"/>
  <c r="G15" i="36"/>
  <c r="D16" i="36"/>
  <c r="F15" i="36"/>
  <c r="F14" i="36"/>
  <c r="F13" i="36"/>
  <c r="F12" i="36"/>
  <c r="F11" i="36"/>
  <c r="F10" i="36"/>
  <c r="F9" i="36"/>
  <c r="F8" i="36"/>
  <c r="F7" i="36"/>
  <c r="F6" i="36"/>
  <c r="F5" i="36"/>
  <c r="E74" i="10"/>
  <c r="H73" i="10"/>
  <c r="I73" i="10" s="1"/>
  <c r="G73" i="10"/>
  <c r="H72" i="10"/>
  <c r="I72" i="10" s="1"/>
  <c r="G72" i="10"/>
  <c r="H71" i="10"/>
  <c r="I71" i="10" s="1"/>
  <c r="G71" i="10"/>
  <c r="H70" i="10"/>
  <c r="I70" i="10" s="1"/>
  <c r="G70" i="10"/>
  <c r="H69" i="10"/>
  <c r="G69" i="10"/>
  <c r="I168" i="4"/>
  <c r="I169" i="4"/>
  <c r="I170" i="4"/>
  <c r="I171" i="4"/>
  <c r="I172" i="4"/>
  <c r="I173" i="4"/>
  <c r="I174" i="4"/>
  <c r="I175" i="4"/>
  <c r="I176" i="4"/>
  <c r="I177" i="4"/>
  <c r="I178" i="4"/>
  <c r="I167" i="4"/>
  <c r="D179" i="4"/>
  <c r="G154" i="2"/>
  <c r="H154" i="2"/>
  <c r="I154" i="2"/>
  <c r="G160" i="2"/>
  <c r="H160" i="2"/>
  <c r="I160" i="2"/>
  <c r="G159" i="2"/>
  <c r="H159" i="2"/>
  <c r="I159" i="2"/>
  <c r="D166" i="2"/>
  <c r="I165" i="2"/>
  <c r="H165" i="2"/>
  <c r="G165" i="2"/>
  <c r="F165" i="2"/>
  <c r="I164" i="2"/>
  <c r="H164" i="2"/>
  <c r="G164" i="2"/>
  <c r="F164" i="2"/>
  <c r="I163" i="2"/>
  <c r="H163" i="2"/>
  <c r="G163" i="2"/>
  <c r="F163" i="2"/>
  <c r="I162" i="2"/>
  <c r="H162" i="2"/>
  <c r="G162" i="2"/>
  <c r="F162" i="2"/>
  <c r="I161" i="2"/>
  <c r="H161" i="2"/>
  <c r="G161" i="2"/>
  <c r="F161" i="2"/>
  <c r="I158" i="2"/>
  <c r="H158" i="2"/>
  <c r="G158" i="2"/>
  <c r="F158" i="2"/>
  <c r="I157" i="2"/>
  <c r="H157" i="2"/>
  <c r="G157" i="2"/>
  <c r="F157" i="2"/>
  <c r="I156" i="2"/>
  <c r="H156" i="2"/>
  <c r="G156" i="2"/>
  <c r="F156" i="2"/>
  <c r="I155" i="2"/>
  <c r="H155" i="2"/>
  <c r="G155" i="2"/>
  <c r="F155" i="2"/>
  <c r="I153" i="2"/>
  <c r="H153" i="2"/>
  <c r="G153" i="2"/>
  <c r="F153" i="2"/>
  <c r="I152" i="2"/>
  <c r="H152" i="2"/>
  <c r="G152" i="2"/>
  <c r="F152" i="2"/>
  <c r="I151" i="2"/>
  <c r="H151" i="2"/>
  <c r="G151" i="2"/>
  <c r="F151" i="2"/>
  <c r="I150" i="2"/>
  <c r="H150" i="2"/>
  <c r="G150" i="2"/>
  <c r="F150" i="2"/>
  <c r="F320" i="1"/>
  <c r="F321" i="1"/>
  <c r="F317" i="1"/>
  <c r="D324" i="1"/>
  <c r="G323" i="1"/>
  <c r="E323" i="1"/>
  <c r="G322" i="1"/>
  <c r="F322" i="1"/>
  <c r="E322" i="1"/>
  <c r="G321" i="1"/>
  <c r="E321" i="1"/>
  <c r="G320" i="1"/>
  <c r="E320" i="1"/>
  <c r="G319" i="1"/>
  <c r="F319" i="1"/>
  <c r="G318" i="1"/>
  <c r="F318" i="1"/>
  <c r="E318" i="1"/>
  <c r="G317" i="1"/>
  <c r="E317" i="1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05" i="3"/>
  <c r="F605" i="3"/>
  <c r="F157" i="3"/>
  <c r="F158" i="3"/>
  <c r="F159" i="3"/>
  <c r="F160" i="3"/>
  <c r="F161" i="3"/>
  <c r="F162" i="3"/>
  <c r="F156" i="3"/>
  <c r="B160" i="3"/>
  <c r="B159" i="3"/>
  <c r="D144" i="2"/>
  <c r="I143" i="2"/>
  <c r="G143" i="2"/>
  <c r="F143" i="2"/>
  <c r="I142" i="2"/>
  <c r="G142" i="2"/>
  <c r="F142" i="2"/>
  <c r="I141" i="2"/>
  <c r="G141" i="2"/>
  <c r="F141" i="2"/>
  <c r="I140" i="2"/>
  <c r="G140" i="2"/>
  <c r="F140" i="2"/>
  <c r="I139" i="2"/>
  <c r="G139" i="2"/>
  <c r="F139" i="2"/>
  <c r="I138" i="2"/>
  <c r="G138" i="2"/>
  <c r="F138" i="2"/>
  <c r="I137" i="2"/>
  <c r="G137" i="2"/>
  <c r="F137" i="2"/>
  <c r="I136" i="2"/>
  <c r="G136" i="2"/>
  <c r="F136" i="2"/>
  <c r="I135" i="2"/>
  <c r="G135" i="2"/>
  <c r="H135" i="2" s="1"/>
  <c r="F135" i="2"/>
  <c r="J88" i="4"/>
  <c r="J89" i="4"/>
  <c r="J90" i="4"/>
  <c r="J91" i="4"/>
  <c r="J92" i="4"/>
  <c r="J87" i="4"/>
  <c r="I88" i="4"/>
  <c r="I89" i="4"/>
  <c r="I90" i="4"/>
  <c r="I91" i="4"/>
  <c r="I92" i="4"/>
  <c r="I87" i="4"/>
  <c r="G88" i="4"/>
  <c r="G89" i="4"/>
  <c r="G90" i="4"/>
  <c r="G91" i="4"/>
  <c r="G92" i="4"/>
  <c r="G87" i="4"/>
  <c r="C139" i="31"/>
  <c r="E303" i="1"/>
  <c r="E304" i="1"/>
  <c r="E305" i="1"/>
  <c r="E306" i="1"/>
  <c r="E307" i="1"/>
  <c r="E308" i="1"/>
  <c r="E309" i="1"/>
  <c r="E310" i="1"/>
  <c r="E311" i="1"/>
  <c r="E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D312" i="1"/>
  <c r="G302" i="1"/>
  <c r="F302" i="1"/>
  <c r="J48" i="2"/>
  <c r="J49" i="2"/>
  <c r="J50" i="2"/>
  <c r="J51" i="2"/>
  <c r="J47" i="2"/>
  <c r="I48" i="2"/>
  <c r="I49" i="2"/>
  <c r="I50" i="2"/>
  <c r="I51" i="2"/>
  <c r="I47" i="2"/>
  <c r="B762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56" i="3"/>
  <c r="G626" i="3"/>
  <c r="G627" i="3"/>
  <c r="G628" i="3"/>
  <c r="G629" i="3"/>
  <c r="G630" i="3"/>
  <c r="G631" i="3"/>
  <c r="G632" i="3"/>
  <c r="G633" i="3"/>
  <c r="G634" i="3"/>
  <c r="G625" i="3"/>
  <c r="F626" i="3"/>
  <c r="F627" i="3"/>
  <c r="F628" i="3"/>
  <c r="F629" i="3"/>
  <c r="F630" i="3"/>
  <c r="F631" i="3"/>
  <c r="F632" i="3"/>
  <c r="F633" i="3"/>
  <c r="F634" i="3"/>
  <c r="G73" i="1"/>
  <c r="F351" i="3"/>
  <c r="F352" i="3"/>
  <c r="F353" i="3"/>
  <c r="F354" i="3"/>
  <c r="F355" i="3"/>
  <c r="F356" i="3"/>
  <c r="F357" i="3"/>
  <c r="F358" i="3"/>
  <c r="F359" i="3"/>
  <c r="F360" i="3"/>
  <c r="F350" i="3"/>
  <c r="J9" i="32"/>
  <c r="J6" i="32"/>
  <c r="G6" i="32"/>
  <c r="G7" i="32"/>
  <c r="G8" i="32"/>
  <c r="G9" i="32"/>
  <c r="G13" i="32"/>
  <c r="G12" i="32"/>
  <c r="G10" i="32"/>
  <c r="G11" i="32"/>
  <c r="J7" i="32"/>
  <c r="J8" i="32"/>
  <c r="J10" i="32"/>
  <c r="J11" i="32"/>
  <c r="J12" i="32"/>
  <c r="J13" i="32"/>
  <c r="J119" i="2"/>
  <c r="J120" i="2"/>
  <c r="J121" i="2"/>
  <c r="J122" i="2"/>
  <c r="J123" i="2"/>
  <c r="J124" i="2"/>
  <c r="J125" i="2"/>
  <c r="J126" i="2"/>
  <c r="J127" i="2"/>
  <c r="J128" i="2"/>
  <c r="J118" i="2"/>
  <c r="I119" i="2"/>
  <c r="I120" i="2"/>
  <c r="I121" i="2"/>
  <c r="I122" i="2"/>
  <c r="I123" i="2"/>
  <c r="I124" i="2"/>
  <c r="I125" i="2"/>
  <c r="I126" i="2"/>
  <c r="I127" i="2"/>
  <c r="I128" i="2"/>
  <c r="I118" i="2"/>
  <c r="G119" i="2"/>
  <c r="H119" i="2" s="1"/>
  <c r="G120" i="2"/>
  <c r="G121" i="2"/>
  <c r="H121" i="2" s="1"/>
  <c r="G122" i="2"/>
  <c r="G123" i="2"/>
  <c r="G124" i="2"/>
  <c r="H124" i="2" s="1"/>
  <c r="G125" i="2"/>
  <c r="G126" i="2"/>
  <c r="H126" i="2" s="1"/>
  <c r="G127" i="2"/>
  <c r="G128" i="2"/>
  <c r="G118" i="2"/>
  <c r="D129" i="2"/>
  <c r="F128" i="2"/>
  <c r="F127" i="2"/>
  <c r="F126" i="2"/>
  <c r="F125" i="2"/>
  <c r="F124" i="2"/>
  <c r="F123" i="2"/>
  <c r="F122" i="2"/>
  <c r="F121" i="2"/>
  <c r="F120" i="2"/>
  <c r="F119" i="2"/>
  <c r="F118" i="2"/>
  <c r="E64" i="10"/>
  <c r="J63" i="10"/>
  <c r="I63" i="10"/>
  <c r="H63" i="10"/>
  <c r="G63" i="10"/>
  <c r="J62" i="10"/>
  <c r="I62" i="10"/>
  <c r="H62" i="10"/>
  <c r="G62" i="10"/>
  <c r="J61" i="10"/>
  <c r="I61" i="10"/>
  <c r="H61" i="10"/>
  <c r="G61" i="10"/>
  <c r="J60" i="10"/>
  <c r="I60" i="10"/>
  <c r="H60" i="10"/>
  <c r="G60" i="10"/>
  <c r="J59" i="10"/>
  <c r="I59" i="10"/>
  <c r="H59" i="10"/>
  <c r="G59" i="10"/>
  <c r="J58" i="10"/>
  <c r="I58" i="10"/>
  <c r="H58" i="10"/>
  <c r="G58" i="10"/>
  <c r="J57" i="10"/>
  <c r="I57" i="10"/>
  <c r="H57" i="10"/>
  <c r="G57" i="10"/>
  <c r="J56" i="10"/>
  <c r="I56" i="10"/>
  <c r="H56" i="10"/>
  <c r="G56" i="10"/>
  <c r="J55" i="10"/>
  <c r="I55" i="10"/>
  <c r="H55" i="10"/>
  <c r="G55" i="10"/>
  <c r="J54" i="10"/>
  <c r="I54" i="10"/>
  <c r="H54" i="10"/>
  <c r="G54" i="10"/>
  <c r="F744" i="3"/>
  <c r="F745" i="3"/>
  <c r="F746" i="3"/>
  <c r="F747" i="3"/>
  <c r="F748" i="3"/>
  <c r="F749" i="3"/>
  <c r="F743" i="3"/>
  <c r="D214" i="4"/>
  <c r="F210" i="4"/>
  <c r="G31" i="38" l="1"/>
  <c r="I92" i="10"/>
  <c r="J14" i="32"/>
  <c r="G14" i="32"/>
  <c r="I129" i="2"/>
  <c r="G129" i="2"/>
  <c r="J52" i="2"/>
  <c r="J250" i="4"/>
  <c r="I250" i="4"/>
  <c r="J93" i="4"/>
  <c r="F250" i="4"/>
  <c r="H31" i="38"/>
  <c r="I31" i="38"/>
  <c r="J31" i="38"/>
  <c r="G40" i="1"/>
  <c r="F857" i="3"/>
  <c r="F283" i="3"/>
  <c r="H883" i="3"/>
  <c r="G857" i="3"/>
  <c r="G867" i="3"/>
  <c r="F260" i="3"/>
  <c r="G635" i="3"/>
  <c r="F91" i="3"/>
  <c r="F883" i="3"/>
  <c r="F809" i="3"/>
  <c r="F867" i="3"/>
  <c r="G883" i="3"/>
  <c r="F139" i="8"/>
  <c r="L197" i="31"/>
  <c r="K197" i="31"/>
  <c r="J202" i="31"/>
  <c r="J207" i="31" s="1"/>
  <c r="I207" i="31"/>
  <c r="H197" i="31"/>
  <c r="J190" i="31"/>
  <c r="J197" i="31" s="1"/>
  <c r="I197" i="31"/>
  <c r="J185" i="31"/>
  <c r="I185" i="31"/>
  <c r="H185" i="31"/>
  <c r="K185" i="31"/>
  <c r="H167" i="31"/>
  <c r="G849" i="3"/>
  <c r="J192" i="2"/>
  <c r="I192" i="2"/>
  <c r="F192" i="2"/>
  <c r="G192" i="2"/>
  <c r="H182" i="2"/>
  <c r="H192" i="2" s="1"/>
  <c r="G250" i="4"/>
  <c r="H240" i="4"/>
  <c r="H250" i="4" s="1"/>
  <c r="I139" i="8"/>
  <c r="G139" i="8"/>
  <c r="F849" i="3"/>
  <c r="H836" i="3"/>
  <c r="G836" i="3"/>
  <c r="K167" i="31"/>
  <c r="G620" i="3"/>
  <c r="F836" i="3"/>
  <c r="I167" i="31"/>
  <c r="J156" i="31"/>
  <c r="J167" i="31" s="1"/>
  <c r="G74" i="10"/>
  <c r="G92" i="10"/>
  <c r="H92" i="10"/>
  <c r="F822" i="3"/>
  <c r="J141" i="31"/>
  <c r="J151" i="31" s="1"/>
  <c r="I151" i="31"/>
  <c r="J235" i="4"/>
  <c r="I235" i="4"/>
  <c r="H235" i="4"/>
  <c r="G235" i="4"/>
  <c r="F235" i="4"/>
  <c r="E223" i="1"/>
  <c r="F151" i="3"/>
  <c r="F793" i="3"/>
  <c r="J14" i="38"/>
  <c r="I14" i="38"/>
  <c r="G14" i="38"/>
  <c r="H14" i="38"/>
  <c r="F781" i="3"/>
  <c r="J176" i="2"/>
  <c r="F176" i="2"/>
  <c r="H174" i="2"/>
  <c r="H172" i="2"/>
  <c r="H171" i="2"/>
  <c r="I176" i="2"/>
  <c r="G176" i="2"/>
  <c r="H16" i="36"/>
  <c r="G16" i="36"/>
  <c r="F16" i="36"/>
  <c r="H74" i="10"/>
  <c r="I69" i="10"/>
  <c r="I74" i="10" s="1"/>
  <c r="G166" i="2"/>
  <c r="F166" i="2"/>
  <c r="I166" i="2"/>
  <c r="H166" i="2"/>
  <c r="F324" i="1"/>
  <c r="G324" i="1"/>
  <c r="E324" i="1"/>
  <c r="E312" i="1"/>
  <c r="J129" i="2"/>
  <c r="F129" i="2"/>
  <c r="F144" i="2"/>
  <c r="I144" i="2"/>
  <c r="G144" i="2"/>
  <c r="H142" i="2"/>
  <c r="H144" i="2" s="1"/>
  <c r="F312" i="1"/>
  <c r="G312" i="1"/>
  <c r="F361" i="3"/>
  <c r="F769" i="3"/>
  <c r="F750" i="3"/>
  <c r="H118" i="2"/>
  <c r="H129" i="2" s="1"/>
  <c r="G64" i="10"/>
  <c r="J64" i="10"/>
  <c r="H64" i="10"/>
  <c r="I64" i="10"/>
  <c r="F134" i="3"/>
  <c r="F135" i="3"/>
  <c r="F136" i="3"/>
  <c r="F137" i="3"/>
  <c r="F138" i="3"/>
  <c r="F139" i="3"/>
  <c r="F140" i="3"/>
  <c r="F141" i="3"/>
  <c r="F142" i="3"/>
  <c r="F133" i="3"/>
  <c r="G240" i="3"/>
  <c r="G241" i="3"/>
  <c r="G242" i="3"/>
  <c r="G239" i="3"/>
  <c r="F240" i="3"/>
  <c r="F241" i="3"/>
  <c r="F242" i="3"/>
  <c r="F239" i="3"/>
  <c r="F736" i="3"/>
  <c r="F735" i="3"/>
  <c r="F734" i="3"/>
  <c r="F733" i="3"/>
  <c r="F732" i="3"/>
  <c r="F731" i="3"/>
  <c r="F730" i="3"/>
  <c r="E737" i="3"/>
  <c r="E725" i="3"/>
  <c r="F724" i="3"/>
  <c r="F723" i="3"/>
  <c r="F722" i="3"/>
  <c r="F721" i="3"/>
  <c r="F720" i="3"/>
  <c r="F719" i="3"/>
  <c r="F718" i="3"/>
  <c r="F717" i="3"/>
  <c r="E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E693" i="3"/>
  <c r="F691" i="3"/>
  <c r="F690" i="3"/>
  <c r="F686" i="3"/>
  <c r="F685" i="3"/>
  <c r="F692" i="3"/>
  <c r="F689" i="3"/>
  <c r="F688" i="3"/>
  <c r="F687" i="3"/>
  <c r="F684" i="3"/>
  <c r="F683" i="3"/>
  <c r="F682" i="3"/>
  <c r="F681" i="3"/>
  <c r="F680" i="3"/>
  <c r="H31" i="35"/>
  <c r="I31" i="35"/>
  <c r="J31" i="35"/>
  <c r="H28" i="35"/>
  <c r="I28" i="35"/>
  <c r="J28" i="35"/>
  <c r="H27" i="35"/>
  <c r="I27" i="35"/>
  <c r="J27" i="35"/>
  <c r="F36" i="35"/>
  <c r="J35" i="35"/>
  <c r="I35" i="35"/>
  <c r="H35" i="35"/>
  <c r="J34" i="35"/>
  <c r="I34" i="35"/>
  <c r="H34" i="35"/>
  <c r="J33" i="35"/>
  <c r="I33" i="35"/>
  <c r="H33" i="35"/>
  <c r="J32" i="35"/>
  <c r="I32" i="35"/>
  <c r="H32" i="35"/>
  <c r="J30" i="35"/>
  <c r="I30" i="35"/>
  <c r="H30" i="35"/>
  <c r="J29" i="35"/>
  <c r="I29" i="35"/>
  <c r="H29" i="35"/>
  <c r="J26" i="35"/>
  <c r="I26" i="35"/>
  <c r="H26" i="35"/>
  <c r="J25" i="35"/>
  <c r="I25" i="35"/>
  <c r="H25" i="35"/>
  <c r="J24" i="35"/>
  <c r="I24" i="35"/>
  <c r="H24" i="35"/>
  <c r="J23" i="35"/>
  <c r="I23" i="35"/>
  <c r="H23" i="35"/>
  <c r="J22" i="35"/>
  <c r="I22" i="35"/>
  <c r="H22" i="35"/>
  <c r="F16" i="35"/>
  <c r="H15" i="35"/>
  <c r="I15" i="35"/>
  <c r="J15" i="35"/>
  <c r="J14" i="35"/>
  <c r="I14" i="35"/>
  <c r="H14" i="35"/>
  <c r="J13" i="35"/>
  <c r="I13" i="35"/>
  <c r="H13" i="35"/>
  <c r="J12" i="35"/>
  <c r="I12" i="35"/>
  <c r="H12" i="35"/>
  <c r="J11" i="35"/>
  <c r="I11" i="35"/>
  <c r="H11" i="35"/>
  <c r="J10" i="35"/>
  <c r="I10" i="35"/>
  <c r="H10" i="35"/>
  <c r="J9" i="35"/>
  <c r="I9" i="35"/>
  <c r="H9" i="35"/>
  <c r="J8" i="35"/>
  <c r="I8" i="35"/>
  <c r="H8" i="35"/>
  <c r="J7" i="35"/>
  <c r="I7" i="35"/>
  <c r="H7" i="35"/>
  <c r="J6" i="35"/>
  <c r="I6" i="35"/>
  <c r="H6" i="35"/>
  <c r="J5" i="35"/>
  <c r="I5" i="35"/>
  <c r="H5" i="35"/>
  <c r="G49" i="29"/>
  <c r="G50" i="29"/>
  <c r="G51" i="29"/>
  <c r="G52" i="29"/>
  <c r="G53" i="29"/>
  <c r="G54" i="29"/>
  <c r="G55" i="29"/>
  <c r="G56" i="29"/>
  <c r="G57" i="29"/>
  <c r="G58" i="29"/>
  <c r="G59" i="29"/>
  <c r="G60" i="29"/>
  <c r="G48" i="29"/>
  <c r="I110" i="4"/>
  <c r="I111" i="4"/>
  <c r="I112" i="4"/>
  <c r="I113" i="4"/>
  <c r="I114" i="4"/>
  <c r="I115" i="4"/>
  <c r="I109" i="4"/>
  <c r="J110" i="4"/>
  <c r="J111" i="4"/>
  <c r="J112" i="4"/>
  <c r="J113" i="4"/>
  <c r="J114" i="4"/>
  <c r="J115" i="4"/>
  <c r="J109" i="4"/>
  <c r="G110" i="4"/>
  <c r="G111" i="4"/>
  <c r="G112" i="4"/>
  <c r="G113" i="4"/>
  <c r="G114" i="4"/>
  <c r="G115" i="4"/>
  <c r="G109" i="4"/>
  <c r="G243" i="3" l="1"/>
  <c r="H176" i="2"/>
  <c r="F243" i="3"/>
  <c r="F143" i="3"/>
  <c r="F737" i="3"/>
  <c r="F725" i="3"/>
  <c r="F712" i="3"/>
  <c r="F693" i="3"/>
  <c r="I16" i="35"/>
  <c r="J16" i="35"/>
  <c r="J36" i="35"/>
  <c r="H16" i="35"/>
  <c r="I36" i="35"/>
  <c r="H36" i="35"/>
  <c r="J116" i="4"/>
  <c r="G288" i="1"/>
  <c r="G291" i="1"/>
  <c r="E296" i="1"/>
  <c r="F296" i="1"/>
  <c r="G296" i="1"/>
  <c r="G289" i="1"/>
  <c r="G290" i="1"/>
  <c r="G292" i="1"/>
  <c r="G293" i="1"/>
  <c r="G294" i="1"/>
  <c r="G295" i="1"/>
  <c r="F169" i="3"/>
  <c r="F170" i="3"/>
  <c r="F171" i="3"/>
  <c r="F172" i="3"/>
  <c r="F173" i="3"/>
  <c r="F174" i="3"/>
  <c r="F175" i="3"/>
  <c r="F168" i="3"/>
  <c r="G229" i="1"/>
  <c r="G230" i="1"/>
  <c r="G231" i="1"/>
  <c r="G232" i="1"/>
  <c r="G233" i="1"/>
  <c r="G234" i="1"/>
  <c r="G235" i="1"/>
  <c r="G236" i="1"/>
  <c r="G237" i="1"/>
  <c r="G238" i="1"/>
  <c r="G239" i="1"/>
  <c r="G228" i="1"/>
  <c r="G297" i="1" l="1"/>
  <c r="F176" i="3"/>
  <c r="H33" i="8"/>
  <c r="G33" i="8" s="1"/>
  <c r="H34" i="8"/>
  <c r="H35" i="8"/>
  <c r="H36" i="8"/>
  <c r="H37" i="8"/>
  <c r="H38" i="8"/>
  <c r="G38" i="8" s="1"/>
  <c r="H39" i="8"/>
  <c r="G39" i="8" s="1"/>
  <c r="H40" i="8"/>
  <c r="G40" i="8" s="1"/>
  <c r="I5" i="34"/>
  <c r="H5" i="34"/>
  <c r="E15" i="34"/>
  <c r="J14" i="34"/>
  <c r="I14" i="34"/>
  <c r="H14" i="34"/>
  <c r="G14" i="34"/>
  <c r="J13" i="34"/>
  <c r="I13" i="34"/>
  <c r="H13" i="34"/>
  <c r="G13" i="34"/>
  <c r="J12" i="34"/>
  <c r="I12" i="34"/>
  <c r="H12" i="34"/>
  <c r="G12" i="34"/>
  <c r="J11" i="34"/>
  <c r="I11" i="34"/>
  <c r="H11" i="34"/>
  <c r="G11" i="34"/>
  <c r="J10" i="34"/>
  <c r="I10" i="34"/>
  <c r="H10" i="34"/>
  <c r="G10" i="34"/>
  <c r="J9" i="34"/>
  <c r="I9" i="34"/>
  <c r="H9" i="34"/>
  <c r="G9" i="34"/>
  <c r="J8" i="34"/>
  <c r="I8" i="34"/>
  <c r="H8" i="34"/>
  <c r="G8" i="34"/>
  <c r="J7" i="34"/>
  <c r="I7" i="34"/>
  <c r="H7" i="34"/>
  <c r="G7" i="34"/>
  <c r="J6" i="34"/>
  <c r="I6" i="34"/>
  <c r="H6" i="34"/>
  <c r="G6" i="34"/>
  <c r="J5" i="34"/>
  <c r="G5" i="34"/>
  <c r="E675" i="3"/>
  <c r="F674" i="3"/>
  <c r="F673" i="3"/>
  <c r="F672" i="3"/>
  <c r="F671" i="3"/>
  <c r="F670" i="3"/>
  <c r="G128" i="3" l="1"/>
  <c r="F675" i="3"/>
  <c r="J15" i="34"/>
  <c r="H15" i="34"/>
  <c r="I15" i="34"/>
  <c r="G15" i="34"/>
  <c r="E665" i="3"/>
  <c r="F664" i="3"/>
  <c r="F663" i="3"/>
  <c r="F662" i="3"/>
  <c r="F661" i="3"/>
  <c r="F660" i="3"/>
  <c r="F659" i="3"/>
  <c r="F658" i="3"/>
  <c r="F657" i="3"/>
  <c r="G212" i="4"/>
  <c r="G211" i="4"/>
  <c r="G210" i="4"/>
  <c r="G206" i="4"/>
  <c r="G207" i="4"/>
  <c r="G208" i="4"/>
  <c r="G209" i="4"/>
  <c r="J207" i="4"/>
  <c r="J208" i="4"/>
  <c r="J209" i="4"/>
  <c r="J210" i="4"/>
  <c r="J211" i="4"/>
  <c r="J212" i="4"/>
  <c r="J213" i="4"/>
  <c r="J206" i="4"/>
  <c r="G213" i="4"/>
  <c r="H213" i="4"/>
  <c r="F213" i="4"/>
  <c r="H212" i="4"/>
  <c r="F212" i="4"/>
  <c r="H211" i="4"/>
  <c r="F211" i="4"/>
  <c r="H210" i="4"/>
  <c r="H209" i="4"/>
  <c r="F209" i="4"/>
  <c r="H208" i="4"/>
  <c r="F208" i="4"/>
  <c r="H207" i="4"/>
  <c r="F207" i="4"/>
  <c r="H206" i="4"/>
  <c r="F206" i="4"/>
  <c r="E651" i="3"/>
  <c r="F650" i="3"/>
  <c r="F649" i="3"/>
  <c r="F648" i="3"/>
  <c r="F647" i="3"/>
  <c r="F646" i="3"/>
  <c r="F645" i="3"/>
  <c r="F644" i="3"/>
  <c r="F643" i="3"/>
  <c r="F642" i="3"/>
  <c r="F641" i="3"/>
  <c r="F640" i="3"/>
  <c r="E635" i="3"/>
  <c r="G214" i="4" l="1"/>
  <c r="I214" i="4"/>
  <c r="J214" i="4"/>
  <c r="F214" i="4"/>
  <c r="H214" i="4"/>
  <c r="F665" i="3"/>
  <c r="F651" i="3"/>
  <c r="F625" i="3"/>
  <c r="F635" i="3" l="1"/>
  <c r="F51" i="32"/>
  <c r="D60" i="32"/>
  <c r="I59" i="32"/>
  <c r="H59" i="32"/>
  <c r="G59" i="32"/>
  <c r="F59" i="32"/>
  <c r="I58" i="32"/>
  <c r="H58" i="32"/>
  <c r="G58" i="32"/>
  <c r="F58" i="32"/>
  <c r="I57" i="32"/>
  <c r="H57" i="32"/>
  <c r="G57" i="32"/>
  <c r="F57" i="32"/>
  <c r="I56" i="32"/>
  <c r="H56" i="32"/>
  <c r="G56" i="32"/>
  <c r="F56" i="32"/>
  <c r="I55" i="32"/>
  <c r="H55" i="32"/>
  <c r="G55" i="32"/>
  <c r="F55" i="32"/>
  <c r="I54" i="32"/>
  <c r="H54" i="32"/>
  <c r="G54" i="32"/>
  <c r="F54" i="32"/>
  <c r="I53" i="32"/>
  <c r="H53" i="32"/>
  <c r="G53" i="32"/>
  <c r="F53" i="32"/>
  <c r="I52" i="32"/>
  <c r="H52" i="32"/>
  <c r="G52" i="32"/>
  <c r="F52" i="32"/>
  <c r="I51" i="32"/>
  <c r="H51" i="32"/>
  <c r="G51" i="32"/>
  <c r="I50" i="32"/>
  <c r="H50" i="32"/>
  <c r="G50" i="32"/>
  <c r="F50" i="32"/>
  <c r="G114" i="8"/>
  <c r="G111" i="8"/>
  <c r="H111" i="8"/>
  <c r="H112" i="8"/>
  <c r="H113" i="8"/>
  <c r="H114" i="8"/>
  <c r="H115" i="8"/>
  <c r="H116" i="8"/>
  <c r="G112" i="8"/>
  <c r="G113" i="8"/>
  <c r="G115" i="8"/>
  <c r="G116" i="8"/>
  <c r="F60" i="32" l="1"/>
  <c r="H60" i="32"/>
  <c r="G60" i="32"/>
  <c r="I60" i="32"/>
  <c r="D117" i="8" l="1"/>
  <c r="I116" i="8"/>
  <c r="F116" i="8"/>
  <c r="I115" i="8"/>
  <c r="F115" i="8"/>
  <c r="I114" i="8"/>
  <c r="F114" i="8"/>
  <c r="I113" i="8"/>
  <c r="F113" i="8"/>
  <c r="I112" i="8"/>
  <c r="F112" i="8"/>
  <c r="I111" i="8"/>
  <c r="F111" i="8"/>
  <c r="F183" i="3"/>
  <c r="F184" i="3"/>
  <c r="F185" i="3"/>
  <c r="F186" i="3"/>
  <c r="F181" i="3"/>
  <c r="F182" i="3"/>
  <c r="F195" i="4"/>
  <c r="F196" i="4"/>
  <c r="F197" i="4"/>
  <c r="F198" i="4"/>
  <c r="F199" i="4"/>
  <c r="F200" i="4"/>
  <c r="G200" i="4"/>
  <c r="H200" i="4"/>
  <c r="G199" i="4"/>
  <c r="H199" i="4"/>
  <c r="G198" i="4"/>
  <c r="H198" i="4"/>
  <c r="G197" i="4"/>
  <c r="H197" i="4"/>
  <c r="D201" i="4"/>
  <c r="H196" i="4"/>
  <c r="G196" i="4"/>
  <c r="H195" i="4"/>
  <c r="G195" i="4"/>
  <c r="H194" i="4"/>
  <c r="G194" i="4"/>
  <c r="F194" i="4"/>
  <c r="H193" i="4"/>
  <c r="G193" i="4"/>
  <c r="G17" i="13"/>
  <c r="F201" i="4" l="1"/>
  <c r="G201" i="4"/>
  <c r="I117" i="8"/>
  <c r="G117" i="8"/>
  <c r="F187" i="3"/>
  <c r="H117" i="8"/>
  <c r="F117" i="8"/>
  <c r="H201" i="4"/>
  <c r="E581" i="3"/>
  <c r="F573" i="3"/>
  <c r="F574" i="3"/>
  <c r="F575" i="3"/>
  <c r="F576" i="3"/>
  <c r="F577" i="3"/>
  <c r="F578" i="3"/>
  <c r="F579" i="3"/>
  <c r="F580" i="3"/>
  <c r="F572" i="3"/>
  <c r="F581" i="3" l="1"/>
  <c r="F606" i="3" l="1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E620" i="3"/>
  <c r="F110" i="2"/>
  <c r="G110" i="2"/>
  <c r="H110" i="2"/>
  <c r="I110" i="2"/>
  <c r="J110" i="2"/>
  <c r="F111" i="2"/>
  <c r="G111" i="2"/>
  <c r="H111" i="2"/>
  <c r="I111" i="2"/>
  <c r="J111" i="2"/>
  <c r="D112" i="2"/>
  <c r="J109" i="2"/>
  <c r="I109" i="2"/>
  <c r="H109" i="2"/>
  <c r="G109" i="2"/>
  <c r="F109" i="2"/>
  <c r="J108" i="2"/>
  <c r="I108" i="2"/>
  <c r="H108" i="2"/>
  <c r="G108" i="2"/>
  <c r="F108" i="2"/>
  <c r="J107" i="2"/>
  <c r="I107" i="2"/>
  <c r="H107" i="2"/>
  <c r="G107" i="2"/>
  <c r="F107" i="2"/>
  <c r="J106" i="2"/>
  <c r="I106" i="2"/>
  <c r="H106" i="2"/>
  <c r="G106" i="2"/>
  <c r="F106" i="2"/>
  <c r="J105" i="2"/>
  <c r="H105" i="2"/>
  <c r="G105" i="2"/>
  <c r="F105" i="2"/>
  <c r="J104" i="2"/>
  <c r="I104" i="2"/>
  <c r="H104" i="2"/>
  <c r="G104" i="2"/>
  <c r="F104" i="2"/>
  <c r="J103" i="2"/>
  <c r="I103" i="2"/>
  <c r="H103" i="2"/>
  <c r="G103" i="2"/>
  <c r="F103" i="2"/>
  <c r="J102" i="2"/>
  <c r="I102" i="2"/>
  <c r="H102" i="2"/>
  <c r="G102" i="2"/>
  <c r="F102" i="2"/>
  <c r="F89" i="31"/>
  <c r="I88" i="31"/>
  <c r="J88" i="31"/>
  <c r="I112" i="31"/>
  <c r="J112" i="31"/>
  <c r="I113" i="31"/>
  <c r="J113" i="31"/>
  <c r="I114" i="31"/>
  <c r="J114" i="31"/>
  <c r="I115" i="31"/>
  <c r="J115" i="31"/>
  <c r="I116" i="31"/>
  <c r="J116" i="31"/>
  <c r="I117" i="31"/>
  <c r="J117" i="31"/>
  <c r="I118" i="31"/>
  <c r="J118" i="31"/>
  <c r="I119" i="31"/>
  <c r="J119" i="31"/>
  <c r="H114" i="31"/>
  <c r="H115" i="31"/>
  <c r="H116" i="31"/>
  <c r="H117" i="31"/>
  <c r="H118" i="31"/>
  <c r="H119" i="31"/>
  <c r="I80" i="31"/>
  <c r="J80" i="31"/>
  <c r="I81" i="31"/>
  <c r="J81" i="31"/>
  <c r="I82" i="31"/>
  <c r="J82" i="31"/>
  <c r="I83" i="31"/>
  <c r="J83" i="31"/>
  <c r="I84" i="31"/>
  <c r="J84" i="31"/>
  <c r="I85" i="31"/>
  <c r="J85" i="31"/>
  <c r="I86" i="31"/>
  <c r="J86" i="31"/>
  <c r="I87" i="31"/>
  <c r="J87" i="31"/>
  <c r="H78" i="31"/>
  <c r="H79" i="31"/>
  <c r="H80" i="31"/>
  <c r="H81" i="31"/>
  <c r="H82" i="31"/>
  <c r="H83" i="31"/>
  <c r="H84" i="31"/>
  <c r="H85" i="31"/>
  <c r="H86" i="31"/>
  <c r="H87" i="31"/>
  <c r="I96" i="31"/>
  <c r="J96" i="31"/>
  <c r="I97" i="31"/>
  <c r="J97" i="31"/>
  <c r="I98" i="31"/>
  <c r="J98" i="31"/>
  <c r="I99" i="31"/>
  <c r="J99" i="31"/>
  <c r="I100" i="31"/>
  <c r="J100" i="31"/>
  <c r="I101" i="31"/>
  <c r="J101" i="31"/>
  <c r="I102" i="31"/>
  <c r="J102" i="31"/>
  <c r="I103" i="31"/>
  <c r="J103" i="31"/>
  <c r="I104" i="31"/>
  <c r="J104" i="31"/>
  <c r="H96" i="31"/>
  <c r="H97" i="31"/>
  <c r="H98" i="31"/>
  <c r="H99" i="31"/>
  <c r="H100" i="31"/>
  <c r="H101" i="31"/>
  <c r="H102" i="31"/>
  <c r="H103" i="31"/>
  <c r="H104" i="31"/>
  <c r="F121" i="31"/>
  <c r="H113" i="31"/>
  <c r="H112" i="31"/>
  <c r="J111" i="31"/>
  <c r="I111" i="31"/>
  <c r="H111" i="31"/>
  <c r="H121" i="31" s="1"/>
  <c r="F106" i="31"/>
  <c r="J95" i="31"/>
  <c r="I95" i="31"/>
  <c r="H95" i="31"/>
  <c r="J79" i="31"/>
  <c r="I79" i="31"/>
  <c r="J78" i="31"/>
  <c r="I78" i="31"/>
  <c r="J77" i="31"/>
  <c r="I77" i="31"/>
  <c r="I89" i="31" s="1"/>
  <c r="H77" i="31"/>
  <c r="H89" i="31" s="1"/>
  <c r="H106" i="31" l="1"/>
  <c r="J89" i="31"/>
  <c r="F620" i="3"/>
  <c r="G112" i="2"/>
  <c r="H112" i="2"/>
  <c r="I112" i="2"/>
  <c r="J112" i="2"/>
  <c r="F112" i="2"/>
  <c r="I121" i="31"/>
  <c r="J121" i="31"/>
  <c r="J106" i="31"/>
  <c r="I106" i="31"/>
  <c r="D297" i="1" l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E599" i="3"/>
  <c r="F598" i="3"/>
  <c r="F597" i="3"/>
  <c r="F596" i="3"/>
  <c r="F595" i="3"/>
  <c r="F594" i="3"/>
  <c r="F593" i="3"/>
  <c r="F592" i="3"/>
  <c r="F587" i="3"/>
  <c r="E297" i="1" l="1"/>
  <c r="F297" i="1"/>
  <c r="F599" i="3"/>
  <c r="G48" i="2"/>
  <c r="G49" i="2"/>
  <c r="G50" i="2"/>
  <c r="G51" i="2"/>
  <c r="G47" i="2"/>
  <c r="D22" i="2"/>
  <c r="H129" i="31"/>
  <c r="H134" i="31"/>
  <c r="H133" i="31"/>
  <c r="I134" i="31"/>
  <c r="J134" i="31"/>
  <c r="I133" i="31"/>
  <c r="J133" i="31"/>
  <c r="F135" i="31"/>
  <c r="J132" i="31"/>
  <c r="I132" i="31"/>
  <c r="H132" i="31"/>
  <c r="J131" i="31"/>
  <c r="I131" i="31"/>
  <c r="H131" i="31"/>
  <c r="J130" i="31"/>
  <c r="I130" i="31"/>
  <c r="H130" i="31"/>
  <c r="J128" i="31"/>
  <c r="I128" i="31"/>
  <c r="H128" i="31"/>
  <c r="J127" i="31"/>
  <c r="I127" i="31"/>
  <c r="H127" i="31"/>
  <c r="J126" i="31"/>
  <c r="I126" i="31"/>
  <c r="H126" i="31"/>
  <c r="E267" i="1"/>
  <c r="F267" i="1" s="1"/>
  <c r="G267" i="1"/>
  <c r="E265" i="1"/>
  <c r="F265" i="1" s="1"/>
  <c r="G265" i="1"/>
  <c r="E264" i="1"/>
  <c r="F264" i="1" s="1"/>
  <c r="G264" i="1"/>
  <c r="D268" i="1"/>
  <c r="G266" i="1"/>
  <c r="E266" i="1"/>
  <c r="F266" i="1" s="1"/>
  <c r="G263" i="1"/>
  <c r="E263" i="1"/>
  <c r="F263" i="1" s="1"/>
  <c r="G262" i="1"/>
  <c r="E262" i="1"/>
  <c r="F262" i="1" s="1"/>
  <c r="G261" i="1"/>
  <c r="E261" i="1"/>
  <c r="F261" i="1" s="1"/>
  <c r="G260" i="1"/>
  <c r="E260" i="1"/>
  <c r="F260" i="1" s="1"/>
  <c r="G259" i="1"/>
  <c r="E259" i="1"/>
  <c r="F259" i="1" s="1"/>
  <c r="G258" i="1"/>
  <c r="E258" i="1"/>
  <c r="F6" i="32"/>
  <c r="F7" i="32"/>
  <c r="F8" i="32"/>
  <c r="F9" i="32"/>
  <c r="F10" i="32"/>
  <c r="F11" i="32"/>
  <c r="F12" i="32"/>
  <c r="F13" i="32"/>
  <c r="F36" i="32"/>
  <c r="F37" i="32"/>
  <c r="F38" i="32"/>
  <c r="F39" i="32"/>
  <c r="F40" i="32"/>
  <c r="F41" i="32"/>
  <c r="F42" i="32"/>
  <c r="F43" i="32"/>
  <c r="F44" i="32"/>
  <c r="D253" i="1"/>
  <c r="G252" i="1"/>
  <c r="E252" i="1"/>
  <c r="F252" i="1" s="1"/>
  <c r="G251" i="1"/>
  <c r="E251" i="1"/>
  <c r="F251" i="1" s="1"/>
  <c r="G250" i="1"/>
  <c r="E250" i="1"/>
  <c r="F250" i="1" s="1"/>
  <c r="G249" i="1"/>
  <c r="E249" i="1"/>
  <c r="F249" i="1" s="1"/>
  <c r="G248" i="1"/>
  <c r="E248" i="1"/>
  <c r="F248" i="1" s="1"/>
  <c r="G247" i="1"/>
  <c r="E247" i="1"/>
  <c r="F247" i="1" s="1"/>
  <c r="G246" i="1"/>
  <c r="E246" i="1"/>
  <c r="F246" i="1" s="1"/>
  <c r="G245" i="1"/>
  <c r="E245" i="1"/>
  <c r="F245" i="1" s="1"/>
  <c r="G244" i="1"/>
  <c r="E244" i="1"/>
  <c r="F244" i="1" s="1"/>
  <c r="F14" i="32" l="1"/>
  <c r="F45" i="32"/>
  <c r="I52" i="2"/>
  <c r="H135" i="31"/>
  <c r="J135" i="31"/>
  <c r="I135" i="31"/>
  <c r="E268" i="1"/>
  <c r="G253" i="1"/>
  <c r="G268" i="1"/>
  <c r="F258" i="1"/>
  <c r="F268" i="1" s="1"/>
  <c r="F253" i="1"/>
  <c r="E253" i="1"/>
  <c r="D45" i="32"/>
  <c r="I44" i="32"/>
  <c r="G44" i="32"/>
  <c r="H44" i="32" s="1"/>
  <c r="I43" i="32"/>
  <c r="G43" i="32"/>
  <c r="H43" i="32" s="1"/>
  <c r="I42" i="32"/>
  <c r="G42" i="32"/>
  <c r="H42" i="32" s="1"/>
  <c r="I41" i="32"/>
  <c r="G41" i="32"/>
  <c r="H41" i="32" s="1"/>
  <c r="I40" i="32"/>
  <c r="G40" i="32"/>
  <c r="H40" i="32" s="1"/>
  <c r="I39" i="32"/>
  <c r="G39" i="32"/>
  <c r="H39" i="32" s="1"/>
  <c r="I38" i="32"/>
  <c r="G38" i="32"/>
  <c r="H38" i="32" s="1"/>
  <c r="I37" i="32"/>
  <c r="G37" i="32"/>
  <c r="H37" i="32" s="1"/>
  <c r="I36" i="32"/>
  <c r="G36" i="32"/>
  <c r="H36" i="32" s="1"/>
  <c r="I45" i="32" l="1"/>
  <c r="H45" i="32"/>
  <c r="G45" i="32"/>
  <c r="I20" i="33"/>
  <c r="H21" i="33"/>
  <c r="H22" i="33"/>
  <c r="H23" i="33"/>
  <c r="H24" i="33"/>
  <c r="H25" i="33"/>
  <c r="H26" i="33"/>
  <c r="H27" i="33"/>
  <c r="H28" i="33"/>
  <c r="H20" i="33"/>
  <c r="H29" i="33" s="1"/>
  <c r="E29" i="33"/>
  <c r="J28" i="33"/>
  <c r="I28" i="33"/>
  <c r="G28" i="33"/>
  <c r="J27" i="33"/>
  <c r="I27" i="33"/>
  <c r="G27" i="33"/>
  <c r="J26" i="33"/>
  <c r="I26" i="33"/>
  <c r="G26" i="33"/>
  <c r="J25" i="33"/>
  <c r="I25" i="33"/>
  <c r="G25" i="33"/>
  <c r="J24" i="33"/>
  <c r="I24" i="33"/>
  <c r="G24" i="33"/>
  <c r="J23" i="33"/>
  <c r="I23" i="33"/>
  <c r="G23" i="33"/>
  <c r="J22" i="33"/>
  <c r="I22" i="33"/>
  <c r="G22" i="33"/>
  <c r="J21" i="33"/>
  <c r="I21" i="33"/>
  <c r="G21" i="33"/>
  <c r="J20" i="33"/>
  <c r="G20" i="33"/>
  <c r="G29" i="33" s="1"/>
  <c r="I51" i="31"/>
  <c r="I52" i="31"/>
  <c r="I53" i="31"/>
  <c r="I54" i="31"/>
  <c r="I50" i="31"/>
  <c r="I29" i="33" l="1"/>
  <c r="J29" i="33"/>
  <c r="H52" i="31"/>
  <c r="J52" i="31"/>
  <c r="J50" i="31"/>
  <c r="F55" i="31"/>
  <c r="J54" i="31"/>
  <c r="H54" i="31"/>
  <c r="J53" i="31"/>
  <c r="H53" i="31"/>
  <c r="J51" i="31"/>
  <c r="H51" i="31"/>
  <c r="I36" i="2"/>
  <c r="I37" i="2"/>
  <c r="I38" i="2"/>
  <c r="I39" i="2"/>
  <c r="I40" i="2"/>
  <c r="I41" i="2"/>
  <c r="G36" i="2"/>
  <c r="G37" i="2"/>
  <c r="G38" i="2"/>
  <c r="G39" i="2"/>
  <c r="G40" i="2"/>
  <c r="G41" i="2"/>
  <c r="H41" i="2" s="1"/>
  <c r="G35" i="2"/>
  <c r="I35" i="2"/>
  <c r="F41" i="2"/>
  <c r="D42" i="2"/>
  <c r="F558" i="3"/>
  <c r="F559" i="3"/>
  <c r="F560" i="3"/>
  <c r="F561" i="3"/>
  <c r="F562" i="3"/>
  <c r="F563" i="3"/>
  <c r="F564" i="3"/>
  <c r="F565" i="3"/>
  <c r="F566" i="3"/>
  <c r="F557" i="3"/>
  <c r="E567" i="3"/>
  <c r="E552" i="3"/>
  <c r="I42" i="2" l="1"/>
  <c r="H55" i="31"/>
  <c r="J55" i="31"/>
  <c r="I55" i="31"/>
  <c r="I49" i="29"/>
  <c r="I50" i="29"/>
  <c r="I51" i="29"/>
  <c r="I52" i="29"/>
  <c r="I53" i="29"/>
  <c r="I54" i="29"/>
  <c r="I55" i="29"/>
  <c r="I56" i="29"/>
  <c r="I57" i="29"/>
  <c r="I58" i="29"/>
  <c r="I59" i="29"/>
  <c r="I60" i="29"/>
  <c r="I48" i="29"/>
  <c r="H48" i="29"/>
  <c r="D61" i="29"/>
  <c r="H60" i="29"/>
  <c r="F60" i="29"/>
  <c r="H59" i="29"/>
  <c r="F59" i="29"/>
  <c r="H58" i="29"/>
  <c r="F58" i="29"/>
  <c r="H57" i="29"/>
  <c r="F57" i="29"/>
  <c r="H56" i="29"/>
  <c r="F56" i="29"/>
  <c r="H55" i="29"/>
  <c r="F55" i="29"/>
  <c r="H54" i="29"/>
  <c r="F54" i="29"/>
  <c r="H53" i="29"/>
  <c r="F53" i="29"/>
  <c r="H52" i="29"/>
  <c r="F52" i="29"/>
  <c r="H51" i="29"/>
  <c r="F51" i="29"/>
  <c r="H50" i="29"/>
  <c r="F50" i="29"/>
  <c r="H49" i="29"/>
  <c r="F49" i="29"/>
  <c r="F48" i="29"/>
  <c r="I6" i="2"/>
  <c r="I7" i="2"/>
  <c r="I8" i="2"/>
  <c r="I9" i="2"/>
  <c r="I5" i="2"/>
  <c r="F103" i="8"/>
  <c r="F102" i="8"/>
  <c r="F101" i="8"/>
  <c r="F100" i="8"/>
  <c r="F99" i="8"/>
  <c r="F98" i="8"/>
  <c r="H93" i="8"/>
  <c r="H94" i="8"/>
  <c r="H95" i="8"/>
  <c r="H96" i="8"/>
  <c r="H97" i="8"/>
  <c r="H98" i="8"/>
  <c r="H99" i="8"/>
  <c r="H100" i="8"/>
  <c r="H101" i="8"/>
  <c r="H102" i="8"/>
  <c r="H103" i="8"/>
  <c r="H104" i="8"/>
  <c r="H92" i="8"/>
  <c r="I103" i="8"/>
  <c r="I102" i="8"/>
  <c r="I101" i="8"/>
  <c r="I100" i="8"/>
  <c r="I99" i="8"/>
  <c r="I98" i="8"/>
  <c r="G93" i="8"/>
  <c r="G94" i="8"/>
  <c r="G95" i="8"/>
  <c r="G96" i="8"/>
  <c r="G97" i="8"/>
  <c r="G98" i="8"/>
  <c r="G99" i="8"/>
  <c r="G100" i="8"/>
  <c r="G101" i="8"/>
  <c r="G102" i="8"/>
  <c r="G103" i="8"/>
  <c r="G104" i="8"/>
  <c r="G92" i="8"/>
  <c r="D105" i="8"/>
  <c r="I104" i="8"/>
  <c r="F104" i="8"/>
  <c r="I97" i="8"/>
  <c r="F97" i="8"/>
  <c r="I96" i="8"/>
  <c r="F96" i="8"/>
  <c r="I95" i="8"/>
  <c r="F95" i="8"/>
  <c r="I94" i="8"/>
  <c r="F94" i="8"/>
  <c r="I93" i="8"/>
  <c r="F93" i="8"/>
  <c r="I92" i="8"/>
  <c r="F92" i="8"/>
  <c r="F44" i="31"/>
  <c r="J43" i="31"/>
  <c r="I43" i="31"/>
  <c r="H43" i="31"/>
  <c r="J42" i="31"/>
  <c r="I42" i="31"/>
  <c r="H42" i="31"/>
  <c r="J41" i="31"/>
  <c r="I41" i="31"/>
  <c r="H41" i="31"/>
  <c r="J40" i="31"/>
  <c r="I40" i="31"/>
  <c r="H40" i="31"/>
  <c r="J39" i="31"/>
  <c r="I39" i="31"/>
  <c r="H39" i="31"/>
  <c r="J38" i="31"/>
  <c r="I38" i="31"/>
  <c r="H38" i="31"/>
  <c r="J37" i="31"/>
  <c r="I37" i="31"/>
  <c r="H37" i="31"/>
  <c r="J36" i="31"/>
  <c r="I36" i="31"/>
  <c r="H36" i="31"/>
  <c r="J35" i="31"/>
  <c r="I35" i="31"/>
  <c r="H35" i="31"/>
  <c r="H47" i="8"/>
  <c r="H48" i="8"/>
  <c r="H49" i="8"/>
  <c r="H50" i="8"/>
  <c r="H51" i="8"/>
  <c r="H52" i="8"/>
  <c r="H53" i="8"/>
  <c r="H54" i="8"/>
  <c r="H46" i="8"/>
  <c r="F211" i="1"/>
  <c r="F212" i="1"/>
  <c r="F213" i="1"/>
  <c r="F214" i="1"/>
  <c r="F215" i="1"/>
  <c r="F216" i="1"/>
  <c r="F217" i="1"/>
  <c r="F218" i="1"/>
  <c r="F219" i="1"/>
  <c r="F220" i="1"/>
  <c r="F221" i="1"/>
  <c r="F222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167" i="4"/>
  <c r="H167" i="4" s="1"/>
  <c r="F157" i="4"/>
  <c r="G157" i="4"/>
  <c r="H157" i="4" s="1"/>
  <c r="I157" i="4"/>
  <c r="G168" i="4"/>
  <c r="H168" i="4" s="1"/>
  <c r="J168" i="4"/>
  <c r="G169" i="4"/>
  <c r="H169" i="4" s="1"/>
  <c r="J169" i="4"/>
  <c r="G170" i="4"/>
  <c r="H170" i="4" s="1"/>
  <c r="J170" i="4"/>
  <c r="G171" i="4"/>
  <c r="H171" i="4" s="1"/>
  <c r="J171" i="4"/>
  <c r="G172" i="4"/>
  <c r="H172" i="4" s="1"/>
  <c r="J172" i="4"/>
  <c r="G173" i="4"/>
  <c r="H173" i="4" s="1"/>
  <c r="J173" i="4"/>
  <c r="G174" i="4"/>
  <c r="H174" i="4" s="1"/>
  <c r="J174" i="4"/>
  <c r="G175" i="4"/>
  <c r="H175" i="4" s="1"/>
  <c r="J175" i="4"/>
  <c r="G176" i="4"/>
  <c r="H176" i="4" s="1"/>
  <c r="J176" i="4"/>
  <c r="G177" i="4"/>
  <c r="H177" i="4" s="1"/>
  <c r="J177" i="4"/>
  <c r="G178" i="4"/>
  <c r="J178" i="4"/>
  <c r="F168" i="4"/>
  <c r="F169" i="4"/>
  <c r="F170" i="4"/>
  <c r="F171" i="4"/>
  <c r="F172" i="4"/>
  <c r="F173" i="4"/>
  <c r="F174" i="4"/>
  <c r="F175" i="4"/>
  <c r="F176" i="4"/>
  <c r="F177" i="4"/>
  <c r="F178" i="4"/>
  <c r="J167" i="4"/>
  <c r="F167" i="4"/>
  <c r="F223" i="1" l="1"/>
  <c r="H178" i="4"/>
  <c r="F105" i="8"/>
  <c r="H61" i="29"/>
  <c r="I61" i="29"/>
  <c r="F61" i="29"/>
  <c r="G61" i="29"/>
  <c r="F128" i="3"/>
  <c r="I105" i="8"/>
  <c r="H105" i="8"/>
  <c r="G105" i="8"/>
  <c r="H44" i="31"/>
  <c r="I44" i="31"/>
  <c r="J44" i="31"/>
  <c r="J179" i="4"/>
  <c r="F179" i="4"/>
  <c r="I179" i="4"/>
  <c r="G179" i="4"/>
  <c r="H179" i="4" l="1"/>
  <c r="E67" i="3"/>
  <c r="F229" i="1"/>
  <c r="F230" i="1"/>
  <c r="F231" i="1"/>
  <c r="F232" i="1"/>
  <c r="F233" i="1"/>
  <c r="F234" i="1"/>
  <c r="F235" i="1"/>
  <c r="F236" i="1"/>
  <c r="F237" i="1"/>
  <c r="F238" i="1"/>
  <c r="F239" i="1"/>
  <c r="F228" i="1"/>
  <c r="E228" i="1"/>
  <c r="G72" i="1"/>
  <c r="G74" i="1"/>
  <c r="G75" i="1"/>
  <c r="G76" i="1"/>
  <c r="G77" i="1"/>
  <c r="G78" i="1"/>
  <c r="G79" i="1"/>
  <c r="G80" i="1"/>
  <c r="G81" i="1"/>
  <c r="G82" i="1"/>
  <c r="F72" i="1"/>
  <c r="F73" i="1"/>
  <c r="F74" i="1"/>
  <c r="F75" i="1"/>
  <c r="F76" i="1"/>
  <c r="F77" i="1"/>
  <c r="F78" i="1"/>
  <c r="F79" i="1"/>
  <c r="F80" i="1"/>
  <c r="F81" i="1"/>
  <c r="F82" i="1"/>
  <c r="F71" i="1"/>
  <c r="E72" i="1"/>
  <c r="E73" i="1"/>
  <c r="E74" i="1"/>
  <c r="E75" i="1"/>
  <c r="E76" i="1"/>
  <c r="E77" i="1"/>
  <c r="E78" i="1"/>
  <c r="E79" i="1"/>
  <c r="E80" i="1"/>
  <c r="E81" i="1"/>
  <c r="E82" i="1"/>
  <c r="E71" i="1"/>
  <c r="E232" i="1"/>
  <c r="E229" i="1"/>
  <c r="E230" i="1"/>
  <c r="E231" i="1"/>
  <c r="E233" i="1"/>
  <c r="E234" i="1"/>
  <c r="E235" i="1"/>
  <c r="E236" i="1"/>
  <c r="E237" i="1"/>
  <c r="E238" i="1"/>
  <c r="E239" i="1"/>
  <c r="I6" i="11"/>
  <c r="I7" i="11"/>
  <c r="I8" i="11"/>
  <c r="I9" i="11"/>
  <c r="I10" i="11"/>
  <c r="I11" i="11"/>
  <c r="I5" i="11"/>
  <c r="G6" i="33"/>
  <c r="G7" i="33"/>
  <c r="G8" i="33"/>
  <c r="G9" i="33"/>
  <c r="G10" i="33"/>
  <c r="G11" i="33"/>
  <c r="G12" i="33"/>
  <c r="G13" i="33" s="1"/>
  <c r="E13" i="33"/>
  <c r="J12" i="33"/>
  <c r="H12" i="33"/>
  <c r="I12" i="33" s="1"/>
  <c r="J10" i="33"/>
  <c r="H10" i="33"/>
  <c r="I10" i="33" s="1"/>
  <c r="J9" i="33"/>
  <c r="H9" i="33"/>
  <c r="I9" i="33" s="1"/>
  <c r="J5" i="33"/>
  <c r="H5" i="33"/>
  <c r="G5" i="33"/>
  <c r="E532" i="3"/>
  <c r="H13" i="32"/>
  <c r="H12" i="32"/>
  <c r="H11" i="32"/>
  <c r="H10" i="32"/>
  <c r="H9" i="32"/>
  <c r="H8" i="32"/>
  <c r="H7" i="32"/>
  <c r="H6" i="32"/>
  <c r="I10" i="32"/>
  <c r="E83" i="1" l="1"/>
  <c r="E240" i="1"/>
  <c r="F240" i="1"/>
  <c r="H13" i="33"/>
  <c r="J13" i="33"/>
  <c r="I5" i="33"/>
  <c r="I13" i="33" s="1"/>
  <c r="D14" i="32"/>
  <c r="I13" i="32"/>
  <c r="I12" i="32"/>
  <c r="I11" i="32"/>
  <c r="I9" i="32"/>
  <c r="I8" i="32"/>
  <c r="I7" i="32"/>
  <c r="I6" i="32"/>
  <c r="D162" i="4"/>
  <c r="G156" i="4"/>
  <c r="G158" i="4"/>
  <c r="H158" i="4" s="1"/>
  <c r="G159" i="4"/>
  <c r="H159" i="4" s="1"/>
  <c r="G160" i="4"/>
  <c r="H160" i="4" s="1"/>
  <c r="G161" i="4"/>
  <c r="H161" i="4" s="1"/>
  <c r="G155" i="4"/>
  <c r="I161" i="4"/>
  <c r="F161" i="4"/>
  <c r="I160" i="4"/>
  <c r="F160" i="4"/>
  <c r="I159" i="4"/>
  <c r="F159" i="4"/>
  <c r="I158" i="4"/>
  <c r="F158" i="4"/>
  <c r="I156" i="4"/>
  <c r="F156" i="4"/>
  <c r="I155" i="4"/>
  <c r="F155" i="4"/>
  <c r="G34" i="8"/>
  <c r="G35" i="8"/>
  <c r="G36" i="8"/>
  <c r="G37" i="8"/>
  <c r="D41" i="8"/>
  <c r="F30" i="31"/>
  <c r="I29" i="31"/>
  <c r="J29" i="31" s="1"/>
  <c r="H29" i="31"/>
  <c r="I28" i="31"/>
  <c r="J28" i="31" s="1"/>
  <c r="H28" i="31"/>
  <c r="I27" i="31"/>
  <c r="J27" i="31" s="1"/>
  <c r="H27" i="31"/>
  <c r="I26" i="31"/>
  <c r="J26" i="31" s="1"/>
  <c r="H26" i="31"/>
  <c r="I25" i="31"/>
  <c r="J25" i="31" s="1"/>
  <c r="H25" i="31"/>
  <c r="I24" i="31"/>
  <c r="J24" i="31" s="1"/>
  <c r="H24" i="31"/>
  <c r="I23" i="31"/>
  <c r="J23" i="31" s="1"/>
  <c r="H23" i="31"/>
  <c r="I22" i="31"/>
  <c r="J22" i="31" s="1"/>
  <c r="H22" i="31"/>
  <c r="I21" i="31"/>
  <c r="H21" i="31"/>
  <c r="I11" i="31"/>
  <c r="J11" i="31" s="1"/>
  <c r="I12" i="31"/>
  <c r="J12" i="31" s="1"/>
  <c r="I13" i="31"/>
  <c r="J13" i="31" s="1"/>
  <c r="I14" i="31"/>
  <c r="J14" i="31" s="1"/>
  <c r="I15" i="31"/>
  <c r="J15" i="31" s="1"/>
  <c r="H13" i="31"/>
  <c r="H14" i="31"/>
  <c r="H11" i="31"/>
  <c r="H12" i="31"/>
  <c r="H15" i="31"/>
  <c r="F16" i="31"/>
  <c r="I10" i="31"/>
  <c r="J10" i="31" s="1"/>
  <c r="H10" i="31"/>
  <c r="I9" i="31"/>
  <c r="J9" i="31" s="1"/>
  <c r="H9" i="31"/>
  <c r="I8" i="31"/>
  <c r="J8" i="31" s="1"/>
  <c r="H8" i="31"/>
  <c r="I7" i="31"/>
  <c r="J7" i="31" s="1"/>
  <c r="H7" i="31"/>
  <c r="I6" i="31"/>
  <c r="J6" i="31" s="1"/>
  <c r="H6" i="31"/>
  <c r="I5" i="31"/>
  <c r="J5" i="31" s="1"/>
  <c r="H5" i="31"/>
  <c r="F33" i="8"/>
  <c r="F34" i="8"/>
  <c r="F35" i="8"/>
  <c r="F36" i="8"/>
  <c r="F37" i="8"/>
  <c r="H156" i="4" l="1"/>
  <c r="H16" i="31"/>
  <c r="G162" i="4"/>
  <c r="I14" i="32"/>
  <c r="H14" i="32"/>
  <c r="F162" i="4"/>
  <c r="H155" i="4"/>
  <c r="H162" i="4" s="1"/>
  <c r="I162" i="4"/>
  <c r="H41" i="8"/>
  <c r="H30" i="31"/>
  <c r="I30" i="31"/>
  <c r="J21" i="31"/>
  <c r="J30" i="31" s="1"/>
  <c r="I16" i="31"/>
  <c r="J16" i="31"/>
  <c r="G41" i="8"/>
  <c r="I48" i="5"/>
  <c r="I49" i="5"/>
  <c r="I50" i="5"/>
  <c r="I51" i="5"/>
  <c r="I52" i="5"/>
  <c r="I53" i="5"/>
  <c r="I54" i="5"/>
  <c r="I47" i="5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47" i="5"/>
  <c r="D55" i="5"/>
  <c r="F54" i="5"/>
  <c r="F53" i="5"/>
  <c r="F52" i="5"/>
  <c r="F51" i="5"/>
  <c r="F50" i="5"/>
  <c r="F49" i="5"/>
  <c r="F48" i="5"/>
  <c r="F47" i="5"/>
  <c r="N14" i="30"/>
  <c r="G10" i="30"/>
  <c r="G8" i="30"/>
  <c r="H8" i="30"/>
  <c r="I8" i="30" s="1"/>
  <c r="J8" i="30"/>
  <c r="J9" i="30"/>
  <c r="H9" i="30"/>
  <c r="I9" i="30" s="1"/>
  <c r="G9" i="30"/>
  <c r="J7" i="30"/>
  <c r="H7" i="30"/>
  <c r="I7" i="30" s="1"/>
  <c r="G7" i="30"/>
  <c r="J6" i="30"/>
  <c r="H6" i="30"/>
  <c r="I6" i="30" s="1"/>
  <c r="G6" i="30"/>
  <c r="J5" i="30"/>
  <c r="H5" i="30"/>
  <c r="I5" i="30" s="1"/>
  <c r="G5" i="30"/>
  <c r="D240" i="1"/>
  <c r="G240" i="1"/>
  <c r="G210" i="1"/>
  <c r="G223" i="1" s="1"/>
  <c r="E519" i="3"/>
  <c r="F518" i="3"/>
  <c r="F517" i="3"/>
  <c r="F516" i="3"/>
  <c r="F515" i="3"/>
  <c r="F514" i="3"/>
  <c r="F513" i="3"/>
  <c r="F512" i="3"/>
  <c r="F511" i="3"/>
  <c r="D87" i="8"/>
  <c r="H86" i="8"/>
  <c r="I86" i="8" s="1"/>
  <c r="F86" i="8"/>
  <c r="H85" i="8"/>
  <c r="F85" i="8"/>
  <c r="H84" i="8"/>
  <c r="I84" i="8" s="1"/>
  <c r="F84" i="8"/>
  <c r="H83" i="8"/>
  <c r="I83" i="8" s="1"/>
  <c r="F83" i="8"/>
  <c r="H82" i="8"/>
  <c r="I82" i="8" s="1"/>
  <c r="F82" i="8"/>
  <c r="H81" i="8"/>
  <c r="I81" i="8" s="1"/>
  <c r="F81" i="8"/>
  <c r="H80" i="8"/>
  <c r="I80" i="8" s="1"/>
  <c r="F80" i="8"/>
  <c r="H79" i="8"/>
  <c r="I79" i="8" s="1"/>
  <c r="F79" i="8"/>
  <c r="H78" i="8"/>
  <c r="I78" i="8" s="1"/>
  <c r="F78" i="8"/>
  <c r="I77" i="8"/>
  <c r="H77" i="8"/>
  <c r="F77" i="8"/>
  <c r="F70" i="8"/>
  <c r="F71" i="8"/>
  <c r="F69" i="8"/>
  <c r="F68" i="8"/>
  <c r="F67" i="8"/>
  <c r="F66" i="8"/>
  <c r="F65" i="8"/>
  <c r="H70" i="8"/>
  <c r="H69" i="8"/>
  <c r="I69" i="8" s="1"/>
  <c r="H68" i="8"/>
  <c r="I68" i="8" s="1"/>
  <c r="H67" i="8"/>
  <c r="I67" i="8" s="1"/>
  <c r="H66" i="8"/>
  <c r="I66" i="8" s="1"/>
  <c r="H65" i="8"/>
  <c r="I65" i="8" s="1"/>
  <c r="H71" i="8"/>
  <c r="I71" i="8" s="1"/>
  <c r="D72" i="8"/>
  <c r="H64" i="8"/>
  <c r="I64" i="8" s="1"/>
  <c r="F64" i="8"/>
  <c r="H63" i="8"/>
  <c r="I63" i="8" s="1"/>
  <c r="F63" i="8"/>
  <c r="H62" i="8"/>
  <c r="I62" i="8" s="1"/>
  <c r="F62" i="8"/>
  <c r="H61" i="8"/>
  <c r="I61" i="8" s="1"/>
  <c r="F61" i="8"/>
  <c r="I60" i="8"/>
  <c r="H60" i="8"/>
  <c r="F60" i="8"/>
  <c r="F72" i="8" l="1"/>
  <c r="F55" i="5"/>
  <c r="G55" i="5"/>
  <c r="I55" i="5"/>
  <c r="H47" i="5"/>
  <c r="H55" i="5" s="1"/>
  <c r="F519" i="3"/>
  <c r="F87" i="8"/>
  <c r="H87" i="8"/>
  <c r="I87" i="8"/>
  <c r="H72" i="8"/>
  <c r="I72" i="8"/>
  <c r="D150" i="4"/>
  <c r="I149" i="4"/>
  <c r="G149" i="4"/>
  <c r="H149" i="4" s="1"/>
  <c r="F149" i="4"/>
  <c r="I148" i="4"/>
  <c r="G148" i="4"/>
  <c r="H148" i="4" s="1"/>
  <c r="F148" i="4"/>
  <c r="I147" i="4"/>
  <c r="G147" i="4"/>
  <c r="H147" i="4" s="1"/>
  <c r="F147" i="4"/>
  <c r="I146" i="4"/>
  <c r="G146" i="4"/>
  <c r="H146" i="4" s="1"/>
  <c r="F146" i="4"/>
  <c r="I145" i="4"/>
  <c r="G145" i="4"/>
  <c r="H145" i="4" s="1"/>
  <c r="F145" i="4"/>
  <c r="I144" i="4"/>
  <c r="G144" i="4"/>
  <c r="H144" i="4" s="1"/>
  <c r="F144" i="4"/>
  <c r="I143" i="4"/>
  <c r="G143" i="4"/>
  <c r="H143" i="4" s="1"/>
  <c r="F143" i="4"/>
  <c r="I142" i="4"/>
  <c r="G142" i="4"/>
  <c r="H142" i="4" s="1"/>
  <c r="F142" i="4"/>
  <c r="I141" i="4"/>
  <c r="G141" i="4"/>
  <c r="H141" i="4" s="1"/>
  <c r="F141" i="4"/>
  <c r="I140" i="4"/>
  <c r="G140" i="4"/>
  <c r="H140" i="4" s="1"/>
  <c r="F140" i="4"/>
  <c r="I139" i="4"/>
  <c r="G139" i="4"/>
  <c r="H139" i="4" s="1"/>
  <c r="F139" i="4"/>
  <c r="I138" i="4"/>
  <c r="G138" i="4"/>
  <c r="H138" i="4" s="1"/>
  <c r="F138" i="4"/>
  <c r="E270" i="3"/>
  <c r="G267" i="3"/>
  <c r="G269" i="3"/>
  <c r="G268" i="3"/>
  <c r="F268" i="3"/>
  <c r="F269" i="3"/>
  <c r="F267" i="3"/>
  <c r="F270" i="3" l="1"/>
  <c r="G270" i="3"/>
  <c r="F150" i="4"/>
  <c r="I150" i="4"/>
  <c r="H150" i="4"/>
  <c r="G15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H122" i="4" l="1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F132" i="4"/>
  <c r="F131" i="4"/>
  <c r="F130" i="4"/>
  <c r="F129" i="4"/>
  <c r="F128" i="4"/>
  <c r="F127" i="4"/>
  <c r="D133" i="4"/>
  <c r="F126" i="4"/>
  <c r="F125" i="4"/>
  <c r="F124" i="4"/>
  <c r="F123" i="4"/>
  <c r="F122" i="4"/>
  <c r="I121" i="4"/>
  <c r="H121" i="4"/>
  <c r="F121" i="4"/>
  <c r="D205" i="1"/>
  <c r="E505" i="3"/>
  <c r="F501" i="3"/>
  <c r="F500" i="3"/>
  <c r="F494" i="3"/>
  <c r="F493" i="3"/>
  <c r="F492" i="3"/>
  <c r="F479" i="3"/>
  <c r="F480" i="3"/>
  <c r="F481" i="3"/>
  <c r="F482" i="3"/>
  <c r="F483" i="3"/>
  <c r="F484" i="3"/>
  <c r="F485" i="3"/>
  <c r="F486" i="3"/>
  <c r="E487" i="3"/>
  <c r="F478" i="3"/>
  <c r="E473" i="3"/>
  <c r="F470" i="3"/>
  <c r="F469" i="3"/>
  <c r="F468" i="3"/>
  <c r="E464" i="3"/>
  <c r="F459" i="3"/>
  <c r="F458" i="3"/>
  <c r="F452" i="3"/>
  <c r="F451" i="3"/>
  <c r="F450" i="3"/>
  <c r="D42" i="29"/>
  <c r="I41" i="29"/>
  <c r="G41" i="29"/>
  <c r="H41" i="29" s="1"/>
  <c r="F41" i="29"/>
  <c r="I40" i="29"/>
  <c r="G40" i="29"/>
  <c r="H40" i="29" s="1"/>
  <c r="F40" i="29"/>
  <c r="I39" i="29"/>
  <c r="G39" i="29"/>
  <c r="H39" i="29" s="1"/>
  <c r="F39" i="29"/>
  <c r="I38" i="29"/>
  <c r="G38" i="29"/>
  <c r="H38" i="29" s="1"/>
  <c r="F38" i="29"/>
  <c r="I37" i="29"/>
  <c r="G37" i="29"/>
  <c r="H37" i="29" s="1"/>
  <c r="F37" i="29"/>
  <c r="I36" i="29"/>
  <c r="G36" i="29"/>
  <c r="H36" i="29" s="1"/>
  <c r="F36" i="29"/>
  <c r="I35" i="29"/>
  <c r="G35" i="29"/>
  <c r="H35" i="29" s="1"/>
  <c r="F35" i="29"/>
  <c r="I34" i="29"/>
  <c r="G34" i="29"/>
  <c r="H34" i="29" s="1"/>
  <c r="F34" i="29"/>
  <c r="I33" i="29"/>
  <c r="G33" i="29"/>
  <c r="F33" i="29"/>
  <c r="D28" i="29"/>
  <c r="I27" i="29"/>
  <c r="G27" i="29"/>
  <c r="H27" i="29" s="1"/>
  <c r="F27" i="29"/>
  <c r="I26" i="29"/>
  <c r="G26" i="29"/>
  <c r="H26" i="29" s="1"/>
  <c r="F26" i="29"/>
  <c r="I25" i="29"/>
  <c r="G25" i="29"/>
  <c r="H25" i="29" s="1"/>
  <c r="F25" i="29"/>
  <c r="I24" i="29"/>
  <c r="G24" i="29"/>
  <c r="H24" i="29" s="1"/>
  <c r="F24" i="29"/>
  <c r="I23" i="29"/>
  <c r="G23" i="29"/>
  <c r="H23" i="29" s="1"/>
  <c r="F23" i="29"/>
  <c r="I22" i="29"/>
  <c r="G22" i="29"/>
  <c r="H22" i="29" s="1"/>
  <c r="F22" i="29"/>
  <c r="I21" i="29"/>
  <c r="G21" i="29"/>
  <c r="H21" i="29" s="1"/>
  <c r="F21" i="29"/>
  <c r="I20" i="29"/>
  <c r="G20" i="29"/>
  <c r="H20" i="29" s="1"/>
  <c r="F20" i="29"/>
  <c r="I19" i="29"/>
  <c r="G19" i="29"/>
  <c r="F19" i="29"/>
  <c r="F13" i="29"/>
  <c r="D14" i="29"/>
  <c r="I13" i="29"/>
  <c r="G13" i="29"/>
  <c r="H13" i="29" s="1"/>
  <c r="I12" i="29"/>
  <c r="G12" i="29"/>
  <c r="H12" i="29" s="1"/>
  <c r="F12" i="29"/>
  <c r="I11" i="29"/>
  <c r="G11" i="29"/>
  <c r="H11" i="29" s="1"/>
  <c r="F11" i="29"/>
  <c r="I10" i="29"/>
  <c r="G10" i="29"/>
  <c r="H10" i="29" s="1"/>
  <c r="F10" i="29"/>
  <c r="I9" i="29"/>
  <c r="G9" i="29"/>
  <c r="H9" i="29" s="1"/>
  <c r="F9" i="29"/>
  <c r="I8" i="29"/>
  <c r="G8" i="29"/>
  <c r="H8" i="29" s="1"/>
  <c r="F8" i="29"/>
  <c r="I7" i="29"/>
  <c r="G7" i="29"/>
  <c r="H7" i="29" s="1"/>
  <c r="F7" i="29"/>
  <c r="I6" i="29"/>
  <c r="G6" i="29"/>
  <c r="H6" i="29" s="1"/>
  <c r="F6" i="29"/>
  <c r="I5" i="29"/>
  <c r="G5" i="29"/>
  <c r="F5" i="29"/>
  <c r="F42" i="29" l="1"/>
  <c r="G42" i="29"/>
  <c r="I42" i="29"/>
  <c r="F473" i="3"/>
  <c r="I133" i="4"/>
  <c r="H133" i="4"/>
  <c r="F133" i="4"/>
  <c r="G133" i="4"/>
  <c r="F205" i="1"/>
  <c r="E205" i="1"/>
  <c r="G205" i="1"/>
  <c r="F505" i="3"/>
  <c r="F487" i="3"/>
  <c r="F464" i="3"/>
  <c r="H33" i="29"/>
  <c r="H42" i="29" s="1"/>
  <c r="F28" i="29"/>
  <c r="G28" i="29"/>
  <c r="I28" i="29"/>
  <c r="H19" i="29"/>
  <c r="H28" i="29" s="1"/>
  <c r="F14" i="29"/>
  <c r="I14" i="29"/>
  <c r="G14" i="29"/>
  <c r="H5" i="29"/>
  <c r="H14" i="29" s="1"/>
  <c r="E445" i="3"/>
  <c r="F444" i="3"/>
  <c r="F442" i="3"/>
  <c r="F441" i="3"/>
  <c r="F435" i="3"/>
  <c r="F434" i="3"/>
  <c r="F433" i="3"/>
  <c r="F445" i="3" l="1"/>
  <c r="E427" i="3"/>
  <c r="F426" i="3"/>
  <c r="F424" i="3"/>
  <c r="F423" i="3"/>
  <c r="F417" i="3"/>
  <c r="F416" i="3"/>
  <c r="F415" i="3"/>
  <c r="E410" i="3"/>
  <c r="F23" i="27"/>
  <c r="D36" i="27"/>
  <c r="J35" i="27"/>
  <c r="I35" i="27"/>
  <c r="G35" i="27"/>
  <c r="H35" i="27" s="1"/>
  <c r="F35" i="27"/>
  <c r="J34" i="27"/>
  <c r="I34" i="27"/>
  <c r="G34" i="27"/>
  <c r="H34" i="27" s="1"/>
  <c r="F34" i="27"/>
  <c r="J33" i="27"/>
  <c r="I33" i="27"/>
  <c r="G33" i="27"/>
  <c r="H33" i="27" s="1"/>
  <c r="F33" i="27"/>
  <c r="J32" i="27"/>
  <c r="I32" i="27"/>
  <c r="G32" i="27"/>
  <c r="H32" i="27" s="1"/>
  <c r="F32" i="27"/>
  <c r="J31" i="27"/>
  <c r="I31" i="27"/>
  <c r="G31" i="27"/>
  <c r="F31" i="27"/>
  <c r="J30" i="27"/>
  <c r="I30" i="27"/>
  <c r="G30" i="27"/>
  <c r="H30" i="27" s="1"/>
  <c r="F30" i="27"/>
  <c r="J29" i="27"/>
  <c r="I29" i="27"/>
  <c r="G29" i="27"/>
  <c r="H29" i="27" s="1"/>
  <c r="F29" i="27"/>
  <c r="J28" i="27"/>
  <c r="J36" i="27" s="1"/>
  <c r="I28" i="27"/>
  <c r="G28" i="27"/>
  <c r="H28" i="27" s="1"/>
  <c r="F28" i="27"/>
  <c r="D23" i="27"/>
  <c r="G22" i="27"/>
  <c r="H22" i="27" s="1"/>
  <c r="F22" i="27"/>
  <c r="G21" i="27"/>
  <c r="H21" i="27" s="1"/>
  <c r="F21" i="27"/>
  <c r="G20" i="27"/>
  <c r="H20" i="27" s="1"/>
  <c r="F20" i="27"/>
  <c r="G19" i="27"/>
  <c r="H19" i="27" s="1"/>
  <c r="F19" i="27"/>
  <c r="G18" i="27"/>
  <c r="H18" i="27" s="1"/>
  <c r="F18" i="27"/>
  <c r="G17" i="27"/>
  <c r="H17" i="27" s="1"/>
  <c r="F17" i="27"/>
  <c r="G16" i="27"/>
  <c r="H16" i="27" s="1"/>
  <c r="F16" i="27"/>
  <c r="G15" i="27"/>
  <c r="H15" i="27" s="1"/>
  <c r="F15" i="27"/>
  <c r="D9" i="27"/>
  <c r="G8" i="27"/>
  <c r="H8" i="27" s="1"/>
  <c r="F8" i="27"/>
  <c r="G7" i="27"/>
  <c r="H7" i="27" s="1"/>
  <c r="F7" i="27"/>
  <c r="G6" i="27"/>
  <c r="H6" i="27" s="1"/>
  <c r="F6" i="27"/>
  <c r="G5" i="27"/>
  <c r="H5" i="27" s="1"/>
  <c r="F5" i="27"/>
  <c r="D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0" i="1"/>
  <c r="F180" i="1"/>
  <c r="E180" i="1"/>
  <c r="G178" i="1"/>
  <c r="F178" i="1"/>
  <c r="E178" i="1"/>
  <c r="F427" i="3" l="1"/>
  <c r="F9" i="27"/>
  <c r="F36" i="27"/>
  <c r="G36" i="27"/>
  <c r="G23" i="27"/>
  <c r="I36" i="27"/>
  <c r="H9" i="27"/>
  <c r="H23" i="27"/>
  <c r="H31" i="27"/>
  <c r="H36" i="27" s="1"/>
  <c r="G9" i="27"/>
  <c r="G189" i="1"/>
  <c r="E189" i="1"/>
  <c r="F189" i="1"/>
  <c r="D173" i="1"/>
  <c r="F172" i="1"/>
  <c r="G172" i="1"/>
  <c r="F171" i="1"/>
  <c r="G171" i="1"/>
  <c r="F170" i="1"/>
  <c r="G170" i="1"/>
  <c r="F169" i="1"/>
  <c r="G169" i="1"/>
  <c r="F166" i="1"/>
  <c r="G166" i="1"/>
  <c r="G168" i="1"/>
  <c r="F168" i="1"/>
  <c r="G167" i="1"/>
  <c r="F167" i="1"/>
  <c r="G165" i="1"/>
  <c r="F165" i="1"/>
  <c r="G164" i="1"/>
  <c r="F164" i="1"/>
  <c r="G163" i="1"/>
  <c r="F163" i="1"/>
  <c r="G162" i="1"/>
  <c r="F162" i="1"/>
  <c r="G161" i="1"/>
  <c r="F161" i="1"/>
  <c r="E398" i="3"/>
  <c r="E24" i="1"/>
  <c r="I45" i="4"/>
  <c r="I46" i="4"/>
  <c r="I47" i="4"/>
  <c r="I48" i="4"/>
  <c r="I44" i="4"/>
  <c r="D42" i="5"/>
  <c r="I41" i="5"/>
  <c r="G41" i="5"/>
  <c r="H41" i="5" s="1"/>
  <c r="F41" i="5"/>
  <c r="I40" i="5"/>
  <c r="G40" i="5"/>
  <c r="H40" i="5" s="1"/>
  <c r="F40" i="5"/>
  <c r="I39" i="5"/>
  <c r="G39" i="5"/>
  <c r="H39" i="5" s="1"/>
  <c r="F39" i="5"/>
  <c r="I38" i="5"/>
  <c r="G38" i="5"/>
  <c r="H38" i="5" s="1"/>
  <c r="F38" i="5"/>
  <c r="I37" i="5"/>
  <c r="G37" i="5"/>
  <c r="H37" i="5" s="1"/>
  <c r="F37" i="5"/>
  <c r="I36" i="5"/>
  <c r="G36" i="5"/>
  <c r="H36" i="5" s="1"/>
  <c r="F36" i="5"/>
  <c r="I35" i="5"/>
  <c r="G35" i="5"/>
  <c r="F35" i="5"/>
  <c r="E378" i="3"/>
  <c r="F28" i="5"/>
  <c r="G28" i="5"/>
  <c r="H28" i="5" s="1"/>
  <c r="I28" i="5"/>
  <c r="D30" i="5"/>
  <c r="I29" i="5"/>
  <c r="G29" i="5"/>
  <c r="H29" i="5" s="1"/>
  <c r="F29" i="5"/>
  <c r="I27" i="5"/>
  <c r="G27" i="5"/>
  <c r="H27" i="5" s="1"/>
  <c r="F27" i="5"/>
  <c r="I26" i="5"/>
  <c r="G26" i="5"/>
  <c r="H26" i="5" s="1"/>
  <c r="F26" i="5"/>
  <c r="I25" i="5"/>
  <c r="G25" i="5"/>
  <c r="H25" i="5" s="1"/>
  <c r="F25" i="5"/>
  <c r="I24" i="5"/>
  <c r="G24" i="5"/>
  <c r="H24" i="5" s="1"/>
  <c r="F24" i="5"/>
  <c r="I23" i="5"/>
  <c r="G23" i="5"/>
  <c r="H23" i="5" s="1"/>
  <c r="F23" i="5"/>
  <c r="I22" i="5"/>
  <c r="G22" i="5"/>
  <c r="H22" i="5" s="1"/>
  <c r="F22" i="5"/>
  <c r="D35" i="13"/>
  <c r="J34" i="13"/>
  <c r="I34" i="13"/>
  <c r="G34" i="13"/>
  <c r="H34" i="13" s="1"/>
  <c r="F34" i="13"/>
  <c r="J33" i="13"/>
  <c r="I33" i="13"/>
  <c r="G33" i="13"/>
  <c r="H33" i="13" s="1"/>
  <c r="F33" i="13"/>
  <c r="J32" i="13"/>
  <c r="I32" i="13"/>
  <c r="G32" i="13"/>
  <c r="H32" i="13" s="1"/>
  <c r="F32" i="13"/>
  <c r="J31" i="13"/>
  <c r="I31" i="13"/>
  <c r="G31" i="13"/>
  <c r="H31" i="13" s="1"/>
  <c r="F31" i="13"/>
  <c r="J30" i="13"/>
  <c r="I30" i="13"/>
  <c r="G30" i="13"/>
  <c r="H30" i="13" s="1"/>
  <c r="F30" i="13"/>
  <c r="J29" i="13"/>
  <c r="I29" i="13"/>
  <c r="G29" i="13"/>
  <c r="H29" i="13" s="1"/>
  <c r="F29" i="13"/>
  <c r="J28" i="13"/>
  <c r="I28" i="13"/>
  <c r="G28" i="13"/>
  <c r="H28" i="13" s="1"/>
  <c r="F28" i="13"/>
  <c r="F35" i="13" l="1"/>
  <c r="I35" i="13"/>
  <c r="F42" i="5"/>
  <c r="G173" i="1"/>
  <c r="F173" i="1"/>
  <c r="E173" i="1"/>
  <c r="G42" i="5"/>
  <c r="I42" i="5"/>
  <c r="H35" i="5"/>
  <c r="H42" i="5" s="1"/>
  <c r="F30" i="5"/>
  <c r="I30" i="5"/>
  <c r="H30" i="5"/>
  <c r="G30" i="5"/>
  <c r="J35" i="13"/>
  <c r="H35" i="13"/>
  <c r="G35" i="13"/>
  <c r="I47" i="8"/>
  <c r="I48" i="8"/>
  <c r="I49" i="8"/>
  <c r="I50" i="8"/>
  <c r="I51" i="8"/>
  <c r="I52" i="8"/>
  <c r="I53" i="8"/>
  <c r="I46" i="8"/>
  <c r="D55" i="8"/>
  <c r="I54" i="8"/>
  <c r="F54" i="8"/>
  <c r="F53" i="8"/>
  <c r="F52" i="8"/>
  <c r="F51" i="8"/>
  <c r="F50" i="8"/>
  <c r="F49" i="8"/>
  <c r="F48" i="8"/>
  <c r="F47" i="8"/>
  <c r="F46" i="8"/>
  <c r="F55" i="8" l="1"/>
  <c r="I55" i="8"/>
  <c r="H55" i="8"/>
  <c r="F110" i="4"/>
  <c r="F111" i="4"/>
  <c r="F112" i="4"/>
  <c r="F113" i="4"/>
  <c r="F114" i="4"/>
  <c r="F115" i="4"/>
  <c r="D116" i="4"/>
  <c r="H115" i="4"/>
  <c r="H110" i="4"/>
  <c r="F109" i="4"/>
  <c r="G149" i="1"/>
  <c r="G150" i="1"/>
  <c r="G151" i="1"/>
  <c r="G152" i="1"/>
  <c r="G153" i="1"/>
  <c r="G154" i="1"/>
  <c r="G155" i="1"/>
  <c r="G148" i="1"/>
  <c r="F149" i="1"/>
  <c r="F150" i="1"/>
  <c r="F151" i="1"/>
  <c r="F152" i="1"/>
  <c r="F153" i="1"/>
  <c r="F154" i="1"/>
  <c r="F155" i="1"/>
  <c r="F148" i="1"/>
  <c r="E149" i="1"/>
  <c r="E150" i="1"/>
  <c r="E151" i="1"/>
  <c r="E152" i="1"/>
  <c r="E153" i="1"/>
  <c r="E154" i="1"/>
  <c r="E155" i="1"/>
  <c r="E148" i="1"/>
  <c r="D156" i="1"/>
  <c r="D143" i="1"/>
  <c r="G142" i="1"/>
  <c r="E142" i="1"/>
  <c r="F142" i="1" s="1"/>
  <c r="G141" i="1"/>
  <c r="E141" i="1"/>
  <c r="F141" i="1" s="1"/>
  <c r="G140" i="1"/>
  <c r="E140" i="1"/>
  <c r="F140" i="1" s="1"/>
  <c r="G139" i="1"/>
  <c r="E139" i="1"/>
  <c r="F139" i="1" s="1"/>
  <c r="G138" i="1"/>
  <c r="E138" i="1"/>
  <c r="F138" i="1" s="1"/>
  <c r="G137" i="1"/>
  <c r="E137" i="1"/>
  <c r="F137" i="1" s="1"/>
  <c r="G136" i="1"/>
  <c r="E136" i="1"/>
  <c r="F136" i="1" s="1"/>
  <c r="G135" i="1"/>
  <c r="F135" i="1"/>
  <c r="E135" i="1"/>
  <c r="F116" i="4" l="1"/>
  <c r="G156" i="1"/>
  <c r="G116" i="4"/>
  <c r="I116" i="4"/>
  <c r="H109" i="4"/>
  <c r="H116" i="4" s="1"/>
  <c r="E143" i="1"/>
  <c r="E156" i="1"/>
  <c r="F156" i="1"/>
  <c r="F143" i="1"/>
  <c r="D130" i="1"/>
  <c r="G130" i="1" l="1"/>
  <c r="F130" i="1"/>
  <c r="E130" i="1"/>
  <c r="E361" i="3" l="1"/>
  <c r="E343" i="3"/>
  <c r="E329" i="3"/>
  <c r="G328" i="3"/>
  <c r="G327" i="3"/>
  <c r="F327" i="3"/>
  <c r="G326" i="3"/>
  <c r="F326" i="3"/>
  <c r="G325" i="3"/>
  <c r="F325" i="3"/>
  <c r="G324" i="3"/>
  <c r="F324" i="3"/>
  <c r="G323" i="3"/>
  <c r="G322" i="3"/>
  <c r="F322" i="3"/>
  <c r="G321" i="3"/>
  <c r="F321" i="3"/>
  <c r="G320" i="3"/>
  <c r="F320" i="3"/>
  <c r="F329" i="3" l="1"/>
  <c r="G329" i="3"/>
  <c r="E198" i="3" l="1"/>
  <c r="D97" i="2"/>
  <c r="H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F90" i="2"/>
  <c r="H89" i="2"/>
  <c r="G89" i="2"/>
  <c r="F89" i="2"/>
  <c r="H88" i="2"/>
  <c r="G88" i="2"/>
  <c r="F88" i="2"/>
  <c r="H87" i="2"/>
  <c r="F87" i="2"/>
  <c r="E315" i="3"/>
  <c r="E243" i="3"/>
  <c r="H97" i="2" l="1"/>
  <c r="F97" i="2"/>
  <c r="G97" i="2"/>
  <c r="I97" i="2"/>
  <c r="J97" i="2"/>
  <c r="F11" i="5" l="1"/>
  <c r="D104" i="4"/>
  <c r="I103" i="4"/>
  <c r="G103" i="4"/>
  <c r="H103" i="4" s="1"/>
  <c r="F103" i="4"/>
  <c r="I102" i="4"/>
  <c r="G102" i="4"/>
  <c r="H102" i="4" s="1"/>
  <c r="F102" i="4"/>
  <c r="I101" i="4"/>
  <c r="G101" i="4"/>
  <c r="H101" i="4" s="1"/>
  <c r="F101" i="4"/>
  <c r="I100" i="4"/>
  <c r="G100" i="4"/>
  <c r="H100" i="4" s="1"/>
  <c r="F100" i="4"/>
  <c r="I99" i="4"/>
  <c r="G99" i="4"/>
  <c r="H99" i="4" s="1"/>
  <c r="F99" i="4"/>
  <c r="I98" i="4"/>
  <c r="G98" i="4"/>
  <c r="H98" i="4" s="1"/>
  <c r="F98" i="4"/>
  <c r="D93" i="4"/>
  <c r="H92" i="4"/>
  <c r="F92" i="4"/>
  <c r="H91" i="4"/>
  <c r="F91" i="4"/>
  <c r="H90" i="4"/>
  <c r="F90" i="4"/>
  <c r="H89" i="4"/>
  <c r="F89" i="4"/>
  <c r="H88" i="4"/>
  <c r="F88" i="4"/>
  <c r="F87" i="4"/>
  <c r="F74" i="2"/>
  <c r="F75" i="2"/>
  <c r="F76" i="2"/>
  <c r="F77" i="2"/>
  <c r="F78" i="2"/>
  <c r="F73" i="2"/>
  <c r="F6" i="2"/>
  <c r="F7" i="2"/>
  <c r="F8" i="2"/>
  <c r="F9" i="2"/>
  <c r="F5" i="2"/>
  <c r="F10" i="2" l="1"/>
  <c r="F93" i="4"/>
  <c r="I104" i="4"/>
  <c r="F104" i="4"/>
  <c r="H104" i="4"/>
  <c r="G104" i="4"/>
  <c r="G93" i="4"/>
  <c r="I93" i="4"/>
  <c r="H87" i="4"/>
  <c r="H93" i="4" s="1"/>
  <c r="G114" i="1" l="1"/>
  <c r="H114" i="1" s="1"/>
  <c r="G115" i="1"/>
  <c r="H115" i="1" s="1"/>
  <c r="G116" i="1"/>
  <c r="H116" i="1" s="1"/>
  <c r="G117" i="1"/>
  <c r="H117" i="1" s="1"/>
  <c r="G118" i="1"/>
  <c r="H118" i="1" s="1"/>
  <c r="G113" i="1"/>
  <c r="H113" i="1" s="1"/>
  <c r="D119" i="1"/>
  <c r="E117" i="1"/>
  <c r="F117" i="1" s="1"/>
  <c r="F113" i="1"/>
  <c r="D23" i="13"/>
  <c r="G22" i="13"/>
  <c r="H22" i="13" s="1"/>
  <c r="F22" i="13"/>
  <c r="G21" i="13"/>
  <c r="H21" i="13" s="1"/>
  <c r="F21" i="13"/>
  <c r="G20" i="13"/>
  <c r="H20" i="13" s="1"/>
  <c r="F20" i="13"/>
  <c r="G19" i="13"/>
  <c r="H19" i="13" s="1"/>
  <c r="F19" i="13"/>
  <c r="G18" i="13"/>
  <c r="H18" i="13" s="1"/>
  <c r="F18" i="13"/>
  <c r="F17" i="13"/>
  <c r="E17" i="1"/>
  <c r="E18" i="1"/>
  <c r="E19" i="1" l="1"/>
  <c r="F23" i="13"/>
  <c r="H119" i="1"/>
  <c r="G119" i="1"/>
  <c r="E118" i="1"/>
  <c r="F118" i="1" s="1"/>
  <c r="E119" i="1" s="1"/>
  <c r="G23" i="13"/>
  <c r="H17" i="13"/>
  <c r="H23" i="13" s="1"/>
  <c r="E66" i="7"/>
  <c r="F65" i="7"/>
  <c r="F64" i="7"/>
  <c r="F61" i="7"/>
  <c r="F59" i="7"/>
  <c r="F58" i="7"/>
  <c r="F60" i="7"/>
  <c r="F62" i="7"/>
  <c r="F63" i="7"/>
  <c r="G58" i="7"/>
  <c r="D108" i="1"/>
  <c r="F119" i="1" l="1"/>
  <c r="D19" i="1"/>
  <c r="G16" i="1"/>
  <c r="G107" i="1"/>
  <c r="E107" i="1"/>
  <c r="F107" i="1" s="1"/>
  <c r="G106" i="1"/>
  <c r="E106" i="1"/>
  <c r="F106" i="1" s="1"/>
  <c r="G105" i="1"/>
  <c r="F105" i="1"/>
  <c r="E105" i="1"/>
  <c r="I15" i="5"/>
  <c r="I6" i="5"/>
  <c r="I7" i="5"/>
  <c r="I8" i="5"/>
  <c r="I9" i="5"/>
  <c r="I10" i="5"/>
  <c r="I11" i="5"/>
  <c r="I12" i="5"/>
  <c r="I13" i="5"/>
  <c r="I14" i="5"/>
  <c r="I5" i="5"/>
  <c r="G108" i="1" l="1"/>
  <c r="F108" i="1"/>
  <c r="E108" i="1"/>
  <c r="E107" i="3" l="1"/>
  <c r="E78" i="12"/>
  <c r="J82" i="12"/>
  <c r="I82" i="12"/>
  <c r="H82" i="12"/>
  <c r="D82" i="12"/>
  <c r="E81" i="12"/>
  <c r="G81" i="12" s="1"/>
  <c r="E80" i="12"/>
  <c r="G80" i="12" s="1"/>
  <c r="E79" i="12"/>
  <c r="G79" i="12" s="1"/>
  <c r="G78" i="12"/>
  <c r="E77" i="12"/>
  <c r="G77" i="12" s="1"/>
  <c r="E76" i="12"/>
  <c r="G76" i="12" s="1"/>
  <c r="E75" i="12"/>
  <c r="G75" i="12" s="1"/>
  <c r="E74" i="12"/>
  <c r="G74" i="12" s="1"/>
  <c r="E73" i="12"/>
  <c r="G73" i="12" s="1"/>
  <c r="E72" i="12"/>
  <c r="J65" i="12"/>
  <c r="I65" i="12"/>
  <c r="H65" i="12"/>
  <c r="D65" i="12"/>
  <c r="E64" i="12"/>
  <c r="G64" i="12" s="1"/>
  <c r="E63" i="12"/>
  <c r="G63" i="12" s="1"/>
  <c r="E62" i="12"/>
  <c r="G62" i="12" s="1"/>
  <c r="E61" i="12"/>
  <c r="G61" i="12" s="1"/>
  <c r="D54" i="12"/>
  <c r="E53" i="12"/>
  <c r="E52" i="12"/>
  <c r="G52" i="12" s="1"/>
  <c r="J54" i="12"/>
  <c r="I54" i="12"/>
  <c r="H54" i="12"/>
  <c r="E51" i="12"/>
  <c r="G51" i="12" s="1"/>
  <c r="E50" i="12"/>
  <c r="G50" i="12" s="1"/>
  <c r="E49" i="12"/>
  <c r="G49" i="12" s="1"/>
  <c r="E48" i="12"/>
  <c r="G48" i="12" s="1"/>
  <c r="E47" i="12"/>
  <c r="G47" i="12" s="1"/>
  <c r="E46" i="12"/>
  <c r="G46" i="12" s="1"/>
  <c r="E45" i="12"/>
  <c r="G45" i="12" s="1"/>
  <c r="E44" i="12"/>
  <c r="G44" i="12" s="1"/>
  <c r="E43" i="12"/>
  <c r="G43" i="12" s="1"/>
  <c r="E42" i="12"/>
  <c r="G42" i="12" s="1"/>
  <c r="E41" i="12"/>
  <c r="E32" i="12"/>
  <c r="G32" i="12" s="1"/>
  <c r="E33" i="12"/>
  <c r="G33" i="12" s="1"/>
  <c r="E27" i="12"/>
  <c r="G27" i="12" s="1"/>
  <c r="D34" i="12"/>
  <c r="E31" i="12"/>
  <c r="G31" i="12" s="1"/>
  <c r="E30" i="12"/>
  <c r="G30" i="12" s="1"/>
  <c r="E29" i="12"/>
  <c r="G29" i="12" s="1"/>
  <c r="E28" i="12"/>
  <c r="G28" i="12" s="1"/>
  <c r="E26" i="12"/>
  <c r="G26" i="12" s="1"/>
  <c r="E25" i="12"/>
  <c r="G25" i="12" s="1"/>
  <c r="E24" i="12"/>
  <c r="E23" i="12"/>
  <c r="G23" i="12" s="1"/>
  <c r="E6" i="12"/>
  <c r="G6" i="12" s="1"/>
  <c r="E7" i="12"/>
  <c r="G7" i="12" s="1"/>
  <c r="E8" i="12"/>
  <c r="G8" i="12" s="1"/>
  <c r="E9" i="12"/>
  <c r="G9" i="12" s="1"/>
  <c r="E10" i="12"/>
  <c r="G10" i="12" s="1"/>
  <c r="E11" i="12"/>
  <c r="G11" i="12" s="1"/>
  <c r="E12" i="12"/>
  <c r="G12" i="12" s="1"/>
  <c r="E13" i="12"/>
  <c r="G13" i="12" s="1"/>
  <c r="E14" i="12"/>
  <c r="G14" i="12" s="1"/>
  <c r="E15" i="12"/>
  <c r="D16" i="12"/>
  <c r="F163" i="3" l="1"/>
  <c r="E82" i="12"/>
  <c r="G72" i="12"/>
  <c r="G82" i="12" s="1"/>
  <c r="E54" i="12"/>
  <c r="G65" i="12"/>
  <c r="E65" i="12"/>
  <c r="G53" i="12"/>
  <c r="G41" i="12"/>
  <c r="J34" i="12"/>
  <c r="I34" i="12"/>
  <c r="H34" i="12"/>
  <c r="E34" i="12"/>
  <c r="E16" i="12"/>
  <c r="G15" i="12"/>
  <c r="G16" i="12" s="1"/>
  <c r="G24" i="12"/>
  <c r="G34" i="12" s="1"/>
  <c r="I16" i="12"/>
  <c r="J16" i="12"/>
  <c r="H16" i="12"/>
  <c r="I68" i="2"/>
  <c r="G68" i="2"/>
  <c r="G54" i="12" l="1"/>
  <c r="I69" i="2"/>
  <c r="I70" i="2"/>
  <c r="I71" i="2"/>
  <c r="I72" i="2"/>
  <c r="I73" i="2"/>
  <c r="I74" i="2"/>
  <c r="I75" i="2"/>
  <c r="I76" i="2"/>
  <c r="I77" i="2"/>
  <c r="I78" i="2"/>
  <c r="I79" i="2"/>
  <c r="I80" i="2"/>
  <c r="H68" i="2"/>
  <c r="G77" i="2"/>
  <c r="G78" i="2"/>
  <c r="G79" i="2"/>
  <c r="G80" i="2"/>
  <c r="G74" i="2"/>
  <c r="G75" i="2"/>
  <c r="G76" i="2"/>
  <c r="G73" i="2"/>
  <c r="H73" i="2" s="1"/>
  <c r="H80" i="2"/>
  <c r="H79" i="2"/>
  <c r="G69" i="2"/>
  <c r="H69" i="2" s="1"/>
  <c r="G70" i="2"/>
  <c r="H70" i="2" s="1"/>
  <c r="G71" i="2"/>
  <c r="H71" i="2" s="1"/>
  <c r="G72" i="2"/>
  <c r="H72" i="2" s="1"/>
  <c r="D81" i="2"/>
  <c r="F80" i="2"/>
  <c r="F79" i="2"/>
  <c r="F72" i="2"/>
  <c r="F71" i="2"/>
  <c r="F70" i="2"/>
  <c r="F69" i="2"/>
  <c r="F68" i="2"/>
  <c r="I37" i="8"/>
  <c r="I36" i="8"/>
  <c r="I35" i="8"/>
  <c r="I34" i="8"/>
  <c r="I33" i="8"/>
  <c r="E260" i="3"/>
  <c r="H5" i="9"/>
  <c r="H6" i="9"/>
  <c r="H7" i="9"/>
  <c r="D12" i="11"/>
  <c r="G11" i="11"/>
  <c r="H11" i="11" s="1"/>
  <c r="F11" i="11"/>
  <c r="G10" i="11"/>
  <c r="H10" i="11" s="1"/>
  <c r="F10" i="11"/>
  <c r="G9" i="11"/>
  <c r="H9" i="11" s="1"/>
  <c r="F9" i="11"/>
  <c r="G8" i="11"/>
  <c r="H8" i="11" s="1"/>
  <c r="F8" i="11"/>
  <c r="G7" i="11"/>
  <c r="H7" i="11" s="1"/>
  <c r="F7" i="11"/>
  <c r="G6" i="11"/>
  <c r="H6" i="11" s="1"/>
  <c r="F6" i="11"/>
  <c r="G5" i="11"/>
  <c r="H5" i="11" s="1"/>
  <c r="F5" i="11"/>
  <c r="H12" i="11" l="1"/>
  <c r="G12" i="11"/>
  <c r="F12" i="11"/>
  <c r="I12" i="11"/>
  <c r="F81" i="2"/>
  <c r="G81" i="2"/>
  <c r="H81" i="2"/>
  <c r="F41" i="8"/>
  <c r="I41" i="8"/>
  <c r="J75" i="4"/>
  <c r="J76" i="4"/>
  <c r="J77" i="4"/>
  <c r="J78" i="4"/>
  <c r="J79" i="4"/>
  <c r="J80" i="4"/>
  <c r="J81" i="4"/>
  <c r="J74" i="4"/>
  <c r="I75" i="4"/>
  <c r="I76" i="4"/>
  <c r="I77" i="4"/>
  <c r="I78" i="4"/>
  <c r="I79" i="4"/>
  <c r="I80" i="4"/>
  <c r="I81" i="4"/>
  <c r="I74" i="4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74" i="4"/>
  <c r="D82" i="4"/>
  <c r="F81" i="4"/>
  <c r="F80" i="4"/>
  <c r="F79" i="4"/>
  <c r="F78" i="4"/>
  <c r="F77" i="4"/>
  <c r="F76" i="4"/>
  <c r="F75" i="4"/>
  <c r="F74" i="4"/>
  <c r="I18" i="2"/>
  <c r="I19" i="2"/>
  <c r="I20" i="2"/>
  <c r="I21" i="2"/>
  <c r="I17" i="2"/>
  <c r="G17" i="2"/>
  <c r="E33" i="1"/>
  <c r="E34" i="1"/>
  <c r="E35" i="1"/>
  <c r="E36" i="1"/>
  <c r="E37" i="1"/>
  <c r="E38" i="1"/>
  <c r="E39" i="1"/>
  <c r="J82" i="4" l="1"/>
  <c r="F82" i="4"/>
  <c r="I82" i="4"/>
  <c r="G82" i="4"/>
  <c r="H74" i="4"/>
  <c r="H82" i="4" s="1"/>
  <c r="G6" i="5"/>
  <c r="G7" i="5"/>
  <c r="G8" i="5"/>
  <c r="G9" i="5"/>
  <c r="G10" i="5"/>
  <c r="G11" i="5"/>
  <c r="H11" i="5" s="1"/>
  <c r="G12" i="5"/>
  <c r="G13" i="5"/>
  <c r="G14" i="5"/>
  <c r="G15" i="5"/>
  <c r="G5" i="5"/>
  <c r="I38" i="4"/>
  <c r="I39" i="4"/>
  <c r="I37" i="4"/>
  <c r="G37" i="4"/>
  <c r="F98" i="3"/>
  <c r="F100" i="3"/>
  <c r="F101" i="3"/>
  <c r="F102" i="3"/>
  <c r="F103" i="3"/>
  <c r="F104" i="3"/>
  <c r="F105" i="3"/>
  <c r="F106" i="3"/>
  <c r="G61" i="4"/>
  <c r="H61" i="4" s="1"/>
  <c r="D69" i="4"/>
  <c r="I68" i="4"/>
  <c r="G68" i="4"/>
  <c r="H68" i="4" s="1"/>
  <c r="F68" i="4"/>
  <c r="I67" i="4"/>
  <c r="G67" i="4"/>
  <c r="H67" i="4" s="1"/>
  <c r="F67" i="4"/>
  <c r="I66" i="4"/>
  <c r="G66" i="4"/>
  <c r="H66" i="4" s="1"/>
  <c r="F66" i="4"/>
  <c r="I65" i="4"/>
  <c r="G65" i="4"/>
  <c r="H65" i="4" s="1"/>
  <c r="F65" i="4"/>
  <c r="I64" i="4"/>
  <c r="G64" i="4"/>
  <c r="H64" i="4" s="1"/>
  <c r="F64" i="4"/>
  <c r="I63" i="4"/>
  <c r="G63" i="4"/>
  <c r="H63" i="4" s="1"/>
  <c r="F63" i="4"/>
  <c r="I62" i="4"/>
  <c r="G62" i="4"/>
  <c r="H62" i="4" s="1"/>
  <c r="F62" i="4"/>
  <c r="I61" i="4"/>
  <c r="F61" i="4"/>
  <c r="D83" i="1"/>
  <c r="J20" i="8"/>
  <c r="H21" i="8"/>
  <c r="I21" i="8" s="1"/>
  <c r="H22" i="8"/>
  <c r="H23" i="8"/>
  <c r="H24" i="8"/>
  <c r="I24" i="8" s="1"/>
  <c r="H25" i="8"/>
  <c r="I25" i="8" s="1"/>
  <c r="H26" i="8"/>
  <c r="I26" i="8" s="1"/>
  <c r="H27" i="8"/>
  <c r="I27" i="8" s="1"/>
  <c r="J21" i="8"/>
  <c r="J22" i="8"/>
  <c r="J23" i="8"/>
  <c r="J24" i="8"/>
  <c r="J25" i="8"/>
  <c r="J26" i="8"/>
  <c r="J27" i="8"/>
  <c r="I20" i="8"/>
  <c r="H20" i="8"/>
  <c r="D28" i="8"/>
  <c r="F27" i="8"/>
  <c r="F26" i="8"/>
  <c r="F25" i="8"/>
  <c r="F24" i="8"/>
  <c r="I23" i="8"/>
  <c r="F23" i="8"/>
  <c r="I22" i="8"/>
  <c r="F22" i="8"/>
  <c r="F21" i="8"/>
  <c r="F20" i="8"/>
  <c r="J28" i="8" l="1"/>
  <c r="F107" i="3"/>
  <c r="F69" i="4"/>
  <c r="G69" i="4"/>
  <c r="I69" i="4"/>
  <c r="H69" i="4"/>
  <c r="G83" i="1"/>
  <c r="F28" i="8"/>
  <c r="H28" i="8"/>
  <c r="I28" i="8"/>
  <c r="F83" i="1"/>
  <c r="J42" i="10" l="1"/>
  <c r="J43" i="10"/>
  <c r="J44" i="10"/>
  <c r="J45" i="10"/>
  <c r="J46" i="10"/>
  <c r="J47" i="10"/>
  <c r="J41" i="10"/>
  <c r="H42" i="10"/>
  <c r="I42" i="10" s="1"/>
  <c r="H43" i="10"/>
  <c r="I43" i="10" s="1"/>
  <c r="H44" i="10"/>
  <c r="I44" i="10" s="1"/>
  <c r="H45" i="10"/>
  <c r="I45" i="10" s="1"/>
  <c r="H46" i="10"/>
  <c r="I46" i="10" s="1"/>
  <c r="H47" i="10"/>
  <c r="I47" i="10" s="1"/>
  <c r="H41" i="10"/>
  <c r="E48" i="10"/>
  <c r="G47" i="10"/>
  <c r="G46" i="10"/>
  <c r="G45" i="10"/>
  <c r="G44" i="10"/>
  <c r="G43" i="10"/>
  <c r="G42" i="10"/>
  <c r="I41" i="10"/>
  <c r="G41" i="10"/>
  <c r="G72" i="7"/>
  <c r="G73" i="7"/>
  <c r="G74" i="7"/>
  <c r="G75" i="7"/>
  <c r="G76" i="7"/>
  <c r="G77" i="7"/>
  <c r="G78" i="7"/>
  <c r="G79" i="7"/>
  <c r="G80" i="7"/>
  <c r="G81" i="7"/>
  <c r="G71" i="7"/>
  <c r="F72" i="7"/>
  <c r="F73" i="7"/>
  <c r="F74" i="7"/>
  <c r="F75" i="7"/>
  <c r="F76" i="7"/>
  <c r="F77" i="7"/>
  <c r="F78" i="7"/>
  <c r="F79" i="7"/>
  <c r="F80" i="7"/>
  <c r="F81" i="7"/>
  <c r="F71" i="7"/>
  <c r="E82" i="7"/>
  <c r="F18" i="7"/>
  <c r="F19" i="7"/>
  <c r="F20" i="7"/>
  <c r="F21" i="7"/>
  <c r="F22" i="7"/>
  <c r="F23" i="7"/>
  <c r="F24" i="7"/>
  <c r="F25" i="7"/>
  <c r="F26" i="7"/>
  <c r="F27" i="7"/>
  <c r="H18" i="7"/>
  <c r="H19" i="7"/>
  <c r="H20" i="7"/>
  <c r="H21" i="7"/>
  <c r="H22" i="7"/>
  <c r="H23" i="7"/>
  <c r="H24" i="7"/>
  <c r="H25" i="7"/>
  <c r="H26" i="7"/>
  <c r="H27" i="7"/>
  <c r="G19" i="7"/>
  <c r="G20" i="7"/>
  <c r="G21" i="7"/>
  <c r="G22" i="7"/>
  <c r="G23" i="7"/>
  <c r="G24" i="7"/>
  <c r="G25" i="7"/>
  <c r="G26" i="7"/>
  <c r="G27" i="7"/>
  <c r="G18" i="7"/>
  <c r="J25" i="10"/>
  <c r="J26" i="10"/>
  <c r="J27" i="10"/>
  <c r="J28" i="10"/>
  <c r="J29" i="10"/>
  <c r="J30" i="10"/>
  <c r="J31" i="10"/>
  <c r="J33" i="10"/>
  <c r="J34" i="10"/>
  <c r="J35" i="10"/>
  <c r="H25" i="10"/>
  <c r="I25" i="10" s="1"/>
  <c r="H26" i="10"/>
  <c r="H27" i="10"/>
  <c r="H28" i="10"/>
  <c r="H29" i="10"/>
  <c r="H30" i="10"/>
  <c r="H31" i="10"/>
  <c r="H33" i="10"/>
  <c r="H34" i="10"/>
  <c r="H35" i="10"/>
  <c r="I35" i="10" s="1"/>
  <c r="H24" i="10"/>
  <c r="I24" i="10" s="1"/>
  <c r="E36" i="10"/>
  <c r="G35" i="10"/>
  <c r="G25" i="10"/>
  <c r="J24" i="10"/>
  <c r="G24" i="10"/>
  <c r="E19" i="10"/>
  <c r="J18" i="10"/>
  <c r="I18" i="10"/>
  <c r="G18" i="10"/>
  <c r="J17" i="10"/>
  <c r="J16" i="10"/>
  <c r="G16" i="10"/>
  <c r="J15" i="10"/>
  <c r="I15" i="10"/>
  <c r="G15" i="10"/>
  <c r="E10" i="10"/>
  <c r="H9" i="10"/>
  <c r="I9" i="10" s="1"/>
  <c r="G9" i="10"/>
  <c r="H8" i="10"/>
  <c r="I8" i="10" s="1"/>
  <c r="G8" i="10"/>
  <c r="H7" i="10"/>
  <c r="I7" i="10" s="1"/>
  <c r="G7" i="10"/>
  <c r="H6" i="10"/>
  <c r="I6" i="10" s="1"/>
  <c r="G6" i="10"/>
  <c r="H5" i="10"/>
  <c r="I5" i="10" s="1"/>
  <c r="G5" i="10"/>
  <c r="H4" i="10"/>
  <c r="G4" i="10"/>
  <c r="I56" i="4"/>
  <c r="G56" i="4"/>
  <c r="H56" i="4" s="1"/>
  <c r="F56" i="4"/>
  <c r="I55" i="4"/>
  <c r="G55" i="4"/>
  <c r="H55" i="4" s="1"/>
  <c r="F55" i="4"/>
  <c r="I54" i="4"/>
  <c r="G54" i="4"/>
  <c r="H54" i="4" s="1"/>
  <c r="F54" i="4"/>
  <c r="H8" i="9"/>
  <c r="E8" i="9"/>
  <c r="J7" i="9"/>
  <c r="I7" i="9"/>
  <c r="G7" i="9"/>
  <c r="J6" i="9"/>
  <c r="I6" i="9"/>
  <c r="G6" i="9"/>
  <c r="J5" i="9"/>
  <c r="I5" i="9"/>
  <c r="G5" i="9"/>
  <c r="G8" i="9" s="1"/>
  <c r="G65" i="7"/>
  <c r="G64" i="7"/>
  <c r="G63" i="7"/>
  <c r="G62" i="7"/>
  <c r="G61" i="7"/>
  <c r="G60" i="7"/>
  <c r="G59" i="7"/>
  <c r="F229" i="3"/>
  <c r="E234" i="3"/>
  <c r="F233" i="3"/>
  <c r="F232" i="3"/>
  <c r="F231" i="3"/>
  <c r="F230" i="3"/>
  <c r="F228" i="3"/>
  <c r="F227" i="3"/>
  <c r="E222" i="3"/>
  <c r="F221" i="3"/>
  <c r="F220" i="3"/>
  <c r="F219" i="3"/>
  <c r="F218" i="3"/>
  <c r="F217" i="3"/>
  <c r="E212" i="3"/>
  <c r="F197" i="3"/>
  <c r="F196" i="3"/>
  <c r="F195" i="3"/>
  <c r="F194" i="3"/>
  <c r="F193" i="3"/>
  <c r="F192" i="3"/>
  <c r="D63" i="2"/>
  <c r="G62" i="2"/>
  <c r="H62" i="2" s="1"/>
  <c r="F62" i="2"/>
  <c r="G61" i="2"/>
  <c r="H61" i="2" s="1"/>
  <c r="F61" i="2"/>
  <c r="G60" i="2"/>
  <c r="H60" i="2" s="1"/>
  <c r="F60" i="2"/>
  <c r="G59" i="2"/>
  <c r="H59" i="2" s="1"/>
  <c r="F59" i="2"/>
  <c r="G58" i="2"/>
  <c r="F58" i="2"/>
  <c r="G57" i="2"/>
  <c r="H57" i="2" s="1"/>
  <c r="F57" i="2"/>
  <c r="E187" i="3"/>
  <c r="J48" i="10" l="1"/>
  <c r="G19" i="10"/>
  <c r="F198" i="3"/>
  <c r="G63" i="2"/>
  <c r="F63" i="2"/>
  <c r="H48" i="10"/>
  <c r="G48" i="10"/>
  <c r="I48" i="10"/>
  <c r="F82" i="7"/>
  <c r="G82" i="7"/>
  <c r="H28" i="7"/>
  <c r="J36" i="10"/>
  <c r="G10" i="10"/>
  <c r="G36" i="10"/>
  <c r="H10" i="10"/>
  <c r="J19" i="10"/>
  <c r="H19" i="10"/>
  <c r="I16" i="10"/>
  <c r="I19" i="10" s="1"/>
  <c r="I36" i="10"/>
  <c r="H36" i="10"/>
  <c r="I4" i="10"/>
  <c r="I10" i="10" s="1"/>
  <c r="F66" i="7"/>
  <c r="J8" i="9"/>
  <c r="I8" i="9"/>
  <c r="F222" i="3"/>
  <c r="F234" i="3"/>
  <c r="H58" i="2"/>
  <c r="H63" i="2" s="1"/>
  <c r="E176" i="3" l="1"/>
  <c r="E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E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E28" i="7"/>
  <c r="D49" i="4"/>
  <c r="G48" i="4"/>
  <c r="H48" i="4" s="1"/>
  <c r="F48" i="4"/>
  <c r="G47" i="4"/>
  <c r="H47" i="4" s="1"/>
  <c r="F47" i="4"/>
  <c r="G46" i="4"/>
  <c r="H46" i="4" s="1"/>
  <c r="F46" i="4"/>
  <c r="G45" i="4"/>
  <c r="F45" i="4"/>
  <c r="G44" i="4"/>
  <c r="H44" i="4" s="1"/>
  <c r="F44" i="4"/>
  <c r="E143" i="3"/>
  <c r="D52" i="2"/>
  <c r="H51" i="2"/>
  <c r="F51" i="2"/>
  <c r="H50" i="2"/>
  <c r="F50" i="2"/>
  <c r="H49" i="2"/>
  <c r="F49" i="2"/>
  <c r="H48" i="2"/>
  <c r="F48" i="2"/>
  <c r="F47" i="2"/>
  <c r="E128" i="3"/>
  <c r="G52" i="2" l="1"/>
  <c r="H47" i="2"/>
  <c r="H52" i="2" s="1"/>
  <c r="F52" i="2"/>
  <c r="F49" i="4"/>
  <c r="I49" i="4"/>
  <c r="G49" i="4"/>
  <c r="F54" i="7"/>
  <c r="G54" i="7"/>
  <c r="G42" i="7"/>
  <c r="F42" i="7"/>
  <c r="G28" i="7"/>
  <c r="F28" i="7"/>
  <c r="H45" i="4"/>
  <c r="H49" i="4" s="1"/>
  <c r="H40" i="2" l="1"/>
  <c r="F40" i="2"/>
  <c r="H39" i="2"/>
  <c r="F39" i="2"/>
  <c r="H38" i="2"/>
  <c r="F38" i="2"/>
  <c r="F37" i="2"/>
  <c r="H36" i="2"/>
  <c r="F36" i="2"/>
  <c r="F35" i="2"/>
  <c r="G31" i="4"/>
  <c r="G32" i="4"/>
  <c r="G30" i="4"/>
  <c r="G50" i="1"/>
  <c r="G47" i="1"/>
  <c r="G46" i="1"/>
  <c r="G48" i="1"/>
  <c r="G45" i="1"/>
  <c r="G51" i="1"/>
  <c r="G52" i="1"/>
  <c r="G53" i="1"/>
  <c r="G49" i="1"/>
  <c r="E50" i="1"/>
  <c r="F50" i="1" s="1"/>
  <c r="E47" i="1"/>
  <c r="F47" i="1" s="1"/>
  <c r="E46" i="1"/>
  <c r="E48" i="1"/>
  <c r="F48" i="1" s="1"/>
  <c r="E45" i="1"/>
  <c r="F45" i="1" s="1"/>
  <c r="E51" i="1"/>
  <c r="F51" i="1" s="1"/>
  <c r="E52" i="1"/>
  <c r="F52" i="1" s="1"/>
  <c r="E53" i="1"/>
  <c r="F53" i="1" s="1"/>
  <c r="E49" i="1"/>
  <c r="D54" i="1"/>
  <c r="F49" i="1"/>
  <c r="D40" i="1"/>
  <c r="E91" i="3"/>
  <c r="D30" i="2"/>
  <c r="I29" i="2"/>
  <c r="G29" i="2"/>
  <c r="H29" i="2" s="1"/>
  <c r="F29" i="2"/>
  <c r="I28" i="2"/>
  <c r="G28" i="2"/>
  <c r="H28" i="2" s="1"/>
  <c r="F28" i="2"/>
  <c r="I27" i="2"/>
  <c r="G27" i="2"/>
  <c r="F27" i="2"/>
  <c r="D27" i="1"/>
  <c r="G26" i="1"/>
  <c r="E26" i="1"/>
  <c r="F26" i="1" s="1"/>
  <c r="G25" i="1"/>
  <c r="E25" i="1"/>
  <c r="F25" i="1" s="1"/>
  <c r="G24" i="1"/>
  <c r="E76" i="3"/>
  <c r="F75" i="3"/>
  <c r="F74" i="3"/>
  <c r="D15" i="8"/>
  <c r="H14" i="8"/>
  <c r="I14" i="8" s="1"/>
  <c r="F14" i="8"/>
  <c r="H13" i="8"/>
  <c r="I13" i="8" s="1"/>
  <c r="F13" i="8"/>
  <c r="H12" i="8"/>
  <c r="I12" i="8" s="1"/>
  <c r="F12" i="8"/>
  <c r="H11" i="8"/>
  <c r="I11" i="8" s="1"/>
  <c r="F11" i="8"/>
  <c r="H10" i="8"/>
  <c r="I10" i="8" s="1"/>
  <c r="F10" i="8"/>
  <c r="H9" i="8"/>
  <c r="I9" i="8" s="1"/>
  <c r="F9" i="8"/>
  <c r="H8" i="8"/>
  <c r="I8" i="8" s="1"/>
  <c r="F8" i="8"/>
  <c r="H7" i="8"/>
  <c r="I7" i="8" s="1"/>
  <c r="F7" i="8"/>
  <c r="H6" i="8"/>
  <c r="F6" i="8"/>
  <c r="F42" i="2" l="1"/>
  <c r="H37" i="2"/>
  <c r="G42" i="2"/>
  <c r="G30" i="2"/>
  <c r="I30" i="2"/>
  <c r="F30" i="2"/>
  <c r="H15" i="8"/>
  <c r="I6" i="8"/>
  <c r="I15" i="8" s="1"/>
  <c r="F15" i="8"/>
  <c r="G54" i="1"/>
  <c r="H35" i="2"/>
  <c r="F76" i="3"/>
  <c r="E54" i="1"/>
  <c r="F46" i="1"/>
  <c r="F54" i="1" s="1"/>
  <c r="E27" i="1"/>
  <c r="G27" i="1"/>
  <c r="E40" i="1"/>
  <c r="F40" i="1"/>
  <c r="H27" i="2"/>
  <c r="H30" i="2" s="1"/>
  <c r="F24" i="1"/>
  <c r="F27" i="1" s="1"/>
  <c r="H42" i="2" l="1"/>
  <c r="H6" i="5"/>
  <c r="H7" i="5"/>
  <c r="H8" i="5"/>
  <c r="H9" i="5"/>
  <c r="H10" i="5"/>
  <c r="H15" i="5"/>
  <c r="H8" i="2"/>
  <c r="F64" i="3"/>
  <c r="F66" i="3"/>
  <c r="F65" i="3"/>
  <c r="G39" i="4"/>
  <c r="H39" i="4" s="1"/>
  <c r="F39" i="4"/>
  <c r="G38" i="4"/>
  <c r="H38" i="4" s="1"/>
  <c r="F38" i="4"/>
  <c r="H37" i="4"/>
  <c r="F37" i="4"/>
  <c r="I32" i="4"/>
  <c r="H32" i="4"/>
  <c r="F32" i="4"/>
  <c r="I31" i="4"/>
  <c r="H31" i="4"/>
  <c r="F31" i="4"/>
  <c r="I30" i="4"/>
  <c r="H30" i="4"/>
  <c r="F30" i="4"/>
  <c r="D25" i="4"/>
  <c r="I24" i="4"/>
  <c r="G24" i="4"/>
  <c r="H24" i="4" s="1"/>
  <c r="F24" i="4"/>
  <c r="I23" i="4"/>
  <c r="G23" i="4"/>
  <c r="H23" i="4" s="1"/>
  <c r="F23" i="4"/>
  <c r="I22" i="4"/>
  <c r="G22" i="4"/>
  <c r="H22" i="4" s="1"/>
  <c r="F22" i="4"/>
  <c r="I21" i="4"/>
  <c r="G21" i="4"/>
  <c r="H21" i="4" s="1"/>
  <c r="F21" i="4"/>
  <c r="I20" i="4"/>
  <c r="G20" i="4"/>
  <c r="H20" i="4" s="1"/>
  <c r="F20" i="4"/>
  <c r="I19" i="4"/>
  <c r="G19" i="4"/>
  <c r="H19" i="4" s="1"/>
  <c r="F19" i="4"/>
  <c r="I18" i="4"/>
  <c r="G18" i="4"/>
  <c r="H18" i="4" s="1"/>
  <c r="F18" i="4"/>
  <c r="I17" i="4"/>
  <c r="G17" i="4"/>
  <c r="F17" i="4"/>
  <c r="D12" i="4"/>
  <c r="I11" i="4"/>
  <c r="G11" i="4"/>
  <c r="H11" i="4" s="1"/>
  <c r="F11" i="4"/>
  <c r="I10" i="4"/>
  <c r="G10" i="4"/>
  <c r="H10" i="4" s="1"/>
  <c r="F10" i="4"/>
  <c r="I9" i="4"/>
  <c r="G9" i="4"/>
  <c r="H9" i="4" s="1"/>
  <c r="F9" i="4"/>
  <c r="I8" i="4"/>
  <c r="G8" i="4"/>
  <c r="H8" i="4" s="1"/>
  <c r="F8" i="4"/>
  <c r="I7" i="4"/>
  <c r="G7" i="4"/>
  <c r="H7" i="4" s="1"/>
  <c r="F7" i="4"/>
  <c r="I6" i="4"/>
  <c r="G6" i="4"/>
  <c r="H6" i="4" s="1"/>
  <c r="F6" i="4"/>
  <c r="I5" i="4"/>
  <c r="G5" i="4"/>
  <c r="F5" i="4"/>
  <c r="G5" i="7"/>
  <c r="F5" i="7"/>
  <c r="E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F56" i="3"/>
  <c r="E57" i="3"/>
  <c r="F55" i="3"/>
  <c r="F54" i="3"/>
  <c r="F53" i="3"/>
  <c r="F52" i="3"/>
  <c r="F51" i="3"/>
  <c r="F50" i="3"/>
  <c r="D16" i="5"/>
  <c r="F15" i="5"/>
  <c r="H14" i="5"/>
  <c r="F14" i="5"/>
  <c r="H13" i="5"/>
  <c r="F13" i="5"/>
  <c r="H12" i="5"/>
  <c r="F12" i="5"/>
  <c r="F10" i="5"/>
  <c r="F9" i="5"/>
  <c r="F8" i="5"/>
  <c r="F7" i="5"/>
  <c r="F6" i="5"/>
  <c r="F5" i="5"/>
  <c r="G17" i="1"/>
  <c r="F17" i="1"/>
  <c r="E43" i="3"/>
  <c r="F42" i="3"/>
  <c r="F41" i="3"/>
  <c r="F40" i="3"/>
  <c r="F39" i="3"/>
  <c r="F38" i="3"/>
  <c r="F37" i="3"/>
  <c r="F36" i="3"/>
  <c r="F35" i="3"/>
  <c r="E29" i="3"/>
  <c r="F28" i="3"/>
  <c r="F27" i="3"/>
  <c r="F26" i="3"/>
  <c r="F25" i="3"/>
  <c r="F24" i="3"/>
  <c r="F23" i="3"/>
  <c r="F22" i="3"/>
  <c r="F21" i="3"/>
  <c r="F20" i="3"/>
  <c r="E13" i="3"/>
  <c r="G18" i="2"/>
  <c r="G19" i="2"/>
  <c r="H19" i="2" s="1"/>
  <c r="G20" i="2"/>
  <c r="H20" i="2" s="1"/>
  <c r="G21" i="2"/>
  <c r="H21" i="2" s="1"/>
  <c r="F21" i="2"/>
  <c r="F20" i="2"/>
  <c r="F19" i="2"/>
  <c r="F18" i="2"/>
  <c r="H17" i="2"/>
  <c r="F17" i="2"/>
  <c r="D10" i="2"/>
  <c r="H9" i="2"/>
  <c r="H7" i="2"/>
  <c r="H6" i="2"/>
  <c r="H5" i="2"/>
  <c r="D9" i="1"/>
  <c r="F67" i="3" l="1"/>
  <c r="F16" i="5"/>
  <c r="G19" i="1"/>
  <c r="H18" i="2"/>
  <c r="H22" i="2" s="1"/>
  <c r="G22" i="2"/>
  <c r="G12" i="4"/>
  <c r="F12" i="4"/>
  <c r="I12" i="4"/>
  <c r="G25" i="4"/>
  <c r="F25" i="4"/>
  <c r="I25" i="4"/>
  <c r="H17" i="4"/>
  <c r="H25" i="4" s="1"/>
  <c r="H5" i="4"/>
  <c r="H12" i="4" s="1"/>
  <c r="F13" i="7"/>
  <c r="G13" i="7"/>
  <c r="F57" i="3"/>
  <c r="G16" i="5"/>
  <c r="I16" i="5"/>
  <c r="H5" i="5"/>
  <c r="H16" i="5" s="1"/>
  <c r="E9" i="1"/>
  <c r="F16" i="1"/>
  <c r="G9" i="1"/>
  <c r="F9" i="1"/>
  <c r="F43" i="3"/>
  <c r="F13" i="3"/>
  <c r="F29" i="3"/>
  <c r="F22" i="2"/>
  <c r="I22" i="2"/>
  <c r="H10" i="2"/>
  <c r="I10" i="2"/>
  <c r="G10" i="2"/>
  <c r="F19" i="1" l="1"/>
  <c r="E163" i="3"/>
  <c r="E750" i="3"/>
  <c r="E769" i="3"/>
  <c r="E809" i="3"/>
  <c r="E151" i="3"/>
  <c r="E283" i="3"/>
</calcChain>
</file>

<file path=xl/sharedStrings.xml><?xml version="1.0" encoding="utf-8"?>
<sst xmlns="http://schemas.openxmlformats.org/spreadsheetml/2006/main" count="5062" uniqueCount="998">
  <si>
    <t xml:space="preserve">PRODUCTO </t>
  </si>
  <si>
    <t>CANTIDAD PARA 1 KILO</t>
  </si>
  <si>
    <t>PRECIO INSUMO                        1 KILO</t>
  </si>
  <si>
    <t>PRECIO PARA                       1 LITRO DE FORMULA</t>
  </si>
  <si>
    <t>CANTIDAD                             PARA 10 LITROS</t>
  </si>
  <si>
    <t>PRECIO PARA                        100 LT DE FORMULA</t>
  </si>
  <si>
    <t>Minoxidil</t>
  </si>
  <si>
    <t>%</t>
  </si>
  <si>
    <t xml:space="preserve">Alcohol extraneutro de 96% </t>
  </si>
  <si>
    <t>Propilenglicol</t>
  </si>
  <si>
    <t>Aceite esencial de romero</t>
  </si>
  <si>
    <t>Agua</t>
  </si>
  <si>
    <t xml:space="preserve">Acido Salicilico </t>
  </si>
  <si>
    <t xml:space="preserve">Aceite esencial de arbol de te </t>
  </si>
  <si>
    <t>PRECIO PARA                      1 LITRO DE FORMULA</t>
  </si>
  <si>
    <t>CANTIDAD                               PARA 15 LITROS</t>
  </si>
  <si>
    <t>Agua desionizada</t>
  </si>
  <si>
    <t>Cellozice</t>
  </si>
  <si>
    <t>Polyquaternium 7</t>
  </si>
  <si>
    <t>Glicerina</t>
  </si>
  <si>
    <t>Trietanolamina</t>
  </si>
  <si>
    <t xml:space="preserve">Fragancia </t>
  </si>
  <si>
    <t xml:space="preserve">Alcohol </t>
  </si>
  <si>
    <t>SPRAY BUCAL  11 LITROS LIMON Y CLAVO DE OLOR</t>
  </si>
  <si>
    <t>PRECIO PAR  1 LITRO DE FORMULA</t>
  </si>
  <si>
    <t>PRECIO PARA                        11 LT DE FORMULA</t>
  </si>
  <si>
    <t>CANTIDAD                               PARA 12.5 LITROS</t>
  </si>
  <si>
    <t>Agua destilada</t>
  </si>
  <si>
    <t>Benzoato de sodio</t>
  </si>
  <si>
    <t>Sorbato de potasio</t>
  </si>
  <si>
    <t>Sacarina Sodica</t>
  </si>
  <si>
    <t>Sorbitol</t>
  </si>
  <si>
    <t>Alcohol extraneutro</t>
  </si>
  <si>
    <t>Saborizante  limon</t>
  </si>
  <si>
    <t>Saborizante  Clavo de olor</t>
  </si>
  <si>
    <t>Mentol en cristales</t>
  </si>
  <si>
    <t>Color al gusto sin color</t>
  </si>
  <si>
    <t>A</t>
  </si>
  <si>
    <t>B</t>
  </si>
  <si>
    <t>Saborizante  sandia</t>
  </si>
  <si>
    <t>JABON ACLARANTE - DIOXIDO DE TITANIO  10 LITROS</t>
  </si>
  <si>
    <t>Base de glicerina Blanca</t>
  </si>
  <si>
    <t>CANTIDAD PARA 120 GRAMOS</t>
  </si>
  <si>
    <t xml:space="preserve">Dioxido de titanio </t>
  </si>
  <si>
    <t>CANTIDAD                             PARA 10 JABONES</t>
  </si>
  <si>
    <t>PARA 300 JABONES</t>
  </si>
  <si>
    <t>CANTIDAD                               PARA 20 LITROS</t>
  </si>
  <si>
    <t>PRECIO PARA                        60 LT DE FORMULA</t>
  </si>
  <si>
    <t>Acido lactico</t>
  </si>
  <si>
    <t>Edta tetrasodico</t>
  </si>
  <si>
    <t xml:space="preserve">Colorante Negro </t>
  </si>
  <si>
    <t>Acido Citrico</t>
  </si>
  <si>
    <t>Lidocaina</t>
  </si>
  <si>
    <t>Trietanolamina (TEA)</t>
  </si>
  <si>
    <t>GEL SANGRE DE DRAGON - ROJO</t>
  </si>
  <si>
    <t xml:space="preserve">Agua Desionizada </t>
  </si>
  <si>
    <t xml:space="preserve">Benzoato de sodio </t>
  </si>
  <si>
    <t xml:space="preserve">Sorbato de sodio </t>
  </si>
  <si>
    <t>Carbopol 940</t>
  </si>
  <si>
    <t xml:space="preserve">Glicerina </t>
  </si>
  <si>
    <t>Procide CG</t>
  </si>
  <si>
    <t xml:space="preserve">Dioxido de Titanio </t>
  </si>
  <si>
    <t>GEL SANGRE DE DRAGON - CORAL</t>
  </si>
  <si>
    <t>CREMA DE PEINAR Ph 5 (100 kilos) KARSSEL</t>
  </si>
  <si>
    <t>CANTIDAD                               PARA 100 LITROS</t>
  </si>
  <si>
    <t>PRECIO PARA                        1000 LT DE FORMULA</t>
  </si>
  <si>
    <t>PARA 110 KILOS</t>
  </si>
  <si>
    <t>Alcohol cetilico</t>
  </si>
  <si>
    <t>Dehyquart</t>
  </si>
  <si>
    <t>Silicona a la grasa 1000</t>
  </si>
  <si>
    <t>Aceite de ricino</t>
  </si>
  <si>
    <t>Colorante</t>
  </si>
  <si>
    <t>Acido citrico</t>
  </si>
  <si>
    <t>Acticide</t>
  </si>
  <si>
    <t>CREMA DE PEINAR PARA RIZOS Ph 5 (150 kilos)</t>
  </si>
  <si>
    <t>PRECIO PARA                        150 LT DE FORMULA</t>
  </si>
  <si>
    <t>PARA 50 KILOS</t>
  </si>
  <si>
    <t>PVP k-30</t>
  </si>
  <si>
    <t xml:space="preserve">Cera de abeja </t>
  </si>
  <si>
    <t>Cera Carnauba</t>
  </si>
  <si>
    <t xml:space="preserve">Vaselina Liquida </t>
  </si>
  <si>
    <t>RENOVADOR DE MADERA LIQUIDO - COLOR MADERA</t>
  </si>
  <si>
    <t>RENOVADOR DE MADERA PASTA - COLOR AMARILLO</t>
  </si>
  <si>
    <t>Peroxido de hidrogeno 50%</t>
  </si>
  <si>
    <t xml:space="preserve">Cloruro de benzalconio (conservante) </t>
  </si>
  <si>
    <t>RETARDANTE EN GEL COLOR NEGRO 20 KILOS</t>
  </si>
  <si>
    <t>CANTIDAD                               PARA 35 KILOS</t>
  </si>
  <si>
    <t>CANTIDAD                               PARA 100 KILOS</t>
  </si>
  <si>
    <t>CANTIDAD                               PARA 15 KILOS</t>
  </si>
  <si>
    <t>PERFUME PARA AUTOS MIX FRUTAS 65 LITROS</t>
  </si>
  <si>
    <t>PRECIO INSUMO                   1 KILO</t>
  </si>
  <si>
    <t>PRECIO PARA                     1 LITRO DE FORMULA</t>
  </si>
  <si>
    <t>CANTIDAD PARA 38  LITROS</t>
  </si>
  <si>
    <t>PRECIO PARA                       65 LT DE FORMULA</t>
  </si>
  <si>
    <t>PORCENTAJES %</t>
  </si>
  <si>
    <t>Alcohol Laurico etoxilado</t>
  </si>
  <si>
    <t>Fragancia mix frutas</t>
  </si>
  <si>
    <t>Coumarina</t>
  </si>
  <si>
    <t>Gaxolide</t>
  </si>
  <si>
    <t>Vainillina</t>
  </si>
  <si>
    <t>CANTIDAD                               PARA 10 LITROS</t>
  </si>
  <si>
    <t>PRECIO PARA                        1500 LT DE FORMULA</t>
  </si>
  <si>
    <t>CANTIDAD                               PARA 60 LITROS</t>
  </si>
  <si>
    <t>Vaselina liquida</t>
  </si>
  <si>
    <t>Fragancia de Arbol de te</t>
  </si>
  <si>
    <t>Aceite esencial de Romero</t>
  </si>
  <si>
    <t>ACEITE PARA CABELLO 10 LITROS - COLOR VERDE AMARILLO</t>
  </si>
  <si>
    <t>ACEITE PARA CABELLO 10 LITROS - SIN COLOR</t>
  </si>
  <si>
    <t>SERUM PARA OJERAS  (4.5 a 5.5 pH)  20 LITROS</t>
  </si>
  <si>
    <t>PRECIO PARA                        5 LT DE FORMULA</t>
  </si>
  <si>
    <t>Cafeina con agua caliente</t>
  </si>
  <si>
    <t>Colageno con agua caliente</t>
  </si>
  <si>
    <t>Acido Ascorbico con poca agua</t>
  </si>
  <si>
    <t>Mentol en cristales con poco alcohol</t>
  </si>
  <si>
    <t xml:space="preserve"> </t>
  </si>
  <si>
    <t>CANTIDAD                                    PARA 10 LITROS</t>
  </si>
  <si>
    <t xml:space="preserve">Peroxido de hidrogeno </t>
  </si>
  <si>
    <t>Cellocise</t>
  </si>
  <si>
    <t>Colorante dispersante morado</t>
  </si>
  <si>
    <t>Saborizante Chicle</t>
  </si>
  <si>
    <t>Betaina</t>
  </si>
  <si>
    <t>Sorbato de sodio</t>
  </si>
  <si>
    <t>Sacarina</t>
  </si>
  <si>
    <t>mentol en cristales</t>
  </si>
  <si>
    <t>Cafeina</t>
  </si>
  <si>
    <t>Colageno</t>
  </si>
  <si>
    <t>CANTIDAD                               PARA 30 LITROS</t>
  </si>
  <si>
    <t>Ácido Undecilénico</t>
  </si>
  <si>
    <t xml:space="preserve">Ácido Borico </t>
  </si>
  <si>
    <t xml:space="preserve">Ácido Benzoico </t>
  </si>
  <si>
    <t>Lidocína</t>
  </si>
  <si>
    <t xml:space="preserve">Cloruro de Benzalconio </t>
  </si>
  <si>
    <t xml:space="preserve">Agua Destilada </t>
  </si>
  <si>
    <t xml:space="preserve">Alcohol Extra Neutro </t>
  </si>
  <si>
    <t>Propiobato de Sodio</t>
  </si>
  <si>
    <t>CANTIDAD PARA 1 LITRO</t>
  </si>
  <si>
    <t>CANTIDAD                               PARA 190 LITROS</t>
  </si>
  <si>
    <t>SERUM CON VITAMINA C  (4.5 a 5.5 pH)  20 LITROS</t>
  </si>
  <si>
    <t>Conservante Procide CG</t>
  </si>
  <si>
    <t>PRECIO PARA                 1 LITRO DE FORMULA</t>
  </si>
  <si>
    <t>PRECIO PARA                        30 LT DE FORMULA</t>
  </si>
  <si>
    <t>Acido Salicilico</t>
  </si>
  <si>
    <t>Aceite esencial de Arbol de té</t>
  </si>
  <si>
    <t>Alcohol Extra Neutro</t>
  </si>
  <si>
    <t>Saborizante  menta</t>
  </si>
  <si>
    <t xml:space="preserve">Cellocize </t>
  </si>
  <si>
    <t>trietanolamina</t>
  </si>
  <si>
    <t>SELLADOR NANO CERAMICO  10 LITROS</t>
  </si>
  <si>
    <t>PRECIO PARA                        50 LT DE FORMULA</t>
  </si>
  <si>
    <t>Silicona 3031</t>
  </si>
  <si>
    <t>Varsol Importado</t>
  </si>
  <si>
    <t>TONICO LIQUIDO PARA DOLORES MUSCULARES 100L</t>
  </si>
  <si>
    <t>PRECIO PARA               1 LITRO DE FORMULA</t>
  </si>
  <si>
    <t>CANTIDAD                         PARA 80 LITROS</t>
  </si>
  <si>
    <t>PRECIO PARA                        80 LT DE FORMULA</t>
  </si>
  <si>
    <t>CANTIDAD                         PARA 50 LITROS</t>
  </si>
  <si>
    <t xml:space="preserve">Alcohol extraneutro </t>
  </si>
  <si>
    <t>Alcanfor en cristales</t>
  </si>
  <si>
    <t>Aceite esencial de eucalipto</t>
  </si>
  <si>
    <t xml:space="preserve">Galaxolide </t>
  </si>
  <si>
    <t xml:space="preserve">Vainillina </t>
  </si>
  <si>
    <t xml:space="preserve">Coumarina </t>
  </si>
  <si>
    <t>Fragancia Paco Rabanne</t>
  </si>
  <si>
    <t xml:space="preserve">Propilenglicol </t>
  </si>
  <si>
    <t>Pantenol (Pro Vitamina B5)</t>
  </si>
  <si>
    <t>Niacinamida (Vitamina B3)</t>
  </si>
  <si>
    <t>Extracto de Aloe Vera</t>
  </si>
  <si>
    <t xml:space="preserve">Cellosize </t>
  </si>
  <si>
    <t xml:space="preserve">Trietanolamina </t>
  </si>
  <si>
    <t xml:space="preserve">Benzoato de sodio con poco de agua </t>
  </si>
  <si>
    <t xml:space="preserve">Sorbato de sodio con poco de agua </t>
  </si>
  <si>
    <t xml:space="preserve">Alcohol Cetilico </t>
  </si>
  <si>
    <t xml:space="preserve">Dehyquart </t>
  </si>
  <si>
    <t>Agua Desionizada</t>
  </si>
  <si>
    <t xml:space="preserve">Acido Citrico </t>
  </si>
  <si>
    <t xml:space="preserve">GEL MUSCULAR </t>
  </si>
  <si>
    <t xml:space="preserve">Alcanfor </t>
  </si>
  <si>
    <t>Mental en cristal</t>
  </si>
  <si>
    <t xml:space="preserve">Acolhol extra neutro </t>
  </si>
  <si>
    <t>Carpobol</t>
  </si>
  <si>
    <t xml:space="preserve">  </t>
  </si>
  <si>
    <t>CANTIDAD                             PARA 31 LITROS</t>
  </si>
  <si>
    <t>CANTIDAD                             PARA 15.5 LITROS</t>
  </si>
  <si>
    <t>CANTIDAD                              PARA 15  LITROS</t>
  </si>
  <si>
    <t>PRECIO PARA                        20 LT DE FORMULA</t>
  </si>
  <si>
    <t>CANTIDAD                               PARA 25LITROS</t>
  </si>
  <si>
    <t>Negro de metileno</t>
  </si>
  <si>
    <t>Mecellose</t>
  </si>
  <si>
    <t>Parafina</t>
  </si>
  <si>
    <t>Cera carnauba</t>
  </si>
  <si>
    <t>Emulgador</t>
  </si>
  <si>
    <t>Formol</t>
  </si>
  <si>
    <t>SPRAY ANTIARRUGAS   5.5 Ph -  20 LITROS</t>
  </si>
  <si>
    <t>Retinol liposomado</t>
  </si>
  <si>
    <t>Vitamina C (acido Ascorbico)</t>
  </si>
  <si>
    <t>ACEITE SERUM PARA CANAS PARA CABELLO 15 LITROS</t>
  </si>
  <si>
    <t>Colorante dispersante negro</t>
  </si>
  <si>
    <t>CREMA REAFIRMANTE  (4.5 a 5.5 pH)  60 LITROS</t>
  </si>
  <si>
    <t>Acido Ascorbico</t>
  </si>
  <si>
    <t>PERFUME PACO RABANNE LUCKY - MARRON</t>
  </si>
  <si>
    <t>benzoato de sodio</t>
  </si>
  <si>
    <t xml:space="preserve">sorbato de potasio </t>
  </si>
  <si>
    <t xml:space="preserve">SHAMPOO CON MINOXIDIL - EROS  </t>
  </si>
  <si>
    <t xml:space="preserve">Betaina </t>
  </si>
  <si>
    <t>Cloruro de sodio (SAL)</t>
  </si>
  <si>
    <t>Edta Tetrasodico (EDTA)</t>
  </si>
  <si>
    <t>Texapon (LESS 70%)</t>
  </si>
  <si>
    <t>Agua 100% Desionizada</t>
  </si>
  <si>
    <t xml:space="preserve">Cloruro de benzalconio </t>
  </si>
  <si>
    <t xml:space="preserve">SPRAY DE OIDOS - 20 LITROS </t>
  </si>
  <si>
    <t>ELHOE 4%  10 LITROS - AZUL</t>
  </si>
  <si>
    <t xml:space="preserve">LACA ANTOMICOTICA </t>
  </si>
  <si>
    <t xml:space="preserve">Terbinafina </t>
  </si>
  <si>
    <t xml:space="preserve">Acido salicilico </t>
  </si>
  <si>
    <t>Laca c.s.p</t>
  </si>
  <si>
    <t>La laca debe estar tibio para agregar el acido salicilico y la terbinafina. Esto debe agregarse en constante movimiento.</t>
  </si>
  <si>
    <t xml:space="preserve">CREMA FACIAL PRIMER ANTES DE LA BASE ( dioxido de titanio) </t>
  </si>
  <si>
    <t>Mecelloze con glicerina al ojo</t>
  </si>
  <si>
    <t xml:space="preserve">RENOVADOR DE OXIDO </t>
  </si>
  <si>
    <t xml:space="preserve">Agua Desinizada </t>
  </si>
  <si>
    <t xml:space="preserve">Nonil fenol 10 M (NP10) </t>
  </si>
  <si>
    <t xml:space="preserve">Acido fosforico </t>
  </si>
  <si>
    <t>TONICO PARA MASCOTAS (MASCOTAS)</t>
  </si>
  <si>
    <t>Aceite Arbol del te</t>
  </si>
  <si>
    <t>Aceite esencial lavanda</t>
  </si>
  <si>
    <t>Polisorbato 20</t>
  </si>
  <si>
    <t xml:space="preserve">Extracto de calendula </t>
  </si>
  <si>
    <t>Clorhexidina al 20%</t>
  </si>
  <si>
    <t>Glicerina Vegetal</t>
  </si>
  <si>
    <t>D- Pantenol</t>
  </si>
  <si>
    <t>Acido Citrico (para ph 6 -7)</t>
  </si>
  <si>
    <t xml:space="preserve">Sorbato de potasio </t>
  </si>
  <si>
    <t xml:space="preserve">Agua desionizada </t>
  </si>
  <si>
    <t xml:space="preserve">Ajustar </t>
  </si>
  <si>
    <t xml:space="preserve">SERUM LIQUIDO DE ALOE VERA </t>
  </si>
  <si>
    <t>CANTIDAD                               PARA 5 LITROS</t>
  </si>
  <si>
    <t>CANTIDAD                             PARA 60 LITROS</t>
  </si>
  <si>
    <t>ELHOE 0.3% - 60 LITROS</t>
  </si>
  <si>
    <t xml:space="preserve">BLOQUEADOR  (10 kilos) </t>
  </si>
  <si>
    <t>Oxido de Zinc</t>
  </si>
  <si>
    <t>Vitamina E</t>
  </si>
  <si>
    <t xml:space="preserve">Pantenol </t>
  </si>
  <si>
    <t>PARA 20 KILOS</t>
  </si>
  <si>
    <t>CREMA TENSOR  50 KILOS</t>
  </si>
  <si>
    <t xml:space="preserve">Cafeina </t>
  </si>
  <si>
    <t>Benzoato de Sodio</t>
  </si>
  <si>
    <t>CANTIDAD                               PARA 50 kilos</t>
  </si>
  <si>
    <t xml:space="preserve">Ac. Es. Romero </t>
  </si>
  <si>
    <t xml:space="preserve">Minoxidil </t>
  </si>
  <si>
    <t>CANTIDAD                               PARA 8 kilos</t>
  </si>
  <si>
    <t>CREMA CON MINOXIDIL  8 KILOS</t>
  </si>
  <si>
    <t>CANTIDAD                               PARA 20 KILOS</t>
  </si>
  <si>
    <t>Aceite Esencial Arbol del te</t>
  </si>
  <si>
    <t>CANTIDAD                         PARA 65 LITROS</t>
  </si>
  <si>
    <t>tween20</t>
  </si>
  <si>
    <t>Alcohol de 96° extraneutro</t>
  </si>
  <si>
    <t>Vainillinia</t>
  </si>
  <si>
    <t>PERFUME PARA CUERPO GOOD GIRL</t>
  </si>
  <si>
    <t>Fragancia Good Girl</t>
  </si>
  <si>
    <t>CANTIDAD                         PARA 30 LITROS</t>
  </si>
  <si>
    <t>CANTIDAD                         PARA 1/2 LITRO</t>
  </si>
  <si>
    <t xml:space="preserve">Aceite Esencial Lavanda </t>
  </si>
  <si>
    <t xml:space="preserve">Extracto de Calendula </t>
  </si>
  <si>
    <t>Clorhexidina 20%</t>
  </si>
  <si>
    <t>Acido Citrico (ph 6-7)</t>
  </si>
  <si>
    <t>C</t>
  </si>
  <si>
    <t>GEL  PARA RIZOS Ph 5 (150 kilos)</t>
  </si>
  <si>
    <t>PVP K30</t>
  </si>
  <si>
    <t xml:space="preserve">Agua </t>
  </si>
  <si>
    <t>PARA 22 LITROS</t>
  </si>
  <si>
    <t>CANTIDAD                               PARA 20 kilos</t>
  </si>
  <si>
    <t>PARA 20 LITROS</t>
  </si>
  <si>
    <t>CANTIDAD PARA 1 LITROS</t>
  </si>
  <si>
    <t>TONICO VERRUGA  20 LITROS - COLOR ROJO</t>
  </si>
  <si>
    <t xml:space="preserve">CREMA PARA ESTRIAS </t>
  </si>
  <si>
    <t xml:space="preserve">Alcohol cetilico </t>
  </si>
  <si>
    <t xml:space="preserve">Dehycuart </t>
  </si>
  <si>
    <t xml:space="preserve">Benzoato </t>
  </si>
  <si>
    <t>CANTIDAD                               PARA 25 KILOS</t>
  </si>
  <si>
    <t>PARA 35 KILOS</t>
  </si>
  <si>
    <t>CANTIDAD                         PARA 100 LITROS</t>
  </si>
  <si>
    <t>PRECIO PARA                        13 LT DE FORMULA</t>
  </si>
  <si>
    <t xml:space="preserve">Aceite esencial de Romero </t>
  </si>
  <si>
    <t>CANTIDAD                               PARA 3 LITROS</t>
  </si>
  <si>
    <t xml:space="preserve">SERUM LIQUIDO DE ALOE VERA  </t>
  </si>
  <si>
    <t>Niacinamida (VITAMINA B3)</t>
  </si>
  <si>
    <t>Cellosize</t>
  </si>
  <si>
    <t xml:space="preserve">benzoato de sodio </t>
  </si>
  <si>
    <t xml:space="preserve">PARA REGULAR EL PH ACIDO CITRICO (EL PH TIENE QUE MEDIR 5.5) </t>
  </si>
  <si>
    <t xml:space="preserve">SILICONA PARA TABLERO </t>
  </si>
  <si>
    <t>Silicona Emulsionada 60%</t>
  </si>
  <si>
    <t xml:space="preserve">Alcohol Isopropilico </t>
  </si>
  <si>
    <t>Nonil Fenol 10 M</t>
  </si>
  <si>
    <t>Conservante Acticide</t>
  </si>
  <si>
    <t>CANTIDAD                         PARA 125 LITRO</t>
  </si>
  <si>
    <t>CANTIDAD                               PARA 20LITROS</t>
  </si>
  <si>
    <t>SERUM HEMORROIDES   20 KILOS</t>
  </si>
  <si>
    <t xml:space="preserve">Extracto de Hammelis </t>
  </si>
  <si>
    <t xml:space="preserve">Cellosice </t>
  </si>
  <si>
    <t>SERUM DE ESTRIAS</t>
  </si>
  <si>
    <t xml:space="preserve">FASE A - BASE ACUOSA </t>
  </si>
  <si>
    <t xml:space="preserve">Lidocaina HCL </t>
  </si>
  <si>
    <t xml:space="preserve">Extracto de Manzanilla </t>
  </si>
  <si>
    <t>Extracto de Castaño de indias</t>
  </si>
  <si>
    <t xml:space="preserve">FASE B ACTIVOS ANTIFLAMATORIOS Y CICATRIZANTES </t>
  </si>
  <si>
    <t xml:space="preserve">FASE C ANTISEPTICO Y CONSERVANTE </t>
  </si>
  <si>
    <t xml:space="preserve">CANTIDAD                               PARA 10 KILOS </t>
  </si>
  <si>
    <t>DIMETICONA</t>
  </si>
  <si>
    <t>DEHYQUART</t>
  </si>
  <si>
    <t>ACIDO CITRICO</t>
  </si>
  <si>
    <t>BETAINA</t>
  </si>
  <si>
    <t>TEXAPON</t>
  </si>
  <si>
    <t>CELLOCIZE</t>
  </si>
  <si>
    <t>PROCIDE CG</t>
  </si>
  <si>
    <t>FRAGANCIA</t>
  </si>
  <si>
    <t>AGUA DESIONIZADA</t>
  </si>
  <si>
    <t>CANTIDAD PARA 100 GRAMOS</t>
  </si>
  <si>
    <t>CANTIDAD PARA 1KG</t>
  </si>
  <si>
    <t>BENZOATO DE SODIO</t>
  </si>
  <si>
    <t>SORBATO DE K</t>
  </si>
  <si>
    <t>ALCOHOL CETILICO</t>
  </si>
  <si>
    <t>ACEITE DE ROSA MOSQUETA</t>
  </si>
  <si>
    <t>VASELINA LIQUIDA</t>
  </si>
  <si>
    <t>ACITE DE RICINO</t>
  </si>
  <si>
    <t>KERATINA HIDROLIZADA</t>
  </si>
  <si>
    <t xml:space="preserve">DIMETICONA </t>
  </si>
  <si>
    <t>ACEITE DE ARGAN</t>
  </si>
  <si>
    <t>VITAMINA E</t>
  </si>
  <si>
    <t>Acondicionador Italian Max (Tratamiento Post Química) S/.45 soles el litro venta</t>
  </si>
  <si>
    <t>Italian Max Extreme Finalizer S/.60 soles el litro venta</t>
  </si>
  <si>
    <t>Corn Milk Conditioner (Kleral) S/.60 soles el litro venta</t>
  </si>
  <si>
    <t>LECHE MAIZ HIDROLIZADA</t>
  </si>
  <si>
    <t>D-PANTENOL</t>
  </si>
  <si>
    <t>PROTEINA TRIGO HIDROLIZADO</t>
  </si>
  <si>
    <t>PROPILENGLICOL</t>
  </si>
  <si>
    <t>Óleo de Argán (Italian Max) S/.150 soles el litro venta</t>
  </si>
  <si>
    <t>Shampoo Italian Max (Tratamiento Post Química)  S/.40 soles el litro venta</t>
  </si>
  <si>
    <t>BLANQUEADOR DENTAL EN GEL 10 KILOS</t>
  </si>
  <si>
    <t>SERUM ACEITOSO</t>
  </si>
  <si>
    <t xml:space="preserve">vaselina liquida </t>
  </si>
  <si>
    <t xml:space="preserve">Aceite de jojoba </t>
  </si>
  <si>
    <t>SPRAY BUCAL  5 LITROS  SANDIA</t>
  </si>
  <si>
    <t>CANTIDAD                             PARA 30 LITROS</t>
  </si>
  <si>
    <t xml:space="preserve">Acido Kojico </t>
  </si>
  <si>
    <t>Acido Citrico  ( Ajustar ph 4.5 - 5.)</t>
  </si>
  <si>
    <t xml:space="preserve">SERUM CLAREADOR </t>
  </si>
  <si>
    <t xml:space="preserve">PRECIO PARA                        100 KG </t>
  </si>
  <si>
    <t>CANTIDAD                               PARA 13 KILOS</t>
  </si>
  <si>
    <t xml:space="preserve">SERUM DE  PESTAÑAS </t>
  </si>
  <si>
    <t>CERA DE MADERA   50 KILOS</t>
  </si>
  <si>
    <t xml:space="preserve">Varsol </t>
  </si>
  <si>
    <t>Silicona a la grasa N°350</t>
  </si>
  <si>
    <t xml:space="preserve">Fragancia Tutti frutti </t>
  </si>
  <si>
    <t>CANTIDAD                               PARA 70 kilos</t>
  </si>
  <si>
    <t>CREMA REAFIRMANTE  (VENENO DE ABEJA)   70 KILOS</t>
  </si>
  <si>
    <t>PRECIO PARA                        65 LT DE FORMULA</t>
  </si>
  <si>
    <t>CANTIDAD                         PARA 10 LITROS</t>
  </si>
  <si>
    <t xml:space="preserve">Alcohol Laurico etoxilado </t>
  </si>
  <si>
    <t xml:space="preserve">Fragancia Paco </t>
  </si>
  <si>
    <t xml:space="preserve">Alcohol extra neutro </t>
  </si>
  <si>
    <t>Fragancia blue chanel</t>
  </si>
  <si>
    <t xml:space="preserve">Cafeina anhidra </t>
  </si>
  <si>
    <t xml:space="preserve">Extracto de centella Asiatica </t>
  </si>
  <si>
    <t xml:space="preserve">Aceite esencial de romero </t>
  </si>
  <si>
    <t xml:space="preserve">D- pantenol </t>
  </si>
  <si>
    <t>PARA 150 gr</t>
  </si>
  <si>
    <t xml:space="preserve">Precio de 150 gr </t>
  </si>
  <si>
    <t>JABON</t>
  </si>
  <si>
    <t>Emulgade 1000</t>
  </si>
  <si>
    <t xml:space="preserve">Acticide </t>
  </si>
  <si>
    <t>CREMA DE GOOD EVIL</t>
  </si>
  <si>
    <t>CREMA BLANQUEADORA</t>
  </si>
  <si>
    <t>Dehycuart</t>
  </si>
  <si>
    <t>Acido Kojico</t>
  </si>
  <si>
    <t xml:space="preserve">Acido Lactico </t>
  </si>
  <si>
    <t>PERFUME GOOD GIRL  - ROJO</t>
  </si>
  <si>
    <t xml:space="preserve">PARA REGULAR EL PH ACIDO LACTICO  (EL PH TIENE QUE MEDIR 5) </t>
  </si>
  <si>
    <t xml:space="preserve">CREMA PARA CRECIMIENTO DE CABELLO </t>
  </si>
  <si>
    <t>silicona a la grsa 1000</t>
  </si>
  <si>
    <t xml:space="preserve">Colageno hidrolizado </t>
  </si>
  <si>
    <t xml:space="preserve">Acido citrico </t>
  </si>
  <si>
    <t>GEL TENSOR INSTANTANEO TRANSPARENTE</t>
  </si>
  <si>
    <t xml:space="preserve">Carbopol 940 </t>
  </si>
  <si>
    <t xml:space="preserve">Silicato de sodio </t>
  </si>
  <si>
    <t xml:space="preserve">Acido Hialuronico </t>
  </si>
  <si>
    <t xml:space="preserve">Procide cg </t>
  </si>
  <si>
    <t xml:space="preserve">Colageno Hidrolizado </t>
  </si>
  <si>
    <t xml:space="preserve">Extracto de Centella Asiatica </t>
  </si>
  <si>
    <t xml:space="preserve">PARA REGULAR EL PH ACIDO CITRICO (EL PH TIENE QUE MEDIR 5) </t>
  </si>
  <si>
    <t>Extracto de aloe vera</t>
  </si>
  <si>
    <t>Vitamina e</t>
  </si>
  <si>
    <t xml:space="preserve">Polisorbato 20 </t>
  </si>
  <si>
    <t xml:space="preserve">PARA REGULAR EL PH ACIDO LACTICO  (EL PH TIENE QUE MEDIR 5.5) </t>
  </si>
  <si>
    <t>SPRAY ANTIARRUGAS REAFIRMANTE O ANTIARUGAS   20 LITROS</t>
  </si>
  <si>
    <t>Trietanilamina</t>
  </si>
  <si>
    <t>SHAMPOO SOLIDO DE KION</t>
  </si>
  <si>
    <t>TENSOACTIVO SCI</t>
  </si>
  <si>
    <t>ARCILLA BLANCA</t>
  </si>
  <si>
    <t xml:space="preserve">ACEITE DE RICINO </t>
  </si>
  <si>
    <t>KION EN POLVO</t>
  </si>
  <si>
    <t>ACEITE ESENCIAL DE ROMERO</t>
  </si>
  <si>
    <t>AGUA</t>
  </si>
  <si>
    <t>CANTIDAD PARA 66 GRAMOS</t>
  </si>
  <si>
    <t>CREMA PARA ESTRIAS     20 KILOS</t>
  </si>
  <si>
    <t xml:space="preserve">Aceite de ricino </t>
  </si>
  <si>
    <t xml:space="preserve">Acido hialuronico </t>
  </si>
  <si>
    <t>Agua deionizada</t>
  </si>
  <si>
    <t>CANTIDAD                               PARA 500 gr</t>
  </si>
  <si>
    <t>CANTIDAD                               PARA 50 KILOS</t>
  </si>
  <si>
    <t xml:space="preserve">CREMA DE ALOE VERA Y ACIDO HIUALURONICO     </t>
  </si>
  <si>
    <t xml:space="preserve">GEL BLANQUEADOR CON KOJICO </t>
  </si>
  <si>
    <t xml:space="preserve">Carpobol </t>
  </si>
  <si>
    <t>CANTIDAD                               PARA 65 KILOS</t>
  </si>
  <si>
    <t>SERUM PARA VERRUGA  - DIEGO MENA</t>
  </si>
  <si>
    <t xml:space="preserve">Acido Salicilo </t>
  </si>
  <si>
    <t xml:space="preserve">Extracto de aloe vera </t>
  </si>
  <si>
    <t>Procide Cg</t>
  </si>
  <si>
    <t>AL ULTIMO</t>
  </si>
  <si>
    <t xml:space="preserve">Fragancia vainilla </t>
  </si>
  <si>
    <t>Acido Hialuronico</t>
  </si>
  <si>
    <t>CREMA ACEITE DE CABALLO</t>
  </si>
  <si>
    <t xml:space="preserve">TONICO  PARA UÑAS </t>
  </si>
  <si>
    <t xml:space="preserve">CREMA ALOE VERA Y ACIDO HIALURONICO </t>
  </si>
  <si>
    <t>Extrato de aloe vera</t>
  </si>
  <si>
    <t>Acido hialuronico</t>
  </si>
  <si>
    <t xml:space="preserve">Extracto de castaña de indias </t>
  </si>
  <si>
    <t xml:space="preserve">Extracto de arnica </t>
  </si>
  <si>
    <t>CREMA PARA CELULITIS</t>
  </si>
  <si>
    <t>DESODORANTE DE BAÑO</t>
  </si>
  <si>
    <t>Nonil fenol 10 M</t>
  </si>
  <si>
    <t xml:space="preserve">Glutaraldehido </t>
  </si>
  <si>
    <t xml:space="preserve">Acido Fosforico </t>
  </si>
  <si>
    <t xml:space="preserve">Edta tetrasodico </t>
  </si>
  <si>
    <t xml:space="preserve">ACEITE PARA CABELLO 10 LITROS </t>
  </si>
  <si>
    <t xml:space="preserve">Extracto de centella asiatica </t>
  </si>
  <si>
    <t xml:space="preserve">Extracto castaña de indias </t>
  </si>
  <si>
    <t xml:space="preserve">Extracto de Hamamelis </t>
  </si>
  <si>
    <t xml:space="preserve">D- Pantenol </t>
  </si>
  <si>
    <t xml:space="preserve">Mentol en cristal </t>
  </si>
  <si>
    <t xml:space="preserve">Sorbato </t>
  </si>
  <si>
    <t>Urea</t>
  </si>
  <si>
    <t>Aceite esenial tea tree</t>
  </si>
  <si>
    <t xml:space="preserve">Glicerina vegetal </t>
  </si>
  <si>
    <t xml:space="preserve">Acido lactico </t>
  </si>
  <si>
    <t xml:space="preserve">Agua Purificada </t>
  </si>
  <si>
    <t xml:space="preserve">alcohol Cetearilico </t>
  </si>
  <si>
    <t>CREMA DE CALLOS CON UREA  PREMIUM</t>
  </si>
  <si>
    <t>CREMA DE CALLOS CON UREA ECONOMICA</t>
  </si>
  <si>
    <t xml:space="preserve">silicona cristal </t>
  </si>
  <si>
    <t xml:space="preserve">Bencina </t>
  </si>
  <si>
    <t xml:space="preserve">Alcohol isopropilico </t>
  </si>
  <si>
    <t xml:space="preserve">Fragancia tutti frutti </t>
  </si>
  <si>
    <t>SHAMPOO DE AUTOS INDUSTRIAL</t>
  </si>
  <si>
    <t xml:space="preserve">FRAGANCIA </t>
  </si>
  <si>
    <t xml:space="preserve">BUTIL GLICOL </t>
  </si>
  <si>
    <t xml:space="preserve">ALCOHOL ISOPROPILICO </t>
  </si>
  <si>
    <t>CMC</t>
  </si>
  <si>
    <t>COLORANTE</t>
  </si>
  <si>
    <t xml:space="preserve">AGUA </t>
  </si>
  <si>
    <t>ACTICIDE</t>
  </si>
  <si>
    <t>SPRAY VENENO DE ABEJA 2 LITROS</t>
  </si>
  <si>
    <t>Parafina liquida</t>
  </si>
  <si>
    <t xml:space="preserve">Aceite coco extra virgen </t>
  </si>
  <si>
    <t>Extracto de Manzanilla</t>
  </si>
  <si>
    <t xml:space="preserve">Aceite esencial ylang ylang </t>
  </si>
  <si>
    <t>Aceite esencial de Citronela</t>
  </si>
  <si>
    <t>SPRAY ANTIPARASITO PARA PERROS</t>
  </si>
  <si>
    <t>Aceite de Ricino</t>
  </si>
  <si>
    <t xml:space="preserve">Aceite esencial romero </t>
  </si>
  <si>
    <t xml:space="preserve">Extracto de romero </t>
  </si>
  <si>
    <t xml:space="preserve">proteina de trigo hidrolizada </t>
  </si>
  <si>
    <t xml:space="preserve">SHAMPOO CON DE RICINO </t>
  </si>
  <si>
    <t>SOLUCION UÑAS SANAS</t>
  </si>
  <si>
    <t>clorhexidina</t>
  </si>
  <si>
    <t xml:space="preserve">EDTA </t>
  </si>
  <si>
    <t xml:space="preserve">SPRAY BUCAL  5 LITROS  MENTA </t>
  </si>
  <si>
    <t xml:space="preserve">SPRAY BUCAL  5 LITROS CANELA  </t>
  </si>
  <si>
    <t>Saborizante  canela</t>
  </si>
  <si>
    <t xml:space="preserve">ACEITE LIMPIADOR FACIAL </t>
  </si>
  <si>
    <t>Niacinamida</t>
  </si>
  <si>
    <t>Extracto de Te verde</t>
  </si>
  <si>
    <t xml:space="preserve">Texapon </t>
  </si>
  <si>
    <t>ACEITE CAPILAR</t>
  </si>
  <si>
    <t xml:space="preserve">Aceiter de coco extra virgen </t>
  </si>
  <si>
    <t xml:space="preserve">Vitamina E </t>
  </si>
  <si>
    <t>SOLUCION TOPICA LIMPIADORA PARA MASCOTAS</t>
  </si>
  <si>
    <t>Lipocol 40 )peg 40</t>
  </si>
  <si>
    <t xml:space="preserve">Clorhexidina </t>
  </si>
  <si>
    <t xml:space="preserve">SERUM POST AFEITADO CALMANTE E ILUMINADOR </t>
  </si>
  <si>
    <t>Palmitato de isopropilo</t>
  </si>
  <si>
    <t xml:space="preserve">Agua de rosas </t>
  </si>
  <si>
    <t xml:space="preserve">Extracto de te verde </t>
  </si>
  <si>
    <t xml:space="preserve">Extracto de algas marinas </t>
  </si>
  <si>
    <t xml:space="preserve">Vitamina C </t>
  </si>
  <si>
    <t xml:space="preserve">Aceite de semillas de uva </t>
  </si>
  <si>
    <t>CREMA NOCTURNA REGENERADORA</t>
  </si>
  <si>
    <t xml:space="preserve">Niacinamide </t>
  </si>
  <si>
    <t xml:space="preserve">Extracto de manzanilla </t>
  </si>
  <si>
    <t xml:space="preserve">extracto te verde </t>
  </si>
  <si>
    <t xml:space="preserve">sorbato de sodio </t>
  </si>
  <si>
    <t>extracto de hamamelis</t>
  </si>
  <si>
    <t>CANTIDAD                               PARA 21.5 KILOS</t>
  </si>
  <si>
    <t>CANTIDAD                             PARA 20 LITROS</t>
  </si>
  <si>
    <t xml:space="preserve">SPRAY ALIVIO PARA PSORIASIS </t>
  </si>
  <si>
    <t xml:space="preserve">Alantoina </t>
  </si>
  <si>
    <t xml:space="preserve">alcogol cetilico </t>
  </si>
  <si>
    <t xml:space="preserve">Aceite de calendula </t>
  </si>
  <si>
    <t xml:space="preserve">Extraxto de centella asiatica </t>
  </si>
  <si>
    <t>extraxto de arnica</t>
  </si>
  <si>
    <t xml:space="preserve">taurina </t>
  </si>
  <si>
    <t>Vitamina B1</t>
  </si>
  <si>
    <t xml:space="preserve">CREMA NEUROPATICA CON ARNICA - EFECTO INMEDIATO </t>
  </si>
  <si>
    <t>CREMA NEUROPATICA CON ARNICA - EFECTO LENTO</t>
  </si>
  <si>
    <t xml:space="preserve">shampoo liquido sin parabenos </t>
  </si>
  <si>
    <t>Decyl Glucoside</t>
  </si>
  <si>
    <t xml:space="preserve">goma xantana </t>
  </si>
  <si>
    <t>Carbopol</t>
  </si>
  <si>
    <t xml:space="preserve">Lidocaina </t>
  </si>
  <si>
    <t>Extracto de jenjibre</t>
  </si>
  <si>
    <t xml:space="preserve">Aceite esencial lavanda </t>
  </si>
  <si>
    <t>Aceite esencial romero</t>
  </si>
  <si>
    <t>Pantenol</t>
  </si>
  <si>
    <t xml:space="preserve">Aceite esencial arbol del te </t>
  </si>
  <si>
    <t>BALSAMO DE ABEJA EN PASTA - COLOR AMARILLO</t>
  </si>
  <si>
    <t>RETARDANTE LIQUIDO</t>
  </si>
  <si>
    <t>PRECIO PARA               120 LITRO DE FORMULA</t>
  </si>
  <si>
    <t>LIQUIDO ABRASIVOTEXTIL 5 LITROS</t>
  </si>
  <si>
    <t xml:space="preserve">Acido Oxalico </t>
  </si>
  <si>
    <t>Nonil fenol 10 m</t>
  </si>
  <si>
    <t>Texapon</t>
  </si>
  <si>
    <t>Gluconato de sodio</t>
  </si>
  <si>
    <t xml:space="preserve">SUAVIZANTE DE ROPA CON GLICERINA  </t>
  </si>
  <si>
    <t xml:space="preserve">Acido Acetico </t>
  </si>
  <si>
    <t xml:space="preserve">CMC </t>
  </si>
  <si>
    <t>j</t>
  </si>
  <si>
    <t xml:space="preserve">Acido Hialoronico </t>
  </si>
  <si>
    <t xml:space="preserve">Extracto de ortiga </t>
  </si>
  <si>
    <t>Aceite esencial arbol del te</t>
  </si>
  <si>
    <t xml:space="preserve">TONICO PARA LA CASPA </t>
  </si>
  <si>
    <t>Agua Purificada</t>
  </si>
  <si>
    <t>CANTIDAD                         PARA 25 LITROS</t>
  </si>
  <si>
    <t xml:space="preserve">TONICO EN CREMA PARA DOLORES MUSCULARES </t>
  </si>
  <si>
    <t>Edta</t>
  </si>
  <si>
    <t xml:space="preserve">Coperland </t>
  </si>
  <si>
    <t xml:space="preserve">Sal </t>
  </si>
  <si>
    <t>CANTIDAD                               PARA 300 kg</t>
  </si>
  <si>
    <t>CANTIDAD                               PARA 10 kilos</t>
  </si>
  <si>
    <t>CHAMPU DE CRECIMIENTO</t>
  </si>
  <si>
    <t>CANTIDAD                               PARA 50 KG</t>
  </si>
  <si>
    <t>CREMA PARA HEMORROIDES</t>
  </si>
  <si>
    <t>Extracto de hamamelis</t>
  </si>
  <si>
    <t>Extracto de manzanilla</t>
  </si>
  <si>
    <t xml:space="preserve">extracto de castaña de indias </t>
  </si>
  <si>
    <t xml:space="preserve">Curcuma en polvo </t>
  </si>
  <si>
    <t>CANTIDAD PARA 8  KILOS</t>
  </si>
  <si>
    <t xml:space="preserve">BASE DE CHAMPU </t>
  </si>
  <si>
    <t>CANTIDAD                        PARA 20 LITROS</t>
  </si>
  <si>
    <t>CREAM NEUROPAT. CON CREMA MUSC.</t>
  </si>
  <si>
    <t xml:space="preserve">Colorante negro </t>
  </si>
  <si>
    <t xml:space="preserve">Extracto de Aloe Vera </t>
  </si>
  <si>
    <t xml:space="preserve">Polyquaternium </t>
  </si>
  <si>
    <t xml:space="preserve">Proteina hidrolizada de soya </t>
  </si>
  <si>
    <t xml:space="preserve">CANTIDAD                         PARA 60 KILOS </t>
  </si>
  <si>
    <t>PRECIO PARA                        25 KILOS</t>
  </si>
  <si>
    <t>CANTIDAD                         PARA 20 KILOS</t>
  </si>
  <si>
    <t xml:space="preserve">Aceite esencial Arbol del te </t>
  </si>
  <si>
    <t>CREMA PARA VARICES</t>
  </si>
  <si>
    <t xml:space="preserve">Extracto de hamamelis </t>
  </si>
  <si>
    <t xml:space="preserve">CREMA DEPILADORA </t>
  </si>
  <si>
    <t xml:space="preserve">Acido tioglicolico </t>
  </si>
  <si>
    <t xml:space="preserve">Hidroxido de sodio </t>
  </si>
  <si>
    <t>CANTIDAD                               PARA 44 KILOS</t>
  </si>
  <si>
    <t xml:space="preserve">ACEITE MINERAL </t>
  </si>
  <si>
    <t xml:space="preserve">Vaselina Liquido </t>
  </si>
  <si>
    <t xml:space="preserve">Miristato de isopropolico </t>
  </si>
  <si>
    <t xml:space="preserve">Colorante a la grasa </t>
  </si>
  <si>
    <t>CANTIDAD                               PARA 100 LT</t>
  </si>
  <si>
    <t>CANTIDAD                               PARA 50 LT</t>
  </si>
  <si>
    <t xml:space="preserve">CREMA FACIAL      </t>
  </si>
  <si>
    <t xml:space="preserve">Fragancia Arbol del te </t>
  </si>
  <si>
    <t>CANTIDAD                               PARA 10 KILOS</t>
  </si>
  <si>
    <t>CANTIDAD                               PARA 30 KILOS</t>
  </si>
  <si>
    <t xml:space="preserve">CREMA PARA LA CASPA </t>
  </si>
  <si>
    <t>GEL EXFOLIANTE FACIAL  EFECTO BORRA</t>
  </si>
  <si>
    <t xml:space="preserve">LIMPIADOR ACIDO DE ALUMINIO </t>
  </si>
  <si>
    <t>Acido Fosforico 85%</t>
  </si>
  <si>
    <t xml:space="preserve">Gluconato de sodio </t>
  </si>
  <si>
    <t xml:space="preserve">Butil Glicol </t>
  </si>
  <si>
    <t xml:space="preserve">Alcohol Etoxilado </t>
  </si>
  <si>
    <t>Texapon 70%</t>
  </si>
  <si>
    <t xml:space="preserve">Colorante acido </t>
  </si>
  <si>
    <t xml:space="preserve">CREMA LIMPIADORA FACIAL  </t>
  </si>
  <si>
    <t xml:space="preserve">Sorbato de Potasio </t>
  </si>
  <si>
    <t>Alcohol ceteárico</t>
  </si>
  <si>
    <t>Estearato de glicerilo SE</t>
  </si>
  <si>
    <t xml:space="preserve">Soda Caustica </t>
  </si>
  <si>
    <t>CANTIDAD                        PARA 10 LITROS</t>
  </si>
  <si>
    <t>CANTIDAD                        PARA 45 LITROS</t>
  </si>
  <si>
    <t>ANTIMICOTICO EN SPRAY PARA HONGOS DE UÑAS</t>
  </si>
  <si>
    <t>CREMA FACIAL HIDRATANTE - GEYMA</t>
  </si>
  <si>
    <t xml:space="preserve">BASE BLANCA </t>
  </si>
  <si>
    <t>Aceite de coco extra virgen</t>
  </si>
  <si>
    <t xml:space="preserve">Acido Estearico </t>
  </si>
  <si>
    <t xml:space="preserve">Agua para la azucar </t>
  </si>
  <si>
    <t xml:space="preserve">Azucar Refinada </t>
  </si>
  <si>
    <t xml:space="preserve">Lactato de Sodio </t>
  </si>
  <si>
    <t xml:space="preserve">Agua para la soda </t>
  </si>
  <si>
    <t>BASE AMBAR</t>
  </si>
  <si>
    <t xml:space="preserve">Aceite de coco industrial </t>
  </si>
  <si>
    <t xml:space="preserve">BASE TRANSPARENTE </t>
  </si>
  <si>
    <t xml:space="preserve">Sorbitol </t>
  </si>
  <si>
    <t>Taper</t>
  </si>
  <si>
    <t xml:space="preserve">SERUM ANTI FRIZZ </t>
  </si>
  <si>
    <t xml:space="preserve">Queratina Hidrolizada </t>
  </si>
  <si>
    <t xml:space="preserve">Aceite de reicino </t>
  </si>
  <si>
    <t xml:space="preserve">Edta </t>
  </si>
  <si>
    <t>CREMA REPARADORA CON VITAMINA E</t>
  </si>
  <si>
    <t xml:space="preserve">Alontoina </t>
  </si>
  <si>
    <t xml:space="preserve">SHAMPOO ACTIVADO CRECIMIENTO CAPILAR </t>
  </si>
  <si>
    <t>Extracto de ginseng</t>
  </si>
  <si>
    <t xml:space="preserve">Cloruro de sodio </t>
  </si>
  <si>
    <t>Aceite de copaiba</t>
  </si>
  <si>
    <t xml:space="preserve">PERFUMADOR PACO - JEAN </t>
  </si>
  <si>
    <t>PERFUMADOR  PARA BLUE CHANEL - JEAN</t>
  </si>
  <si>
    <t>ACEITE DE MASAJE ANTICELULITICO</t>
  </si>
  <si>
    <t xml:space="preserve">Aceite esencial menta </t>
  </si>
  <si>
    <t xml:space="preserve">Aceite esencial eucalipto </t>
  </si>
  <si>
    <t xml:space="preserve">Aceite esencial Limon </t>
  </si>
  <si>
    <t>DIAMANTEX- AZUL</t>
  </si>
  <si>
    <t>CREMA PARA DOLORES MUSCULARES  - DANIEL MEZA</t>
  </si>
  <si>
    <t>Extracto de Ortiga</t>
  </si>
  <si>
    <t xml:space="preserve">CHAMPU </t>
  </si>
  <si>
    <t xml:space="preserve">Emulgade </t>
  </si>
  <si>
    <t xml:space="preserve">Dimeticona </t>
  </si>
  <si>
    <t xml:space="preserve">Glicerina Vegetal </t>
  </si>
  <si>
    <t xml:space="preserve">Procide Cg </t>
  </si>
  <si>
    <t xml:space="preserve">Arcilla Blanca </t>
  </si>
  <si>
    <t xml:space="preserve">Oxido de Zinc </t>
  </si>
  <si>
    <t>Talco</t>
  </si>
  <si>
    <t xml:space="preserve">BASE MAQUILLAJE CON DIMETICONA - BLANCO </t>
  </si>
  <si>
    <t>CANTIDAD                               PARA 100 kg</t>
  </si>
  <si>
    <t xml:space="preserve">SPRAY EXFOLIANTE ACIDO KOJICO </t>
  </si>
  <si>
    <t xml:space="preserve">Niacinamida </t>
  </si>
  <si>
    <t xml:space="preserve">Colageno </t>
  </si>
  <si>
    <t xml:space="preserve">SERUM ACLARADOR  </t>
  </si>
  <si>
    <t xml:space="preserve">EDTA Tetrasodico </t>
  </si>
  <si>
    <t xml:space="preserve">Procide CG </t>
  </si>
  <si>
    <t xml:space="preserve">Fragancia Maracuya </t>
  </si>
  <si>
    <t xml:space="preserve">ACEITE  CORPORAL REAFIRMANTE </t>
  </si>
  <si>
    <t xml:space="preserve">Aceite esencial Naranja </t>
  </si>
  <si>
    <t xml:space="preserve">Aceite esencial Lavanda </t>
  </si>
  <si>
    <t>CANTIDAD                              PARA 20 LITROS</t>
  </si>
  <si>
    <t xml:space="preserve">CANTIDAD                         PARA 50 KILOS </t>
  </si>
  <si>
    <t xml:space="preserve">JABON LIQUIDO CON TERBINAFINA  </t>
  </si>
  <si>
    <t xml:space="preserve">Extracto de avena </t>
  </si>
  <si>
    <t xml:space="preserve">Dietanolamina de coco </t>
  </si>
  <si>
    <t xml:space="preserve">Procide Cg conservante </t>
  </si>
  <si>
    <t>Piritinato de zinc</t>
  </si>
  <si>
    <t xml:space="preserve">Ketoconozol </t>
  </si>
  <si>
    <t xml:space="preserve">Mentol </t>
  </si>
  <si>
    <t>Alcanfor</t>
  </si>
  <si>
    <t xml:space="preserve">Extracto de Romero </t>
  </si>
  <si>
    <t xml:space="preserve">SHAMPOO ANTICASPA </t>
  </si>
  <si>
    <t xml:space="preserve">Cloruro de Sodio </t>
  </si>
  <si>
    <t>CREMA CALMANTE Y REPARADORA</t>
  </si>
  <si>
    <t xml:space="preserve">Aceite de Calendula </t>
  </si>
  <si>
    <t>Manteca de karite</t>
  </si>
  <si>
    <t>Alcohol Cetilico</t>
  </si>
  <si>
    <t>Extracto de Hamamelis</t>
  </si>
  <si>
    <t xml:space="preserve">Extracto de malva </t>
  </si>
  <si>
    <t xml:space="preserve">Extracto de Arbol del te </t>
  </si>
  <si>
    <t xml:space="preserve">TONICO CAPILAR ESTIMULANTE Y FORTALECEDOR </t>
  </si>
  <si>
    <t xml:space="preserve">Extracto de Ortiga </t>
  </si>
  <si>
    <t>Extracto de Ginseng</t>
  </si>
  <si>
    <t xml:space="preserve">Biotina </t>
  </si>
  <si>
    <t xml:space="preserve">Vaselina liquida </t>
  </si>
  <si>
    <t xml:space="preserve">Aceite de Aguacate </t>
  </si>
  <si>
    <t xml:space="preserve">Aceite de macadamia </t>
  </si>
  <si>
    <t xml:space="preserve">Miristato de isopropilo </t>
  </si>
  <si>
    <t xml:space="preserve">Aceite esencial de anis </t>
  </si>
  <si>
    <t xml:space="preserve">precio </t>
  </si>
  <si>
    <t>precio rebajado</t>
  </si>
  <si>
    <t>TRATAMIENTO CAPILAR NUTRITIVO OPTIMIZADO</t>
  </si>
  <si>
    <t>SPRAY DE OIDOS - ALFALION - LUIS MARIN</t>
  </si>
  <si>
    <t>Saborizante  Canela</t>
  </si>
  <si>
    <t>CANTIDAD                              PARA 10  LITROS</t>
  </si>
  <si>
    <t>CREMA TENSOR  CON ACIDO HIALURONICO - JHON CANTO</t>
  </si>
  <si>
    <t xml:space="preserve">PERFUME BORN IN ROMA VALENTINO </t>
  </si>
  <si>
    <t>Fragancia Born In Roma Valentino</t>
  </si>
  <si>
    <t>CANTIDAD                              PARA 10 LITROS</t>
  </si>
  <si>
    <t>SERUM  REAFIRMANTE O ANTIARUGAS  - LUIS MARIN</t>
  </si>
  <si>
    <t>CANTIDAD                               PARA 51 LITROS</t>
  </si>
  <si>
    <t>CREMA TENSOR  CON AC. HIA. - JOSE PUELLES</t>
  </si>
  <si>
    <t>35 KG</t>
  </si>
  <si>
    <t>CREMA  MICROTGHT - ALFALION</t>
  </si>
  <si>
    <t xml:space="preserve">Procide  cg </t>
  </si>
  <si>
    <t xml:space="preserve">Clorhidrato de aluminio </t>
  </si>
  <si>
    <t>Trietil citrato</t>
  </si>
  <si>
    <t xml:space="preserve">Ectracto de manzanilla </t>
  </si>
  <si>
    <t>DESODORANTE ROLL ON</t>
  </si>
  <si>
    <t>CANTIDAD                        PARA 60 LITROS</t>
  </si>
  <si>
    <t>Procide cg</t>
  </si>
  <si>
    <t>CREMA PARA VERRUGAS</t>
  </si>
  <si>
    <t>Vitamian E</t>
  </si>
  <si>
    <t>CANTIDAD                               PARA 10 kg</t>
  </si>
  <si>
    <t xml:space="preserve">LIMPIADOR DE ALUMINIO </t>
  </si>
  <si>
    <t xml:space="preserve">Acido oxalico </t>
  </si>
  <si>
    <t>CANTIDAD                               PARA 17 KILOS</t>
  </si>
  <si>
    <t>PARA 25 KILOS</t>
  </si>
  <si>
    <t>CREMA BEE VENOM</t>
  </si>
  <si>
    <t>CANTIDAD                              PARA 50 LITROS</t>
  </si>
  <si>
    <t>BALSAMO LABIAL</t>
  </si>
  <si>
    <t xml:space="preserve">Cera carnauba </t>
  </si>
  <si>
    <t>Aceite de coco</t>
  </si>
  <si>
    <t>Extracto de ginseg</t>
  </si>
  <si>
    <t>PARA 30 KILOS</t>
  </si>
  <si>
    <t>CERA DE MADERA</t>
  </si>
  <si>
    <t>PRECIO PARA           1 LITRO DE FORMULA</t>
  </si>
  <si>
    <t>Cera de abeja</t>
  </si>
  <si>
    <t>Cera de carnauba</t>
  </si>
  <si>
    <t>Exxol</t>
  </si>
  <si>
    <t>Carbonato de calcio</t>
  </si>
  <si>
    <t xml:space="preserve">CREMA ANTIEDAD </t>
  </si>
  <si>
    <t>CANTIDAD                               PARA 3 KILOS</t>
  </si>
  <si>
    <t>CANTIDAD                               PARA 7 KILOS</t>
  </si>
  <si>
    <t>SPRAY TERBINAFINA 8% - LUIS MARIN</t>
  </si>
  <si>
    <t>Terbinafina</t>
  </si>
  <si>
    <t>Alcohol 96%</t>
  </si>
  <si>
    <t>ACEITE ANTIVELLO CORPORAL</t>
  </si>
  <si>
    <t>Aceite de almendras</t>
  </si>
  <si>
    <t xml:space="preserve">Aceite de rosa mosqueta </t>
  </si>
  <si>
    <t xml:space="preserve">   </t>
  </si>
  <si>
    <t xml:space="preserve">Polisorbato 20 para el trietil citrato </t>
  </si>
  <si>
    <t xml:space="preserve">BARRA DE ARRUGA </t>
  </si>
  <si>
    <t xml:space="preserve">TRINNIDROP </t>
  </si>
  <si>
    <t xml:space="preserve">Fragancia de Arbol del te </t>
  </si>
  <si>
    <t>CANTIDAD                                    PARA 5 LITROS</t>
  </si>
  <si>
    <t>CANTIDAD                        PARA 25 LITROS</t>
  </si>
  <si>
    <t>CANTIDAD                        PARA 30 LITROS</t>
  </si>
  <si>
    <t xml:space="preserve">ANTIMICOTICO EN SPRAY PARA HONGOS DE UÑAS </t>
  </si>
  <si>
    <t>CANTIDAD                                           PARA 125 LITROS</t>
  </si>
  <si>
    <t>CANTIDAD                               PARA 9 LITROS</t>
  </si>
  <si>
    <t>CANTIDAD                             PARA 15  LITROS</t>
  </si>
  <si>
    <t>CANTIDAD                             PARA 20  LITROS</t>
  </si>
  <si>
    <t xml:space="preserve">CREMA VENENO DE ABEJA     </t>
  </si>
  <si>
    <t>CANTIDAD                               PARA 25 kilos</t>
  </si>
  <si>
    <t>TONICO DE MASCOTAS (RENOVAPET) - GEYMA</t>
  </si>
  <si>
    <t xml:space="preserve">CANTIDAD                               PARA 10 LITROS </t>
  </si>
  <si>
    <t>CANTIDAD                               PARA 10 KG</t>
  </si>
  <si>
    <t>GEL ANTIDOLOR  - GEYMA</t>
  </si>
  <si>
    <t>Extracto de romero</t>
  </si>
  <si>
    <t xml:space="preserve">Edta Tetrasodico </t>
  </si>
  <si>
    <t>CANTIDAD                               PARA 75 kg</t>
  </si>
  <si>
    <t>CANTIDAD                               PARA 150 kg</t>
  </si>
  <si>
    <t>CHAMPU DE ROMERO - JHON CANTO</t>
  </si>
  <si>
    <t>PRECIO PARA                        10 LT DE FORMULA</t>
  </si>
  <si>
    <t>PRECIO PARA                        15 LT DE FORMULA</t>
  </si>
  <si>
    <t>CREMA ANALGESICA TRIPLE</t>
  </si>
  <si>
    <t xml:space="preserve">Tetracaina </t>
  </si>
  <si>
    <t>Prilocaina</t>
  </si>
  <si>
    <t>Vaselina solida</t>
  </si>
  <si>
    <t>colorante blanco</t>
  </si>
  <si>
    <t>ACEITE DE VARICES</t>
  </si>
  <si>
    <t xml:space="preserve">aceite de jojoba </t>
  </si>
  <si>
    <t xml:space="preserve">aceite almendras </t>
  </si>
  <si>
    <t>aceite esencial cypress</t>
  </si>
  <si>
    <t>aceite esencial lavanda</t>
  </si>
  <si>
    <t xml:space="preserve">aceite esencial menta </t>
  </si>
  <si>
    <t>D - pantenol</t>
  </si>
  <si>
    <t>Extracto de centella</t>
  </si>
  <si>
    <t>CREMA REGENERADOR DE CICATRICES</t>
  </si>
  <si>
    <t xml:space="preserve">Azucar rubia </t>
  </si>
  <si>
    <t>CANTIDAD                               PARA 22 KILOS</t>
  </si>
  <si>
    <t>CREMA EXFOLIANTE</t>
  </si>
  <si>
    <t xml:space="preserve">CANTIDAD                               PARA 22 kg </t>
  </si>
  <si>
    <t>Soda Caustica</t>
  </si>
  <si>
    <t>Carbonato de sodio</t>
  </si>
  <si>
    <t>Silicato de sodio</t>
  </si>
  <si>
    <t>Butilglicol</t>
  </si>
  <si>
    <t>Procide 1.5</t>
  </si>
  <si>
    <t>Colorante Alcalino</t>
  </si>
  <si>
    <t>Fragancia Alcalina</t>
  </si>
  <si>
    <t>DESENGRASANTE LIQUIDO</t>
  </si>
  <si>
    <t>SUGAR BODY SCRUB</t>
  </si>
  <si>
    <t>Aceite de Almendras</t>
  </si>
  <si>
    <t>Goma Xantana</t>
  </si>
  <si>
    <t>Azucar Blanca</t>
  </si>
  <si>
    <t xml:space="preserve">Bronidox </t>
  </si>
  <si>
    <t>Agua Desionisada</t>
  </si>
  <si>
    <t xml:space="preserve">Extracto centella asiatica </t>
  </si>
  <si>
    <t>Extracto aloe vera</t>
  </si>
  <si>
    <t xml:space="preserve">Vaselina Solida </t>
  </si>
  <si>
    <t>LIQUIDO PARA HEMORROIDES</t>
  </si>
  <si>
    <t>CANTIDAD                               PARA 18 KILOS</t>
  </si>
  <si>
    <t xml:space="preserve">Decyl glucoside </t>
  </si>
  <si>
    <t xml:space="preserve">PERFUMADOR ACEITOSO PARA AUTOS </t>
  </si>
  <si>
    <t>Dipropilenglicol</t>
  </si>
  <si>
    <t>Miristato de isopropilo</t>
  </si>
  <si>
    <t>LIMPIADOR QUITAGRASA MULTIUSOS</t>
  </si>
  <si>
    <t>Nonil Fenol 10M</t>
  </si>
  <si>
    <t xml:space="preserve">Soda Caustica en escamas </t>
  </si>
  <si>
    <t>Agua mejorada</t>
  </si>
  <si>
    <t>SKIN SERUM COLGANO DE HILOS DORADOS</t>
  </si>
  <si>
    <t xml:space="preserve">Dpantenol </t>
  </si>
  <si>
    <t>Colageno Hidrolizado</t>
  </si>
  <si>
    <t xml:space="preserve">Carbopol </t>
  </si>
  <si>
    <t xml:space="preserve">Fragancia rosas </t>
  </si>
  <si>
    <t xml:space="preserve">Tween 20 </t>
  </si>
  <si>
    <t>PRECIO PARA                        6 LT DE FORMULA</t>
  </si>
  <si>
    <t xml:space="preserve">LIQUIDO QUITA OXIDO </t>
  </si>
  <si>
    <t xml:space="preserve">Nonil Fenol 10 M </t>
  </si>
  <si>
    <t xml:space="preserve">CREMA DE CICATRICES </t>
  </si>
  <si>
    <t>D - Pantenol</t>
  </si>
  <si>
    <t>Vaselina Liquida</t>
  </si>
  <si>
    <t>ACEITE DE BATANA</t>
  </si>
  <si>
    <t xml:space="preserve">Aceite de argan </t>
  </si>
  <si>
    <t>CREMA BEE VENOM MUSCULAR</t>
  </si>
  <si>
    <t xml:space="preserve">ACIDO LACTICO HASTA QUE EL PH LLEGUE A 5 </t>
  </si>
  <si>
    <t>SERUM DE SALMON</t>
  </si>
  <si>
    <t>PRECIO PARA  1 LITRO</t>
  </si>
  <si>
    <t>Procide CG (conservante)</t>
  </si>
  <si>
    <t xml:space="preserve">SERUM DE HIDRATANTE </t>
  </si>
  <si>
    <t xml:space="preserve">Urea </t>
  </si>
  <si>
    <t>SERUM DE ALOE VERA</t>
  </si>
  <si>
    <t>PRECIO INSUMO 6 Kg</t>
  </si>
  <si>
    <t>PRECIO PARA 1 LITRO</t>
  </si>
  <si>
    <t>CANTIDAD  PARA 6 Kg</t>
  </si>
  <si>
    <t>Pantenol (Vitamina B5)</t>
  </si>
  <si>
    <t>SERUM DE OJERAS</t>
  </si>
  <si>
    <t xml:space="preserve">Acido Ascorbico </t>
  </si>
  <si>
    <t xml:space="preserve">Mentol en cristales </t>
  </si>
  <si>
    <t>KOREAN SILK COLLAGEN AMPOULE</t>
  </si>
  <si>
    <t xml:space="preserve">D - pantenol </t>
  </si>
  <si>
    <t xml:space="preserve">SERUM ELIMINADOR DE ACNE ACTIVO </t>
  </si>
  <si>
    <t xml:space="preserve">SERUM FACIAL PARA PIELES CON TENDENCIA A ACNE </t>
  </si>
  <si>
    <t>SERUM CON VITAMINA C  (4.5 a 5.5 pH)</t>
  </si>
  <si>
    <t>SERUM DE PESTAÑA</t>
  </si>
  <si>
    <t xml:space="preserve">SERUM  FACIAL DE COLAGENO </t>
  </si>
  <si>
    <t>SERUM CON VITAMINA C CON ACIDO HIALURONICO (4.5 a 5.5 pH)</t>
  </si>
  <si>
    <t>SERUM DE HIDRATANTE CON CENTELLA ASIATICA</t>
  </si>
  <si>
    <t>SERUM DE MIXSOON</t>
  </si>
  <si>
    <t>Extracto de Avena</t>
  </si>
  <si>
    <t>SERUM TRANSPARENTRE DE VERRUGA OPTIMIZADO</t>
  </si>
  <si>
    <t>Alcohol extra neutro</t>
  </si>
  <si>
    <t>Polisorbato</t>
  </si>
  <si>
    <t>SERUM PARA VERRUGAS TRANSPARENTE ESTANDAR</t>
  </si>
  <si>
    <t>Acido Lactico</t>
  </si>
  <si>
    <t xml:space="preserve">Allcohol Extra Neutro </t>
  </si>
  <si>
    <t xml:space="preserve">SERUM NAD C/N COLAGENO </t>
  </si>
  <si>
    <t xml:space="preserve">                 ACEITE EN GEL ( DETOX) O BREATIFY  BUCAL MENTA </t>
  </si>
  <si>
    <t>Extracto de Té verde</t>
  </si>
  <si>
    <t xml:space="preserve">GEL EXFOLIANTE FACIAL </t>
  </si>
  <si>
    <t>GEL EXFOLIANTE FACIAL</t>
  </si>
  <si>
    <t xml:space="preserve">Aceite esencial Romero </t>
  </si>
  <si>
    <t>RETARDANTE  EN GEL</t>
  </si>
  <si>
    <t>GEL TENSOR</t>
  </si>
  <si>
    <t xml:space="preserve">GEL RESTAURADOR DE PLASTICOS NEGROS </t>
  </si>
  <si>
    <t>Meselloce</t>
  </si>
  <si>
    <t>Silfluid QN -3031</t>
  </si>
  <si>
    <t>GEL LIMPIADOR CORPORAL</t>
  </si>
  <si>
    <t>EDTA Tetrasodico</t>
  </si>
  <si>
    <t xml:space="preserve">Mecellose </t>
  </si>
  <si>
    <t>GEL MUSCULAR</t>
  </si>
  <si>
    <t>GEL INTIMO</t>
  </si>
  <si>
    <t>Agua Destilada</t>
  </si>
  <si>
    <t>CANTIDAD PARA 150 KILOS</t>
  </si>
  <si>
    <t>CREMA DERMA BEE</t>
  </si>
  <si>
    <t>CREMA PARA CALLOS - ESTANDAR</t>
  </si>
  <si>
    <t xml:space="preserve">CREMA DE ELIMINADOR DE ACNE ACTIVO </t>
  </si>
  <si>
    <t xml:space="preserve">Acido Mandelico </t>
  </si>
  <si>
    <t>Dehycuarth</t>
  </si>
  <si>
    <t>Extracto de centellla asiatica</t>
  </si>
  <si>
    <t>Extracto de castaña de indias</t>
  </si>
  <si>
    <t>CREMA VITICLEAR OVEALLGO O BEE VENOM</t>
  </si>
  <si>
    <t>CREMA PARA TATTO CARE</t>
  </si>
  <si>
    <t>Alantoina</t>
  </si>
  <si>
    <t>CREAM NEUROPATICA</t>
  </si>
  <si>
    <t>CREMA BLANQUEADORA CON ACIDO HIALURONICO</t>
  </si>
  <si>
    <t>CREMA ANTIMICOTICA PARA HONGOS (EFECTO RAPIDO)</t>
  </si>
  <si>
    <t>Mentol en  cristal</t>
  </si>
  <si>
    <t>Aceite Esensial de Arbol del Té</t>
  </si>
  <si>
    <t>CREMA ANTICELULITIS, ESTRIAS</t>
  </si>
  <si>
    <t>Extracto de arnica</t>
  </si>
  <si>
    <t xml:space="preserve"> PARA REGULAR EL PH ACIDO CITRICO (EL PH TIENE QUE MEDIR 5) </t>
  </si>
  <si>
    <t>CREMA PARA VARICES  - PREMIUN</t>
  </si>
  <si>
    <t xml:space="preserve">CREMA PARA VARICES STANDAR - EFECTO LENTO </t>
  </si>
  <si>
    <t>CREMA PARA DOLOR MUSCULAR CON MAGNESIO</t>
  </si>
  <si>
    <t>Cloruro de Magnesio</t>
  </si>
  <si>
    <t xml:space="preserve">CREMA BOTOX VENENO DE ABEJA </t>
  </si>
  <si>
    <t xml:space="preserve">Extraxto de Aloe Vera </t>
  </si>
  <si>
    <t>Extraxto de Te verde</t>
  </si>
  <si>
    <t xml:space="preserve">Aceite de Ricino </t>
  </si>
  <si>
    <t>Dimeticona</t>
  </si>
  <si>
    <t>Alcohol Cetlico</t>
  </si>
  <si>
    <t>BLOQUEADOR</t>
  </si>
  <si>
    <t>Dioxido de Titanio</t>
  </si>
  <si>
    <t>CREMA CON MINOXIDIL 5%</t>
  </si>
  <si>
    <t xml:space="preserve">CREMA DESODORANTE </t>
  </si>
  <si>
    <t>Trietil Citrato</t>
  </si>
  <si>
    <t xml:space="preserve">BASE MAQUILLAJE CON DIMETICONA - CREMA </t>
  </si>
  <si>
    <t>Glicerina vegetal</t>
  </si>
  <si>
    <t xml:space="preserve">Arcilla blanca </t>
  </si>
  <si>
    <t>Oxido de zinc</t>
  </si>
  <si>
    <t xml:space="preserve">Oxido de hierro amarillo </t>
  </si>
  <si>
    <t>Oxido de hierro rojo</t>
  </si>
  <si>
    <t>Oxido de hierro negro</t>
  </si>
  <si>
    <t>CREMA  HONGOS CON TERBINAFINA AL 4%</t>
  </si>
  <si>
    <t xml:space="preserve">Ac. Es. Arbol del te </t>
  </si>
  <si>
    <t xml:space="preserve">CREMA PARA VERRUGA </t>
  </si>
  <si>
    <t>Acido salicilico</t>
  </si>
  <si>
    <t xml:space="preserve">CREMA REDUCTORA DE CINTURA </t>
  </si>
  <si>
    <t>Mentol en cristal</t>
  </si>
  <si>
    <t>Capsaicina</t>
  </si>
  <si>
    <t>CREMA PARA CRECIMIENTO DE CABELLO</t>
  </si>
  <si>
    <t>Extracto de ortiga</t>
  </si>
  <si>
    <t xml:space="preserve">CREMA CAPILAR REPARADORA CON QUERATINA Y COLAGENO </t>
  </si>
  <si>
    <t>Queratina hidrolizada</t>
  </si>
  <si>
    <t>Colageno hidrolizada</t>
  </si>
  <si>
    <t xml:space="preserve">CREMA PARA CRECIMIENTO DE CABELLO CON MINOXIDIL </t>
  </si>
  <si>
    <t>Silicona 1000</t>
  </si>
  <si>
    <t xml:space="preserve">BALSAMO PARA ARRUGAS MASCULINO </t>
  </si>
  <si>
    <t>Colageno hidrolizado</t>
  </si>
  <si>
    <t xml:space="preserve">CREMA CORRECTORA LABIAL </t>
  </si>
  <si>
    <t>Extracto de avena</t>
  </si>
  <si>
    <t>CREMA DOLOR MUSCULAR CON CURCUMA</t>
  </si>
  <si>
    <t xml:space="preserve">CERA GOOD EVIL - ALFALION </t>
  </si>
  <si>
    <t>PRECIO INSUMO                        1 LITRO</t>
  </si>
  <si>
    <t>Cera de abeja virgen</t>
  </si>
  <si>
    <t>BALSAMO CICATRIZANTE</t>
  </si>
  <si>
    <t xml:space="preserve">Cera Carnauba </t>
  </si>
  <si>
    <t>Manteca karite</t>
  </si>
  <si>
    <t xml:space="preserve">BALSAMO CURATIVO PARA MASCOTAS </t>
  </si>
  <si>
    <t xml:space="preserve">Parafina liquida </t>
  </si>
  <si>
    <t xml:space="preserve">Vaselina solida </t>
  </si>
  <si>
    <t xml:space="preserve">ACEITE PARA CABELLO </t>
  </si>
  <si>
    <r>
      <rPr>
        <b/>
        <sz val="12"/>
        <color theme="1"/>
        <rFont val="Calibri"/>
        <family val="2"/>
      </rPr>
      <t>PRECI</t>
    </r>
    <r>
      <rPr>
        <b/>
        <sz val="12"/>
        <color theme="1"/>
        <rFont val="Calibri"/>
        <family val="2"/>
      </rPr>
      <t>O PARA  1 LIT</t>
    </r>
    <r>
      <rPr>
        <b/>
        <sz val="12"/>
        <color theme="1"/>
        <rFont val="Calibri"/>
        <family val="2"/>
      </rPr>
      <t>RO</t>
    </r>
  </si>
  <si>
    <t>Fragancia Tea Tree</t>
  </si>
  <si>
    <t xml:space="preserve">Aceite Esencial de romero </t>
  </si>
  <si>
    <t>ACEITE CORPORAL REAFIRMANTE</t>
  </si>
  <si>
    <t>Aceite de Jojoba</t>
  </si>
  <si>
    <t xml:space="preserve">RENOVADOR DE MADERA </t>
  </si>
  <si>
    <t xml:space="preserve">EXTRACTO PERFUMADOR DE CABELLO OLEOSO </t>
  </si>
  <si>
    <t>TONICO PREMIUN TRATAMIENTO DE UÑA</t>
  </si>
  <si>
    <t xml:space="preserve">Propianato de sodio </t>
  </si>
  <si>
    <t xml:space="preserve">Acido Undecileico </t>
  </si>
  <si>
    <t xml:space="preserve">Acido Borico </t>
  </si>
  <si>
    <t xml:space="preserve">Acido Benzoico </t>
  </si>
  <si>
    <t xml:space="preserve">JABON LIQUIDO ANTIBACTERIAL </t>
  </si>
  <si>
    <t>Edta Tetrasodico</t>
  </si>
  <si>
    <t>Coperland</t>
  </si>
  <si>
    <t>CERA LIQUIDA SELLADOR HIDROFOBICO DE PINTURA DE AUTOS</t>
  </si>
  <si>
    <t xml:space="preserve">Base de glicerina </t>
  </si>
  <si>
    <t xml:space="preserve">Piritionato de zinc </t>
  </si>
  <si>
    <t>EDTA tetrasodico</t>
  </si>
  <si>
    <t>Alcohol Isopropilico</t>
  </si>
  <si>
    <t>JABON ANTIBACTERIAL EN BARRA</t>
  </si>
  <si>
    <t>SPRAY REGENERADOR PARA CICATRICES</t>
  </si>
  <si>
    <t>D- pantenol</t>
  </si>
  <si>
    <t>Extracto de centella asiatica</t>
  </si>
  <si>
    <t>C.S.</t>
  </si>
  <si>
    <t>SPRAY DOLORES MUSCULARES</t>
  </si>
  <si>
    <t>SPRAY DE HEMORROIDES</t>
  </si>
  <si>
    <t>Extracto de calendula</t>
  </si>
  <si>
    <t>Cloruro de benzalconio</t>
  </si>
  <si>
    <t xml:space="preserve">PERFUME ECONOMICO </t>
  </si>
  <si>
    <t>Alcohol Laurico Etoxilado</t>
  </si>
  <si>
    <t>Gluconato de Clorhexidina</t>
  </si>
  <si>
    <t>Extracto de Calendula</t>
  </si>
  <si>
    <t xml:space="preserve">PET SKIN SOOTHING SPRAY </t>
  </si>
  <si>
    <t>SPRAY TERBINAFINA 8%</t>
  </si>
  <si>
    <t>SELLADOR NANOCERAMICO</t>
  </si>
  <si>
    <t>Peroxido de Hidrogeno</t>
  </si>
  <si>
    <t xml:space="preserve">SPRAY DE OIDOS - TRINNIDROP </t>
  </si>
  <si>
    <t>RETARDANTE LIQUIDO 10% OPTIMIZADO</t>
  </si>
  <si>
    <t>Tetracaina</t>
  </si>
  <si>
    <t xml:space="preserve">DESENGRASANTE </t>
  </si>
  <si>
    <t>SPRAY DE MAGNESIO</t>
  </si>
  <si>
    <t>Cloruro de mangnesio</t>
  </si>
  <si>
    <t>Agua desionixada</t>
  </si>
  <si>
    <t>SPRAY ALIVIO PARA PSORIASIS</t>
  </si>
  <si>
    <t xml:space="preserve">DESODORANTE DE ADULTOS </t>
  </si>
  <si>
    <t xml:space="preserve">Clorhidrato de Aluminio </t>
  </si>
  <si>
    <t>Polisorbato 20 para la fragancia</t>
  </si>
  <si>
    <t xml:space="preserve">DESODORANTE DE NIÑOS </t>
  </si>
  <si>
    <t>DIAMANTEX</t>
  </si>
  <si>
    <t>SPRAY EXFOLIANTE</t>
  </si>
  <si>
    <t>ELHOE  0.03%</t>
  </si>
  <si>
    <t>Alcohol Extra neutro</t>
  </si>
  <si>
    <t>RETARDANTE LIQUIDO NORMAL</t>
  </si>
  <si>
    <t xml:space="preserve">SPRAY ANTIPARASITO PARA PERROS </t>
  </si>
  <si>
    <t xml:space="preserve">Vinagre de manzana </t>
  </si>
  <si>
    <t xml:space="preserve">Aceite de Neem </t>
  </si>
  <si>
    <t xml:space="preserve">Aceite esencial de Lavanda </t>
  </si>
  <si>
    <t xml:space="preserve">Aceite esencial de Eucalipto </t>
  </si>
  <si>
    <t xml:space="preserve">Aceite esencial de Citronella </t>
  </si>
  <si>
    <t>CHAMPU DE JENGIBRE, CANELA, CLAVO DE OLOR Y CEBOLLA</t>
  </si>
  <si>
    <t>Extracto de Romero</t>
  </si>
  <si>
    <t xml:space="preserve">SPRAY CAPILAR ANTI FRIZZ Y BRILLO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</si>
</sst>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S/&quot;\ * #,##0.00_-;\-&quot;S/&quot;\ * #,##0.00_-;_-&quot;S/&quot;\ * &quot;-&quot;??_-;_-@_-"/>
    <numFmt numFmtId="164" formatCode="_-[$S/-280A]* #,##0.00_-;\-[$S/-280A]* #,##0.00_-;_-[$S/-280A]* &quot;-&quot;??_-;_-@_-"/>
    <numFmt numFmtId="165" formatCode="0.0"/>
    <numFmt numFmtId="166" formatCode="_-[$S/-280A]\ * #,##0.00_-;\-[$S/-280A]\ * #,##0.00_-;_-[$S/-280A]\ * &quot;-&quot;??_-;_-@_-"/>
    <numFmt numFmtId="167" formatCode="_-[$S/-280A]* #,##0_-;\-[$S/-280A]* #,##0_-;_-[$S/-280A]* &quot;-&quot;??_-;_-@_-"/>
    <numFmt numFmtId="168" formatCode="_-[$S/-280A]* #,##0.00_-;\-[$S/-280A]* #,##0.00_-;_-[$S/-280A]* &quot;-&quot;??_-;_-@"/>
    <numFmt numFmtId="169" formatCode="_-&quot;S/&quot;\ * #,##0.00_-;\-&quot;S/&quot;\ * #,##0.00_-;_-&quot;S/&quot;\ * &quot;-&quot;??_-;_-@"/>
    <numFmt numFmtId="170" formatCode="_-[$S/-280A]\ * #,##0.00_-;\-[$S/-280A]\ * #,##0.00_-;_-[$S/-280A]\ * &quot;-&quot;??_-;_-@"/>
    <numFmt numFmtId="171" formatCode="_-[$S/-280A]* #,##0_-;\-[$S/-280A]* #,##0_-;_-[$S/-280A]* &quot;-&quot;??_-;_-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36"/>
      <color theme="0"/>
      <name val="Amasis MT Pro Black"/>
      <family val="1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36"/>
      <color theme="1"/>
      <name val="Amasis MT Pro Black"/>
      <family val="1"/>
    </font>
    <font>
      <b/>
      <sz val="48"/>
      <color theme="0"/>
      <name val="Amasis MT Pro Black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theme="1"/>
      <name val="Cambria"/>
      <family val="1"/>
    </font>
    <font>
      <b/>
      <sz val="18"/>
      <color theme="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24"/>
      <color theme="1"/>
      <name val="Calibri"/>
      <family val="2"/>
    </font>
    <font>
      <sz val="12"/>
      <color theme="1"/>
      <name val="Calibri"/>
      <family val="2"/>
    </font>
    <font>
      <b/>
      <sz val="18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FF0000"/>
      </left>
      <right style="thin">
        <color rgb="FFEE0000"/>
      </right>
      <top style="thin">
        <color rgb="FFFF0000"/>
      </top>
      <bottom style="thin">
        <color rgb="FFEE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EE0000"/>
      </left>
      <right style="thin">
        <color rgb="FFEE0000"/>
      </right>
      <top style="thin">
        <color rgb="FFEE0000"/>
      </top>
      <bottom style="thin">
        <color rgb="FFEE0000"/>
      </bottom>
      <diagonal/>
    </border>
    <border>
      <left style="thin">
        <color rgb="FFEE0000"/>
      </left>
      <right style="thin">
        <color rgb="FFEE0000"/>
      </right>
      <top style="thin">
        <color rgb="FFEE0000"/>
      </top>
      <bottom style="thin">
        <color rgb="FFFF0000"/>
      </bottom>
      <diagonal/>
    </border>
    <border>
      <left style="thin">
        <color rgb="FFEE0000"/>
      </left>
      <right style="thin">
        <color rgb="FFEE0000"/>
      </right>
      <top style="thin">
        <color rgb="FFEE0000"/>
      </top>
      <bottom/>
      <diagonal/>
    </border>
    <border>
      <left style="thin">
        <color rgb="FFEE0000"/>
      </left>
      <right style="thin">
        <color rgb="FFEE0000"/>
      </right>
      <top/>
      <bottom/>
      <diagonal/>
    </border>
    <border>
      <left style="thin">
        <color rgb="FFEE0000"/>
      </left>
      <right style="thin">
        <color rgb="FFEE0000"/>
      </right>
      <top/>
      <bottom style="thin">
        <color rgb="FFEE0000"/>
      </bottom>
      <diagonal/>
    </border>
    <border>
      <left/>
      <right style="thin">
        <color theme="1"/>
      </right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/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indexed="64"/>
      </bottom>
      <diagonal/>
    </border>
    <border>
      <left style="thin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70C0"/>
      </right>
      <top style="thin">
        <color indexed="64"/>
      </top>
      <bottom/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EE0000"/>
      </bottom>
      <diagonal/>
    </border>
    <border>
      <left/>
      <right style="thin">
        <color indexed="64"/>
      </right>
      <top style="thin">
        <color rgb="FFEE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indexed="64"/>
      </right>
      <top style="thin">
        <color rgb="FFEE0000"/>
      </top>
      <bottom/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rgb="FFFF0000"/>
      </left>
      <right style="thin">
        <color indexed="64"/>
      </right>
      <top/>
      <bottom style="thin">
        <color rgb="FFFF0000"/>
      </bottom>
      <diagonal/>
    </border>
    <border>
      <left style="thin">
        <color rgb="FFEE0000"/>
      </left>
      <right/>
      <top style="thin">
        <color rgb="FFEE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5" xfId="0" applyBorder="1"/>
    <xf numFmtId="1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0" fontId="0" fillId="0" borderId="3" xfId="0" applyBorder="1"/>
    <xf numFmtId="165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5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5" xfId="0" applyNumberFormat="1" applyFill="1" applyBorder="1"/>
    <xf numFmtId="44" fontId="0" fillId="5" borderId="5" xfId="1" applyFont="1" applyFill="1" applyBorder="1"/>
    <xf numFmtId="0" fontId="0" fillId="0" borderId="0" xfId="0" applyAlignment="1">
      <alignment horizontal="left" vertical="center"/>
    </xf>
    <xf numFmtId="1" fontId="0" fillId="5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6" xfId="0" applyNumberFormat="1" applyFill="1" applyBorder="1"/>
    <xf numFmtId="44" fontId="0" fillId="5" borderId="6" xfId="1" applyFont="1" applyFill="1" applyBorder="1"/>
    <xf numFmtId="0" fontId="5" fillId="0" borderId="5" xfId="0" applyFont="1" applyBorder="1" applyAlignment="1">
      <alignment vertical="center"/>
    </xf>
    <xf numFmtId="1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5" fillId="0" borderId="0" xfId="0" applyFont="1" applyAlignment="1">
      <alignment vertical="center"/>
    </xf>
    <xf numFmtId="0" fontId="0" fillId="0" borderId="8" xfId="0" applyBorder="1"/>
    <xf numFmtId="0" fontId="5" fillId="0" borderId="3" xfId="0" applyFont="1" applyBorder="1" applyAlignment="1">
      <alignment vertical="center"/>
    </xf>
    <xf numFmtId="0" fontId="0" fillId="0" borderId="9" xfId="0" applyBorder="1"/>
    <xf numFmtId="0" fontId="0" fillId="0" borderId="15" xfId="0" applyBorder="1"/>
    <xf numFmtId="165" fontId="0" fillId="0" borderId="4" xfId="0" applyNumberFormat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5" borderId="5" xfId="0" applyNumberFormat="1" applyFill="1" applyBorder="1"/>
    <xf numFmtId="0" fontId="9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44" fontId="1" fillId="0" borderId="17" xfId="1" applyFont="1" applyBorder="1"/>
    <xf numFmtId="0" fontId="4" fillId="0" borderId="7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center" wrapText="1"/>
    </xf>
    <xf numFmtId="44" fontId="1" fillId="0" borderId="18" xfId="1" applyFont="1" applyBorder="1"/>
    <xf numFmtId="0" fontId="0" fillId="0" borderId="19" xfId="0" applyBorder="1"/>
    <xf numFmtId="1" fontId="0" fillId="5" borderId="17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0" fillId="5" borderId="20" xfId="0" applyNumberFormat="1" applyFill="1" applyBorder="1"/>
    <xf numFmtId="44" fontId="1" fillId="5" borderId="5" xfId="1" applyFont="1" applyFill="1" applyBorder="1"/>
    <xf numFmtId="44" fontId="0" fillId="0" borderId="5" xfId="1" applyFont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5" borderId="5" xfId="1" applyFont="1" applyFill="1" applyBorder="1" applyAlignment="1">
      <alignment horizontal="center" vertical="center"/>
    </xf>
    <xf numFmtId="44" fontId="0" fillId="0" borderId="5" xfId="1" applyFont="1" applyBorder="1"/>
    <xf numFmtId="0" fontId="8" fillId="0" borderId="0" xfId="0" applyFont="1" applyAlignment="1">
      <alignment horizontal="center"/>
    </xf>
    <xf numFmtId="44" fontId="0" fillId="0" borderId="5" xfId="1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44" fontId="0" fillId="0" borderId="4" xfId="1" applyFont="1" applyBorder="1" applyAlignment="1">
      <alignment horizontal="center"/>
    </xf>
    <xf numFmtId="1" fontId="0" fillId="5" borderId="5" xfId="1" applyNumberFormat="1" applyFont="1" applyFill="1" applyBorder="1" applyAlignment="1">
      <alignment horizontal="center"/>
    </xf>
    <xf numFmtId="0" fontId="5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6" fillId="0" borderId="0" xfId="0" applyFont="1" applyAlignment="1">
      <alignment vertical="center"/>
    </xf>
    <xf numFmtId="0" fontId="0" fillId="0" borderId="21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6" fillId="0" borderId="32" xfId="0" applyFont="1" applyBorder="1" applyAlignment="1">
      <alignment vertical="center"/>
    </xf>
    <xf numFmtId="0" fontId="0" fillId="5" borderId="5" xfId="1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9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Border="1" applyAlignment="1">
      <alignment vertic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33" xfId="0" applyBorder="1"/>
    <xf numFmtId="1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0" fontId="0" fillId="0" borderId="35" xfId="0" applyBorder="1"/>
    <xf numFmtId="1" fontId="0" fillId="0" borderId="35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164" fontId="0" fillId="4" borderId="35" xfId="0" applyNumberFormat="1" applyFill="1" applyBorder="1" applyAlignment="1">
      <alignment horizontal="center"/>
    </xf>
    <xf numFmtId="0" fontId="0" fillId="0" borderId="36" xfId="0" applyBorder="1"/>
    <xf numFmtId="0" fontId="0" fillId="0" borderId="38" xfId="0" applyBorder="1"/>
    <xf numFmtId="0" fontId="0" fillId="0" borderId="40" xfId="0" applyBorder="1"/>
    <xf numFmtId="1" fontId="0" fillId="0" borderId="40" xfId="0" applyNumberFormat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164" fontId="0" fillId="4" borderId="40" xfId="0" applyNumberFormat="1" applyFill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0" fontId="0" fillId="0" borderId="41" xfId="0" applyBorder="1"/>
    <xf numFmtId="0" fontId="0" fillId="0" borderId="43" xfId="0" applyBorder="1"/>
    <xf numFmtId="165" fontId="0" fillId="0" borderId="43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0" fontId="0" fillId="0" borderId="44" xfId="0" applyBorder="1"/>
    <xf numFmtId="0" fontId="0" fillId="0" borderId="46" xfId="0" applyBorder="1"/>
    <xf numFmtId="0" fontId="0" fillId="0" borderId="48" xfId="0" applyBorder="1"/>
    <xf numFmtId="1" fontId="0" fillId="0" borderId="48" xfId="0" applyNumberFormat="1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164" fontId="0" fillId="4" borderId="48" xfId="0" applyNumberFormat="1" applyFill="1" applyBorder="1" applyAlignment="1">
      <alignment horizontal="center"/>
    </xf>
    <xf numFmtId="164" fontId="0" fillId="0" borderId="48" xfId="0" applyNumberFormat="1" applyBorder="1" applyAlignment="1">
      <alignment horizontal="center"/>
    </xf>
    <xf numFmtId="0" fontId="0" fillId="0" borderId="49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2" fontId="0" fillId="0" borderId="5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6" xfId="1" applyNumberFormat="1" applyFont="1" applyFill="1" applyBorder="1"/>
    <xf numFmtId="44" fontId="0" fillId="5" borderId="0" xfId="1" applyFont="1" applyFill="1" applyBorder="1"/>
    <xf numFmtId="0" fontId="0" fillId="0" borderId="7" xfId="0" applyBorder="1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44" fontId="0" fillId="0" borderId="0" xfId="1" applyFont="1" applyFill="1" applyBorder="1"/>
    <xf numFmtId="44" fontId="1" fillId="0" borderId="56" xfId="1" applyFont="1" applyBorder="1"/>
    <xf numFmtId="165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60" xfId="0" applyBorder="1"/>
    <xf numFmtId="0" fontId="0" fillId="0" borderId="6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6" xfId="1" applyNumberFormat="1" applyFont="1" applyFill="1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5" borderId="56" xfId="0" applyNumberForma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64" fontId="0" fillId="5" borderId="56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/>
    </xf>
    <xf numFmtId="1" fontId="0" fillId="5" borderId="6" xfId="1" applyNumberFormat="1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16" fillId="0" borderId="0" xfId="0" applyFont="1"/>
    <xf numFmtId="0" fontId="16" fillId="0" borderId="1" xfId="0" applyFont="1" applyBorder="1"/>
    <xf numFmtId="2" fontId="0" fillId="5" borderId="5" xfId="1" applyNumberFormat="1" applyFont="1" applyFill="1" applyBorder="1" applyAlignment="1">
      <alignment horizontal="center"/>
    </xf>
    <xf numFmtId="165" fontId="0" fillId="0" borderId="0" xfId="0" applyNumberFormat="1"/>
    <xf numFmtId="0" fontId="0" fillId="5" borderId="5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 vertical="center"/>
    </xf>
    <xf numFmtId="0" fontId="9" fillId="5" borderId="5" xfId="1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1" applyNumberFormat="1" applyFont="1" applyFill="1" applyBorder="1" applyAlignment="1">
      <alignment horizontal="center" wrapText="1"/>
    </xf>
    <xf numFmtId="0" fontId="0" fillId="0" borderId="7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wrapText="1"/>
    </xf>
    <xf numFmtId="0" fontId="8" fillId="0" borderId="45" xfId="0" applyFont="1" applyBorder="1" applyAlignment="1">
      <alignment horizontal="center" wrapText="1"/>
    </xf>
    <xf numFmtId="0" fontId="8" fillId="0" borderId="51" xfId="0" applyFont="1" applyBorder="1" applyAlignment="1">
      <alignment horizont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6" fillId="0" borderId="6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7" fillId="7" borderId="68" xfId="0" applyFont="1" applyFill="1" applyBorder="1" applyAlignment="1">
      <alignment horizontal="center"/>
    </xf>
    <xf numFmtId="0" fontId="18" fillId="0" borderId="69" xfId="0" applyFont="1" applyBorder="1"/>
    <xf numFmtId="0" fontId="18" fillId="0" borderId="70" xfId="0" applyFont="1" applyBorder="1"/>
    <xf numFmtId="0" fontId="3" fillId="7" borderId="0" xfId="0" applyFont="1" applyFill="1" applyAlignment="1">
      <alignment horizontal="center" vertical="center"/>
    </xf>
    <xf numFmtId="0" fontId="19" fillId="8" borderId="71" xfId="0" applyFont="1" applyFill="1" applyBorder="1" applyAlignment="1">
      <alignment horizontal="center" vertical="center"/>
    </xf>
    <xf numFmtId="0" fontId="19" fillId="8" borderId="71" xfId="0" applyFont="1" applyFill="1" applyBorder="1" applyAlignment="1">
      <alignment horizontal="center" vertical="center" wrapText="1"/>
    </xf>
    <xf numFmtId="0" fontId="19" fillId="8" borderId="72" xfId="0" applyFont="1" applyFill="1" applyBorder="1" applyAlignment="1">
      <alignment horizontal="center" vertical="center" wrapText="1"/>
    </xf>
    <xf numFmtId="0" fontId="20" fillId="0" borderId="72" xfId="0" applyFont="1" applyBorder="1"/>
    <xf numFmtId="1" fontId="20" fillId="0" borderId="72" xfId="0" applyNumberFormat="1" applyFont="1" applyBorder="1" applyAlignment="1">
      <alignment horizontal="center"/>
    </xf>
    <xf numFmtId="165" fontId="20" fillId="0" borderId="72" xfId="0" applyNumberFormat="1" applyFont="1" applyBorder="1" applyAlignment="1">
      <alignment horizontal="center"/>
    </xf>
    <xf numFmtId="168" fontId="20" fillId="9" borderId="72" xfId="0" applyNumberFormat="1" applyFont="1" applyFill="1" applyBorder="1" applyAlignment="1">
      <alignment horizontal="center"/>
    </xf>
    <xf numFmtId="0" fontId="20" fillId="0" borderId="70" xfId="0" applyFont="1" applyBorder="1"/>
    <xf numFmtId="0" fontId="21" fillId="0" borderId="72" xfId="0" applyFont="1" applyBorder="1" applyAlignment="1">
      <alignment vertical="center"/>
    </xf>
    <xf numFmtId="1" fontId="20" fillId="0" borderId="71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1" fontId="20" fillId="10" borderId="72" xfId="0" applyNumberFormat="1" applyFont="1" applyFill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168" fontId="20" fillId="10" borderId="72" xfId="0" applyNumberFormat="1" applyFont="1" applyFill="1" applyBorder="1" applyAlignment="1">
      <alignment horizontal="center" vertical="center"/>
    </xf>
    <xf numFmtId="1" fontId="20" fillId="10" borderId="72" xfId="0" applyNumberFormat="1" applyFont="1" applyFill="1" applyBorder="1" applyAlignment="1">
      <alignment horizontal="center"/>
    </xf>
    <xf numFmtId="169" fontId="20" fillId="10" borderId="72" xfId="0" applyNumberFormat="1" applyFont="1" applyFill="1" applyBorder="1"/>
    <xf numFmtId="0" fontId="20" fillId="0" borderId="73" xfId="0" applyFont="1" applyBorder="1"/>
    <xf numFmtId="165" fontId="20" fillId="0" borderId="71" xfId="0" applyNumberFormat="1" applyFont="1" applyBorder="1" applyAlignment="1">
      <alignment horizontal="center"/>
    </xf>
    <xf numFmtId="0" fontId="20" fillId="10" borderId="72" xfId="0" applyFont="1" applyFill="1" applyBorder="1" applyAlignment="1">
      <alignment horizontal="center"/>
    </xf>
    <xf numFmtId="1" fontId="20" fillId="0" borderId="72" xfId="0" applyNumberFormat="1" applyFont="1" applyBorder="1" applyAlignment="1">
      <alignment horizontal="center" vertical="center"/>
    </xf>
    <xf numFmtId="168" fontId="20" fillId="0" borderId="72" xfId="0" applyNumberFormat="1" applyFont="1" applyBorder="1" applyAlignment="1">
      <alignment horizontal="center" vertical="center"/>
    </xf>
    <xf numFmtId="0" fontId="22" fillId="0" borderId="0" xfId="0" applyFont="1"/>
    <xf numFmtId="0" fontId="20" fillId="0" borderId="72" xfId="0" applyFont="1" applyBorder="1" applyAlignment="1">
      <alignment vertical="center"/>
    </xf>
    <xf numFmtId="168" fontId="20" fillId="9" borderId="7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0" fillId="0" borderId="72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71" xfId="0" applyFont="1" applyBorder="1"/>
    <xf numFmtId="1" fontId="20" fillId="10" borderId="74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168" fontId="20" fillId="10" borderId="74" xfId="0" applyNumberFormat="1" applyFont="1" applyFill="1" applyBorder="1" applyAlignment="1">
      <alignment horizontal="center" vertical="center"/>
    </xf>
    <xf numFmtId="168" fontId="20" fillId="10" borderId="74" xfId="0" applyNumberFormat="1" applyFont="1" applyFill="1" applyBorder="1"/>
    <xf numFmtId="169" fontId="20" fillId="10" borderId="74" xfId="0" applyNumberFormat="1" applyFont="1" applyFill="1" applyBorder="1"/>
    <xf numFmtId="1" fontId="20" fillId="10" borderId="74" xfId="0" applyNumberFormat="1" applyFont="1" applyFill="1" applyBorder="1" applyAlignment="1">
      <alignment horizontal="center"/>
    </xf>
    <xf numFmtId="165" fontId="20" fillId="0" borderId="74" xfId="0" applyNumberFormat="1" applyFont="1" applyBorder="1" applyAlignment="1">
      <alignment horizontal="center"/>
    </xf>
    <xf numFmtId="0" fontId="21" fillId="0" borderId="71" xfId="0" applyFont="1" applyBorder="1" applyAlignment="1">
      <alignment vertical="center"/>
    </xf>
    <xf numFmtId="168" fontId="20" fillId="9" borderId="74" xfId="0" applyNumberFormat="1" applyFont="1" applyFill="1" applyBorder="1" applyAlignment="1">
      <alignment horizontal="center"/>
    </xf>
    <xf numFmtId="1" fontId="20" fillId="0" borderId="74" xfId="0" applyNumberFormat="1" applyFont="1" applyBorder="1" applyAlignment="1">
      <alignment horizontal="center"/>
    </xf>
    <xf numFmtId="0" fontId="20" fillId="0" borderId="75" xfId="0" applyFont="1" applyBorder="1"/>
    <xf numFmtId="0" fontId="21" fillId="0" borderId="5" xfId="0" applyFont="1" applyBorder="1" applyAlignment="1">
      <alignment vertical="center"/>
    </xf>
    <xf numFmtId="165" fontId="20" fillId="0" borderId="5" xfId="0" applyNumberFormat="1" applyFont="1" applyBorder="1" applyAlignment="1">
      <alignment horizontal="center"/>
    </xf>
    <xf numFmtId="0" fontId="24" fillId="7" borderId="68" xfId="0" applyFont="1" applyFill="1" applyBorder="1" applyAlignment="1">
      <alignment horizontal="center"/>
    </xf>
    <xf numFmtId="1" fontId="20" fillId="0" borderId="70" xfId="0" applyNumberFormat="1" applyFont="1" applyBorder="1" applyAlignment="1">
      <alignment horizontal="center"/>
    </xf>
    <xf numFmtId="2" fontId="20" fillId="0" borderId="72" xfId="0" applyNumberFormat="1" applyFont="1" applyBorder="1" applyAlignment="1">
      <alignment horizontal="center"/>
    </xf>
    <xf numFmtId="0" fontId="17" fillId="7" borderId="76" xfId="0" applyFont="1" applyFill="1" applyBorder="1" applyAlignment="1">
      <alignment horizontal="center"/>
    </xf>
    <xf numFmtId="0" fontId="18" fillId="0" borderId="77" xfId="0" applyFont="1" applyBorder="1"/>
    <xf numFmtId="169" fontId="20" fillId="0" borderId="72" xfId="0" applyNumberFormat="1" applyFont="1" applyBorder="1" applyAlignment="1">
      <alignment horizontal="center"/>
    </xf>
    <xf numFmtId="169" fontId="20" fillId="0" borderId="71" xfId="0" applyNumberFormat="1" applyFont="1" applyBorder="1" applyAlignment="1">
      <alignment horizontal="center"/>
    </xf>
    <xf numFmtId="0" fontId="19" fillId="8" borderId="72" xfId="0" applyFont="1" applyFill="1" applyBorder="1" applyAlignment="1">
      <alignment horizontal="center" vertical="center"/>
    </xf>
    <xf numFmtId="0" fontId="20" fillId="0" borderId="72" xfId="0" applyFont="1" applyBorder="1" applyAlignment="1">
      <alignment horizontal="center"/>
    </xf>
    <xf numFmtId="170" fontId="20" fillId="0" borderId="72" xfId="0" applyNumberFormat="1" applyFont="1" applyBorder="1" applyAlignment="1">
      <alignment horizontal="center"/>
    </xf>
    <xf numFmtId="171" fontId="20" fillId="0" borderId="72" xfId="0" applyNumberFormat="1" applyFont="1" applyBorder="1" applyAlignment="1">
      <alignment horizontal="center"/>
    </xf>
    <xf numFmtId="171" fontId="20" fillId="10" borderId="72" xfId="0" applyNumberFormat="1" applyFont="1" applyFill="1" applyBorder="1"/>
    <xf numFmtId="170" fontId="20" fillId="0" borderId="72" xfId="0" applyNumberFormat="1" applyFont="1" applyBorder="1" applyAlignment="1">
      <alignment horizontal="center" vertical="center"/>
    </xf>
    <xf numFmtId="165" fontId="20" fillId="0" borderId="7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73" xfId="0" applyFont="1" applyBorder="1" applyAlignment="1">
      <alignment vertical="center"/>
    </xf>
    <xf numFmtId="170" fontId="20" fillId="0" borderId="70" xfId="0" applyNumberFormat="1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20" fillId="0" borderId="71" xfId="0" applyFont="1" applyBorder="1" applyAlignment="1">
      <alignment vertical="center"/>
    </xf>
    <xf numFmtId="165" fontId="20" fillId="0" borderId="71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165" fontId="20" fillId="0" borderId="5" xfId="0" applyNumberFormat="1" applyFont="1" applyBorder="1" applyAlignment="1">
      <alignment horizontal="center" vertical="center"/>
    </xf>
    <xf numFmtId="0" fontId="19" fillId="0" borderId="72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1" fontId="20" fillId="10" borderId="73" xfId="0" applyNumberFormat="1" applyFont="1" applyFill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168" fontId="20" fillId="10" borderId="73" xfId="0" applyNumberFormat="1" applyFont="1" applyFill="1" applyBorder="1" applyAlignment="1">
      <alignment horizontal="center" vertical="center"/>
    </xf>
    <xf numFmtId="1" fontId="20" fillId="10" borderId="73" xfId="0" applyNumberFormat="1" applyFont="1" applyFill="1" applyBorder="1" applyAlignment="1">
      <alignment horizontal="center"/>
    </xf>
    <xf numFmtId="0" fontId="20" fillId="0" borderId="68" xfId="0" applyFont="1" applyBorder="1" applyAlignment="1">
      <alignment horizontal="center"/>
    </xf>
    <xf numFmtId="1" fontId="20" fillId="11" borderId="74" xfId="0" applyNumberFormat="1" applyFont="1" applyFill="1" applyBorder="1" applyAlignment="1">
      <alignment horizontal="center" vertical="center"/>
    </xf>
    <xf numFmtId="0" fontId="20" fillId="11" borderId="74" xfId="0" applyFont="1" applyFill="1" applyBorder="1" applyAlignment="1">
      <alignment horizontal="center" vertical="center"/>
    </xf>
    <xf numFmtId="168" fontId="20" fillId="11" borderId="74" xfId="0" applyNumberFormat="1" applyFont="1" applyFill="1" applyBorder="1" applyAlignment="1">
      <alignment horizontal="center" vertical="center"/>
    </xf>
    <xf numFmtId="0" fontId="20" fillId="11" borderId="74" xfId="0" applyFont="1" applyFill="1" applyBorder="1" applyAlignment="1">
      <alignment horizontal="center"/>
    </xf>
    <xf numFmtId="0" fontId="1" fillId="0" borderId="5" xfId="0" applyFont="1" applyBorder="1"/>
    <xf numFmtId="165" fontId="20" fillId="11" borderId="74" xfId="0" applyNumberFormat="1" applyFont="1" applyFill="1" applyBorder="1" applyAlignment="1">
      <alignment horizontal="center" vertical="center"/>
    </xf>
    <xf numFmtId="0" fontId="19" fillId="0" borderId="68" xfId="0" applyFont="1" applyBorder="1" applyAlignment="1">
      <alignment horizontal="left" vertical="top"/>
    </xf>
    <xf numFmtId="165" fontId="20" fillId="0" borderId="70" xfId="0" applyNumberFormat="1" applyFont="1" applyBorder="1" applyAlignment="1">
      <alignment horizontal="center"/>
    </xf>
    <xf numFmtId="1" fontId="20" fillId="0" borderId="73" xfId="0" applyNumberFormat="1" applyFont="1" applyBorder="1" applyAlignment="1">
      <alignment horizontal="center"/>
    </xf>
    <xf numFmtId="0" fontId="19" fillId="0" borderId="5" xfId="0" applyFont="1" applyBorder="1" applyAlignment="1">
      <alignment horizontal="left" vertical="top"/>
    </xf>
    <xf numFmtId="168" fontId="20" fillId="9" borderId="70" xfId="0" applyNumberFormat="1" applyFont="1" applyFill="1" applyBorder="1" applyAlignment="1">
      <alignment horizontal="center"/>
    </xf>
    <xf numFmtId="1" fontId="20" fillId="0" borderId="5" xfId="0" applyNumberFormat="1" applyFont="1" applyBorder="1" applyAlignment="1">
      <alignment horizontal="center"/>
    </xf>
    <xf numFmtId="0" fontId="20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8164</xdr:colOff>
      <xdr:row>95</xdr:row>
      <xdr:rowOff>0</xdr:rowOff>
    </xdr:from>
    <xdr:to>
      <xdr:col>2</xdr:col>
      <xdr:colOff>253093</xdr:colOff>
      <xdr:row>106</xdr:row>
      <xdr:rowOff>35379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CCD6E3E-87B2-4DDB-8D8D-C5438A0613D1}"/>
            </a:ext>
          </a:extLst>
        </xdr:cNvPr>
        <xdr:cNvSpPr/>
      </xdr:nvSpPr>
      <xdr:spPr>
        <a:xfrm>
          <a:off x="1532164" y="24392164"/>
          <a:ext cx="244929" cy="21227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 kern="1200"/>
        </a:p>
      </xdr:txBody>
    </xdr:sp>
    <xdr:clientData/>
  </xdr:twoCellAnchor>
  <xdr:twoCellAnchor>
    <xdr:from>
      <xdr:col>2</xdr:col>
      <xdr:colOff>533400</xdr:colOff>
      <xdr:row>95</xdr:row>
      <xdr:rowOff>0</xdr:rowOff>
    </xdr:from>
    <xdr:to>
      <xdr:col>3</xdr:col>
      <xdr:colOff>2723</xdr:colOff>
      <xdr:row>106</xdr:row>
      <xdr:rowOff>43545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5001355-3864-4C36-AB7E-FB0D6C0B8695}"/>
            </a:ext>
          </a:extLst>
        </xdr:cNvPr>
        <xdr:cNvSpPr/>
      </xdr:nvSpPr>
      <xdr:spPr>
        <a:xfrm>
          <a:off x="2057400" y="24400330"/>
          <a:ext cx="231323" cy="2122715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 kern="1200"/>
        </a:p>
      </xdr:txBody>
    </xdr:sp>
    <xdr:clientData/>
  </xdr:twoCellAnchor>
  <xdr:twoCellAnchor>
    <xdr:from>
      <xdr:col>2</xdr:col>
      <xdr:colOff>266700</xdr:colOff>
      <xdr:row>95</xdr:row>
      <xdr:rowOff>0</xdr:rowOff>
    </xdr:from>
    <xdr:to>
      <xdr:col>2</xdr:col>
      <xdr:colOff>506192</xdr:colOff>
      <xdr:row>106</xdr:row>
      <xdr:rowOff>40825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60989CF-103F-4C06-AFF9-B5B9F47E9388}"/>
            </a:ext>
          </a:extLst>
        </xdr:cNvPr>
        <xdr:cNvSpPr/>
      </xdr:nvSpPr>
      <xdr:spPr>
        <a:xfrm>
          <a:off x="1790700" y="24397610"/>
          <a:ext cx="239492" cy="2122715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C2DA-B574-450D-8F03-E6C0C26E5125}">
  <dimension ref="B3:K1323"/>
  <sheetViews>
    <sheetView topLeftCell="A1317" zoomScale="136" zoomScaleNormal="136" workbookViewId="0">
      <selection activeCell="B1337" sqref="B1337"/>
    </sheetView>
  </sheetViews>
  <sheetFormatPr baseColWidth="10" defaultRowHeight="14.4" x14ac:dyDescent="0.3"/>
  <cols>
    <col min="4" max="4" width="51.88671875" customWidth="1"/>
    <col min="5" max="5" width="13.109375" bestFit="1" customWidth="1"/>
    <col min="6" max="6" width="17.109375" bestFit="1" customWidth="1"/>
    <col min="7" max="7" width="17.44140625" customWidth="1"/>
  </cols>
  <sheetData>
    <row r="3" spans="3:7" ht="23.4" x14ac:dyDescent="0.45">
      <c r="D3" s="172" t="s">
        <v>348</v>
      </c>
      <c r="E3" s="173"/>
      <c r="F3" s="173"/>
      <c r="G3" s="174"/>
    </row>
    <row r="4" spans="3:7" ht="46.8" x14ac:dyDescent="0.3">
      <c r="C4" s="1">
        <v>1</v>
      </c>
      <c r="D4" s="2" t="s">
        <v>0</v>
      </c>
      <c r="E4" s="3" t="s">
        <v>1</v>
      </c>
      <c r="F4" s="3" t="s">
        <v>251</v>
      </c>
      <c r="G4" s="4"/>
    </row>
    <row r="5" spans="3:7" x14ac:dyDescent="0.3">
      <c r="C5">
        <v>1</v>
      </c>
      <c r="D5" s="5" t="s">
        <v>16</v>
      </c>
      <c r="E5" s="6">
        <v>911</v>
      </c>
      <c r="F5" s="6">
        <f>(E5*20)</f>
        <v>18220</v>
      </c>
      <c r="G5" s="10" t="s">
        <v>7</v>
      </c>
    </row>
    <row r="6" spans="3:7" x14ac:dyDescent="0.3">
      <c r="C6">
        <v>4</v>
      </c>
      <c r="D6" s="5" t="s">
        <v>17</v>
      </c>
      <c r="E6" s="6">
        <v>8</v>
      </c>
      <c r="F6" s="6">
        <f>(E6*20)</f>
        <v>160</v>
      </c>
      <c r="G6" s="10" t="s">
        <v>7</v>
      </c>
    </row>
    <row r="7" spans="3:7" x14ac:dyDescent="0.3">
      <c r="C7">
        <v>5</v>
      </c>
      <c r="D7" s="5" t="s">
        <v>18</v>
      </c>
      <c r="E7" s="6">
        <v>20</v>
      </c>
      <c r="F7" s="6">
        <f>(E7*20)</f>
        <v>400</v>
      </c>
      <c r="G7" s="10" t="s">
        <v>7</v>
      </c>
    </row>
    <row r="8" spans="3:7" x14ac:dyDescent="0.3">
      <c r="C8">
        <v>6</v>
      </c>
      <c r="D8" s="5" t="s">
        <v>19</v>
      </c>
      <c r="E8" s="6">
        <v>50</v>
      </c>
      <c r="F8" s="6">
        <f>(E8*20)</f>
        <v>1000</v>
      </c>
      <c r="G8" s="10" t="s">
        <v>7</v>
      </c>
    </row>
    <row r="9" spans="3:7" x14ac:dyDescent="0.3">
      <c r="C9">
        <v>5</v>
      </c>
      <c r="D9" s="5" t="s">
        <v>20</v>
      </c>
      <c r="E9" s="6">
        <v>8</v>
      </c>
      <c r="F9" s="6">
        <f>(E9*20)</f>
        <v>160</v>
      </c>
      <c r="G9" s="10" t="s">
        <v>7</v>
      </c>
    </row>
    <row r="10" spans="3:7" x14ac:dyDescent="0.3">
      <c r="C10">
        <v>2</v>
      </c>
      <c r="D10" s="5" t="s">
        <v>28</v>
      </c>
      <c r="E10" s="6">
        <v>1</v>
      </c>
      <c r="F10" s="6">
        <f>(E10*20)</f>
        <v>20</v>
      </c>
      <c r="G10" s="5" t="s">
        <v>7</v>
      </c>
    </row>
    <row r="11" spans="3:7" x14ac:dyDescent="0.3">
      <c r="C11">
        <v>3</v>
      </c>
      <c r="D11" s="5" t="s">
        <v>29</v>
      </c>
      <c r="E11" s="11">
        <v>0.5</v>
      </c>
      <c r="F11" s="6">
        <f>(E11*20)</f>
        <v>10</v>
      </c>
      <c r="G11" s="5"/>
    </row>
    <row r="12" spans="3:7" x14ac:dyDescent="0.3">
      <c r="C12" s="18">
        <v>8</v>
      </c>
      <c r="D12" s="5" t="s">
        <v>22</v>
      </c>
      <c r="E12" s="6">
        <v>1</v>
      </c>
      <c r="F12" s="6">
        <f>(E12*20)</f>
        <v>20</v>
      </c>
      <c r="G12" s="5" t="s">
        <v>7</v>
      </c>
    </row>
    <row r="13" spans="3:7" x14ac:dyDescent="0.3">
      <c r="E13" s="19">
        <f>SUM(E5:E12)</f>
        <v>999.5</v>
      </c>
      <c r="F13" s="19">
        <f>SUM(F5:F12)</f>
        <v>19990</v>
      </c>
      <c r="G13" s="23"/>
    </row>
    <row r="18" spans="2:7" ht="23.4" x14ac:dyDescent="0.45">
      <c r="D18" s="172" t="s">
        <v>23</v>
      </c>
      <c r="E18" s="173"/>
      <c r="F18" s="173"/>
      <c r="G18" s="174"/>
    </row>
    <row r="19" spans="2:7" ht="46.8" x14ac:dyDescent="0.3">
      <c r="C19" s="1">
        <v>2</v>
      </c>
      <c r="D19" s="2" t="s">
        <v>0</v>
      </c>
      <c r="E19" s="3" t="s">
        <v>1</v>
      </c>
      <c r="F19" s="3" t="s">
        <v>26</v>
      </c>
      <c r="G19" s="4"/>
    </row>
    <row r="20" spans="2:7" x14ac:dyDescent="0.3">
      <c r="B20" s="183" t="s">
        <v>37</v>
      </c>
      <c r="C20" s="31">
        <v>1</v>
      </c>
      <c r="D20" s="29" t="s">
        <v>27</v>
      </c>
      <c r="E20" s="6">
        <v>182.5</v>
      </c>
      <c r="F20" s="6">
        <f>(E20*12.5)</f>
        <v>2281.25</v>
      </c>
      <c r="G20" s="10" t="s">
        <v>7</v>
      </c>
    </row>
    <row r="21" spans="2:7" x14ac:dyDescent="0.3">
      <c r="B21" s="184"/>
      <c r="C21" s="31">
        <v>2</v>
      </c>
      <c r="D21" s="29" t="s">
        <v>28</v>
      </c>
      <c r="E21" s="6">
        <v>1</v>
      </c>
      <c r="F21" s="6">
        <f>(E21*12.5)</f>
        <v>12.5</v>
      </c>
      <c r="G21" s="10" t="s">
        <v>7</v>
      </c>
    </row>
    <row r="22" spans="2:7" x14ac:dyDescent="0.3">
      <c r="B22" s="184"/>
      <c r="C22" s="31">
        <v>3</v>
      </c>
      <c r="D22" s="29" t="s">
        <v>29</v>
      </c>
      <c r="E22" s="11">
        <v>0.5</v>
      </c>
      <c r="F22" s="6">
        <f>(E22*12.5)</f>
        <v>6.25</v>
      </c>
      <c r="G22" s="10" t="s">
        <v>7</v>
      </c>
    </row>
    <row r="23" spans="2:7" x14ac:dyDescent="0.3">
      <c r="B23" s="184"/>
      <c r="C23" s="31">
        <v>4</v>
      </c>
      <c r="D23" s="29" t="s">
        <v>30</v>
      </c>
      <c r="E23" s="6">
        <v>3</v>
      </c>
      <c r="F23" s="6">
        <f>(E23*12.5)</f>
        <v>37.5</v>
      </c>
      <c r="G23" s="10" t="s">
        <v>7</v>
      </c>
    </row>
    <row r="24" spans="2:7" x14ac:dyDescent="0.3">
      <c r="B24" s="185"/>
      <c r="C24" s="28">
        <v>5</v>
      </c>
      <c r="D24" s="24" t="s">
        <v>31</v>
      </c>
      <c r="E24" s="6">
        <v>100</v>
      </c>
      <c r="F24" s="6">
        <f>(E24*12.5)</f>
        <v>1250</v>
      </c>
      <c r="G24" s="10" t="s">
        <v>7</v>
      </c>
    </row>
    <row r="25" spans="2:7" x14ac:dyDescent="0.3">
      <c r="B25" s="30">
        <v>1</v>
      </c>
      <c r="C25" s="186" t="s">
        <v>38</v>
      </c>
      <c r="D25" s="29" t="s">
        <v>32</v>
      </c>
      <c r="E25" s="6">
        <v>696</v>
      </c>
      <c r="F25" s="6">
        <f>(E25*12.5)</f>
        <v>8700</v>
      </c>
      <c r="G25" s="10" t="s">
        <v>7</v>
      </c>
    </row>
    <row r="26" spans="2:7" x14ac:dyDescent="0.3">
      <c r="B26" s="30">
        <v>2</v>
      </c>
      <c r="C26" s="187"/>
      <c r="D26" s="29" t="s">
        <v>33</v>
      </c>
      <c r="E26" s="25">
        <v>5</v>
      </c>
      <c r="F26" s="6">
        <f>(E26*12.5)</f>
        <v>62.5</v>
      </c>
      <c r="G26" s="10" t="s">
        <v>7</v>
      </c>
    </row>
    <row r="27" spans="2:7" x14ac:dyDescent="0.3">
      <c r="B27" s="30">
        <v>3</v>
      </c>
      <c r="C27" s="187"/>
      <c r="D27" s="29" t="s">
        <v>34</v>
      </c>
      <c r="E27" s="25">
        <v>10</v>
      </c>
      <c r="F27" s="6">
        <f>(E27*12.5)</f>
        <v>125</v>
      </c>
      <c r="G27" s="10" t="s">
        <v>7</v>
      </c>
    </row>
    <row r="28" spans="2:7" x14ac:dyDescent="0.3">
      <c r="B28" s="30">
        <v>4</v>
      </c>
      <c r="C28" s="188"/>
      <c r="D28" s="29" t="s">
        <v>35</v>
      </c>
      <c r="E28" s="6">
        <v>1</v>
      </c>
      <c r="F28" s="6">
        <f>(E28*12.5)</f>
        <v>12.5</v>
      </c>
      <c r="G28" s="10" t="s">
        <v>7</v>
      </c>
    </row>
    <row r="29" spans="2:7" x14ac:dyDescent="0.3">
      <c r="D29" s="27"/>
      <c r="E29" s="19">
        <f>SUM(E20:E28)</f>
        <v>999</v>
      </c>
      <c r="F29" s="19">
        <f>SUM(F20:F28)</f>
        <v>12487.5</v>
      </c>
      <c r="G29" s="23"/>
    </row>
    <row r="33" spans="2:7" ht="23.4" x14ac:dyDescent="0.45">
      <c r="D33" s="172" t="s">
        <v>341</v>
      </c>
      <c r="E33" s="173"/>
      <c r="F33" s="173"/>
      <c r="G33" s="174"/>
    </row>
    <row r="34" spans="2:7" ht="46.8" x14ac:dyDescent="0.3">
      <c r="C34" s="1">
        <v>3</v>
      </c>
      <c r="D34" s="2" t="s">
        <v>0</v>
      </c>
      <c r="E34" s="3" t="s">
        <v>1</v>
      </c>
      <c r="F34" s="3" t="s">
        <v>26</v>
      </c>
      <c r="G34" s="4"/>
    </row>
    <row r="35" spans="2:7" x14ac:dyDescent="0.3">
      <c r="B35" s="183" t="s">
        <v>37</v>
      </c>
      <c r="C35" s="31">
        <v>1</v>
      </c>
      <c r="D35" s="29" t="s">
        <v>27</v>
      </c>
      <c r="E35" s="6">
        <v>188</v>
      </c>
      <c r="F35" s="6">
        <f>(E35*12.5)</f>
        <v>2350</v>
      </c>
      <c r="G35" s="10" t="s">
        <v>7</v>
      </c>
    </row>
    <row r="36" spans="2:7" x14ac:dyDescent="0.3">
      <c r="B36" s="184"/>
      <c r="C36" s="31">
        <v>2</v>
      </c>
      <c r="D36" s="29" t="s">
        <v>28</v>
      </c>
      <c r="E36" s="6">
        <v>1</v>
      </c>
      <c r="F36" s="6">
        <f>(E36*12.5)</f>
        <v>12.5</v>
      </c>
      <c r="G36" s="10" t="s">
        <v>7</v>
      </c>
    </row>
    <row r="37" spans="2:7" x14ac:dyDescent="0.3">
      <c r="B37" s="184"/>
      <c r="C37" s="31">
        <v>3</v>
      </c>
      <c r="D37" s="29" t="s">
        <v>29</v>
      </c>
      <c r="E37" s="11">
        <v>0.5</v>
      </c>
      <c r="F37" s="6">
        <f>(E37*12.5)</f>
        <v>6.25</v>
      </c>
      <c r="G37" s="10" t="s">
        <v>7</v>
      </c>
    </row>
    <row r="38" spans="2:7" x14ac:dyDescent="0.3">
      <c r="B38" s="184"/>
      <c r="C38" s="31">
        <v>4</v>
      </c>
      <c r="D38" s="29" t="s">
        <v>30</v>
      </c>
      <c r="E38" s="6">
        <v>3</v>
      </c>
      <c r="F38" s="6">
        <f>(E38*12.5)</f>
        <v>37.5</v>
      </c>
      <c r="G38" s="10" t="s">
        <v>7</v>
      </c>
    </row>
    <row r="39" spans="2:7" x14ac:dyDescent="0.3">
      <c r="B39" s="185"/>
      <c r="C39" s="28">
        <v>5</v>
      </c>
      <c r="D39" s="24" t="s">
        <v>31</v>
      </c>
      <c r="E39" s="6">
        <v>100</v>
      </c>
      <c r="F39" s="6">
        <f>(E39*12.5)</f>
        <v>1250</v>
      </c>
      <c r="G39" s="10" t="s">
        <v>7</v>
      </c>
    </row>
    <row r="40" spans="2:7" x14ac:dyDescent="0.3">
      <c r="B40" s="30">
        <v>1</v>
      </c>
      <c r="C40" s="186" t="s">
        <v>38</v>
      </c>
      <c r="D40" s="29" t="s">
        <v>32</v>
      </c>
      <c r="E40" s="6">
        <v>696</v>
      </c>
      <c r="F40" s="6">
        <f>(E40*12.5)</f>
        <v>8700</v>
      </c>
      <c r="G40" s="10" t="s">
        <v>7</v>
      </c>
    </row>
    <row r="41" spans="2:7" x14ac:dyDescent="0.3">
      <c r="B41" s="30">
        <v>2</v>
      </c>
      <c r="C41" s="187"/>
      <c r="D41" s="29" t="s">
        <v>39</v>
      </c>
      <c r="E41" s="25">
        <v>10</v>
      </c>
      <c r="F41" s="6">
        <f>(E41*12.5)</f>
        <v>125</v>
      </c>
      <c r="G41" s="10" t="s">
        <v>7</v>
      </c>
    </row>
    <row r="42" spans="2:7" x14ac:dyDescent="0.3">
      <c r="B42" s="30">
        <v>3</v>
      </c>
      <c r="C42" s="188"/>
      <c r="D42" s="29" t="s">
        <v>35</v>
      </c>
      <c r="E42" s="6">
        <v>1</v>
      </c>
      <c r="F42" s="6">
        <f>(E42*12.5)</f>
        <v>12.5</v>
      </c>
      <c r="G42" s="10" t="s">
        <v>7</v>
      </c>
    </row>
    <row r="43" spans="2:7" x14ac:dyDescent="0.3">
      <c r="D43" s="27"/>
      <c r="E43" s="19">
        <f>SUM(E35:E42)</f>
        <v>999.5</v>
      </c>
      <c r="F43" s="19">
        <f>SUM(F35:F42)</f>
        <v>12493.75</v>
      </c>
      <c r="G43" s="23"/>
    </row>
    <row r="47" spans="2:7" ht="23.4" x14ac:dyDescent="0.45">
      <c r="D47" s="172" t="s">
        <v>54</v>
      </c>
      <c r="E47" s="173"/>
      <c r="F47" s="173"/>
      <c r="G47" s="174"/>
    </row>
    <row r="48" spans="2:7" ht="46.8" x14ac:dyDescent="0.3">
      <c r="C48" s="1">
        <v>4</v>
      </c>
      <c r="D48" s="2" t="s">
        <v>0</v>
      </c>
      <c r="E48" s="3" t="s">
        <v>1</v>
      </c>
      <c r="F48" s="3" t="s">
        <v>88</v>
      </c>
      <c r="G48" s="4"/>
    </row>
    <row r="49" spans="3:7" x14ac:dyDescent="0.3">
      <c r="C49" s="14">
        <v>1</v>
      </c>
      <c r="D49" s="5" t="s">
        <v>55</v>
      </c>
      <c r="E49" s="6">
        <v>920</v>
      </c>
      <c r="F49" s="6">
        <f>(E49*15)</f>
        <v>13800</v>
      </c>
      <c r="G49" s="10"/>
    </row>
    <row r="50" spans="3:7" x14ac:dyDescent="0.3">
      <c r="C50" s="14">
        <v>2</v>
      </c>
      <c r="D50" s="5" t="s">
        <v>58</v>
      </c>
      <c r="E50" s="6">
        <v>12</v>
      </c>
      <c r="F50" s="6">
        <f>(E50*15)</f>
        <v>180</v>
      </c>
      <c r="G50" s="10"/>
    </row>
    <row r="51" spans="3:7" x14ac:dyDescent="0.3">
      <c r="C51" s="14">
        <v>3</v>
      </c>
      <c r="D51" s="5" t="s">
        <v>56</v>
      </c>
      <c r="E51" s="6">
        <v>2</v>
      </c>
      <c r="F51" s="6">
        <f>(E51*15)</f>
        <v>30</v>
      </c>
      <c r="G51" s="10"/>
    </row>
    <row r="52" spans="3:7" x14ac:dyDescent="0.3">
      <c r="C52" s="14">
        <v>4</v>
      </c>
      <c r="D52" s="5" t="s">
        <v>57</v>
      </c>
      <c r="E52" s="6">
        <v>2</v>
      </c>
      <c r="F52" s="6">
        <f>(E52*15)</f>
        <v>30</v>
      </c>
      <c r="G52" s="10"/>
    </row>
    <row r="53" spans="3:7" x14ac:dyDescent="0.3">
      <c r="C53" s="14">
        <v>6</v>
      </c>
      <c r="D53" s="5" t="s">
        <v>20</v>
      </c>
      <c r="E53" s="6">
        <v>12</v>
      </c>
      <c r="F53" s="6">
        <f>(E53*15)</f>
        <v>180</v>
      </c>
      <c r="G53" s="10"/>
    </row>
    <row r="54" spans="3:7" x14ac:dyDescent="0.3">
      <c r="C54" s="14">
        <v>7</v>
      </c>
      <c r="D54" s="5" t="s">
        <v>59</v>
      </c>
      <c r="E54" s="6">
        <v>50</v>
      </c>
      <c r="F54" s="6">
        <f>(E54*15)</f>
        <v>750</v>
      </c>
      <c r="G54" s="5"/>
    </row>
    <row r="55" spans="3:7" x14ac:dyDescent="0.3">
      <c r="C55" s="14">
        <v>5</v>
      </c>
      <c r="D55" s="5" t="s">
        <v>60</v>
      </c>
      <c r="E55" s="6">
        <v>2</v>
      </c>
      <c r="F55" s="6">
        <f>(E55*15)</f>
        <v>30</v>
      </c>
      <c r="G55" s="5"/>
    </row>
    <row r="56" spans="3:7" x14ac:dyDescent="0.3">
      <c r="C56" s="14">
        <v>9</v>
      </c>
      <c r="D56" s="34" t="s">
        <v>61</v>
      </c>
      <c r="E56" s="6">
        <v>250</v>
      </c>
      <c r="F56" s="6">
        <f>(E56*15)</f>
        <v>3750</v>
      </c>
      <c r="G56" s="5"/>
    </row>
    <row r="57" spans="3:7" x14ac:dyDescent="0.3">
      <c r="E57" s="19">
        <f>SUM(E49:E55)</f>
        <v>1000</v>
      </c>
      <c r="F57" s="19">
        <f>SUM(F49:F55)</f>
        <v>15000</v>
      </c>
      <c r="G57" s="23"/>
    </row>
    <row r="61" spans="3:7" ht="23.4" x14ac:dyDescent="0.45">
      <c r="D61" s="172" t="s">
        <v>734</v>
      </c>
      <c r="E61" s="173"/>
      <c r="F61" s="173"/>
      <c r="G61" s="174"/>
    </row>
    <row r="62" spans="3:7" ht="46.8" x14ac:dyDescent="0.3">
      <c r="C62" s="1">
        <v>5</v>
      </c>
      <c r="D62" s="2" t="s">
        <v>0</v>
      </c>
      <c r="E62" s="3" t="s">
        <v>1</v>
      </c>
      <c r="F62" s="3" t="s">
        <v>15</v>
      </c>
      <c r="G62" s="4"/>
    </row>
    <row r="63" spans="3:7" x14ac:dyDescent="0.3">
      <c r="C63" s="14">
        <v>2</v>
      </c>
      <c r="D63" s="5" t="s">
        <v>55</v>
      </c>
      <c r="E63" s="6">
        <v>970</v>
      </c>
      <c r="F63" s="6">
        <f>(E63*15)</f>
        <v>14550</v>
      </c>
      <c r="G63" s="10"/>
    </row>
    <row r="64" spans="3:7" x14ac:dyDescent="0.3">
      <c r="C64" s="14">
        <v>1</v>
      </c>
      <c r="D64" s="5" t="s">
        <v>83</v>
      </c>
      <c r="E64" s="6">
        <v>30</v>
      </c>
      <c r="F64" s="6">
        <f>(E64*15)</f>
        <v>450</v>
      </c>
      <c r="G64" s="10"/>
    </row>
    <row r="65" spans="3:7" x14ac:dyDescent="0.3">
      <c r="C65" s="14">
        <v>3</v>
      </c>
      <c r="D65" s="5" t="s">
        <v>59</v>
      </c>
      <c r="E65" s="6">
        <v>30</v>
      </c>
      <c r="F65" s="6">
        <f>(E65*15)</f>
        <v>450</v>
      </c>
      <c r="G65" s="10"/>
    </row>
    <row r="66" spans="3:7" x14ac:dyDescent="0.3">
      <c r="C66" s="14">
        <v>4</v>
      </c>
      <c r="D66" s="5" t="s">
        <v>84</v>
      </c>
      <c r="E66" s="6">
        <v>2</v>
      </c>
      <c r="F66" s="6">
        <f>(E66*15)</f>
        <v>30</v>
      </c>
      <c r="G66" s="10"/>
    </row>
    <row r="67" spans="3:7" x14ac:dyDescent="0.3">
      <c r="E67" s="19">
        <f>SUM(E63:E66)</f>
        <v>1032</v>
      </c>
      <c r="F67" s="19">
        <f>SUM(F63:F66)</f>
        <v>15480</v>
      </c>
      <c r="G67" s="23"/>
    </row>
    <row r="68" spans="3:7" x14ac:dyDescent="0.3">
      <c r="D68" s="193" t="s">
        <v>817</v>
      </c>
      <c r="E68" s="193"/>
      <c r="F68" s="193"/>
      <c r="G68" s="193"/>
    </row>
    <row r="71" spans="3:7" ht="23.4" x14ac:dyDescent="0.3">
      <c r="D71" s="189" t="s">
        <v>433</v>
      </c>
      <c r="E71" s="190"/>
      <c r="F71" s="190"/>
      <c r="G71" s="191"/>
    </row>
    <row r="72" spans="3:7" ht="46.8" x14ac:dyDescent="0.3">
      <c r="C72" s="1">
        <v>6</v>
      </c>
      <c r="D72" s="2" t="s">
        <v>0</v>
      </c>
      <c r="E72" s="3" t="s">
        <v>1</v>
      </c>
      <c r="F72" s="3" t="s">
        <v>102</v>
      </c>
      <c r="G72" s="4"/>
    </row>
    <row r="73" spans="3:7" x14ac:dyDescent="0.3">
      <c r="C73">
        <v>1</v>
      </c>
      <c r="D73" s="24" t="s">
        <v>103</v>
      </c>
      <c r="E73" s="9">
        <v>990</v>
      </c>
      <c r="F73" s="9">
        <f>(E73*60)</f>
        <v>59400</v>
      </c>
      <c r="G73" s="14"/>
    </row>
    <row r="74" spans="3:7" x14ac:dyDescent="0.3">
      <c r="C74">
        <v>2</v>
      </c>
      <c r="D74" s="24" t="s">
        <v>735</v>
      </c>
      <c r="E74" s="58">
        <v>5</v>
      </c>
      <c r="F74" s="9">
        <f>(E74*60)</f>
        <v>300</v>
      </c>
      <c r="G74" s="59"/>
    </row>
    <row r="75" spans="3:7" x14ac:dyDescent="0.3">
      <c r="C75">
        <v>3</v>
      </c>
      <c r="D75" s="24" t="s">
        <v>105</v>
      </c>
      <c r="E75" s="9">
        <v>5</v>
      </c>
      <c r="F75" s="9">
        <f>(E75*60)</f>
        <v>300</v>
      </c>
      <c r="G75" s="59"/>
    </row>
    <row r="76" spans="3:7" x14ac:dyDescent="0.3">
      <c r="E76" s="13">
        <f>SUM(E73:E75)</f>
        <v>1000</v>
      </c>
      <c r="F76" s="13">
        <f>SUM(F73:F75)</f>
        <v>60000</v>
      </c>
      <c r="G76" s="60"/>
    </row>
    <row r="79" spans="3:7" ht="23.4" x14ac:dyDescent="0.45">
      <c r="D79" s="172" t="s">
        <v>108</v>
      </c>
      <c r="E79" s="173"/>
      <c r="F79" s="173"/>
      <c r="G79" s="174"/>
    </row>
    <row r="80" spans="3:7" ht="46.8" x14ac:dyDescent="0.3">
      <c r="C80" s="1">
        <v>7</v>
      </c>
      <c r="D80" s="2" t="s">
        <v>0</v>
      </c>
      <c r="E80" s="3" t="s">
        <v>1</v>
      </c>
      <c r="F80" s="3" t="s">
        <v>46</v>
      </c>
      <c r="G80" s="4"/>
    </row>
    <row r="81" spans="3:7" x14ac:dyDescent="0.3">
      <c r="C81">
        <v>1</v>
      </c>
      <c r="D81" s="5" t="s">
        <v>16</v>
      </c>
      <c r="E81" s="6">
        <v>887</v>
      </c>
      <c r="F81" s="6">
        <f>(E81*20)</f>
        <v>17740</v>
      </c>
      <c r="G81" s="10"/>
    </row>
    <row r="82" spans="3:7" x14ac:dyDescent="0.3">
      <c r="C82">
        <v>4</v>
      </c>
      <c r="D82" s="5" t="s">
        <v>17</v>
      </c>
      <c r="E82" s="6">
        <v>8</v>
      </c>
      <c r="F82" s="6">
        <f>(E82*20)</f>
        <v>160</v>
      </c>
      <c r="G82" s="10"/>
    </row>
    <row r="83" spans="3:7" x14ac:dyDescent="0.3">
      <c r="C83">
        <v>5</v>
      </c>
      <c r="D83" s="5" t="s">
        <v>9</v>
      </c>
      <c r="E83" s="6">
        <v>50</v>
      </c>
      <c r="F83" s="6">
        <f>(E83*20)</f>
        <v>1000</v>
      </c>
      <c r="G83" s="10"/>
    </row>
    <row r="84" spans="3:7" x14ac:dyDescent="0.3">
      <c r="D84" s="5" t="s">
        <v>110</v>
      </c>
      <c r="E84" s="6">
        <v>30</v>
      </c>
      <c r="F84" s="6">
        <f>(E84*20)</f>
        <v>600</v>
      </c>
      <c r="G84" s="10"/>
    </row>
    <row r="85" spans="3:7" x14ac:dyDescent="0.3">
      <c r="D85" s="5" t="s">
        <v>111</v>
      </c>
      <c r="E85" s="6">
        <v>10</v>
      </c>
      <c r="F85" s="6">
        <f>(E85*20)</f>
        <v>200</v>
      </c>
      <c r="G85" s="10"/>
    </row>
    <row r="86" spans="3:7" x14ac:dyDescent="0.3">
      <c r="D86" s="5" t="s">
        <v>112</v>
      </c>
      <c r="E86" s="6">
        <v>5</v>
      </c>
      <c r="F86" s="6">
        <f>(E86*20)</f>
        <v>100</v>
      </c>
      <c r="G86" s="5"/>
    </row>
    <row r="87" spans="3:7" x14ac:dyDescent="0.3">
      <c r="D87" s="5" t="s">
        <v>113</v>
      </c>
      <c r="E87" s="6">
        <v>0.5</v>
      </c>
      <c r="F87" s="6">
        <f>(E87*20)</f>
        <v>10</v>
      </c>
      <c r="G87" s="5"/>
    </row>
    <row r="88" spans="3:7" x14ac:dyDescent="0.3">
      <c r="C88">
        <v>6</v>
      </c>
      <c r="D88" s="5" t="s">
        <v>20</v>
      </c>
      <c r="E88" s="6">
        <v>8</v>
      </c>
      <c r="F88" s="6">
        <f>(E88*20)</f>
        <v>160</v>
      </c>
      <c r="G88" s="5"/>
    </row>
    <row r="89" spans="3:7" x14ac:dyDescent="0.3">
      <c r="C89">
        <v>2</v>
      </c>
      <c r="D89" s="24" t="s">
        <v>28</v>
      </c>
      <c r="E89" s="25">
        <v>1</v>
      </c>
      <c r="F89" s="6">
        <f>(E89*20)</f>
        <v>20</v>
      </c>
      <c r="G89" s="5"/>
    </row>
    <row r="90" spans="3:7" x14ac:dyDescent="0.3">
      <c r="C90">
        <v>3</v>
      </c>
      <c r="D90" s="24" t="s">
        <v>29</v>
      </c>
      <c r="E90" s="11">
        <v>0.5</v>
      </c>
      <c r="F90" s="6">
        <f>(E90*20)</f>
        <v>10</v>
      </c>
      <c r="G90" s="5"/>
    </row>
    <row r="91" spans="3:7" x14ac:dyDescent="0.3">
      <c r="D91" s="27"/>
      <c r="E91" s="13">
        <f>SUM(E81:E90)</f>
        <v>1000</v>
      </c>
      <c r="F91" s="84">
        <f>SUM(F81:F90)</f>
        <v>20000</v>
      </c>
      <c r="G91" s="17"/>
    </row>
    <row r="94" spans="3:7" ht="23.4" x14ac:dyDescent="0.45">
      <c r="D94" s="172" t="s">
        <v>337</v>
      </c>
      <c r="E94" s="173"/>
      <c r="F94" s="173"/>
      <c r="G94" s="174"/>
    </row>
    <row r="95" spans="3:7" ht="46.8" x14ac:dyDescent="0.3">
      <c r="C95" s="1">
        <v>8</v>
      </c>
      <c r="D95" s="2" t="s">
        <v>0</v>
      </c>
      <c r="E95" s="3" t="s">
        <v>1</v>
      </c>
      <c r="F95" s="3" t="s">
        <v>115</v>
      </c>
      <c r="G95" s="4"/>
    </row>
    <row r="96" spans="3:7" x14ac:dyDescent="0.3">
      <c r="C96" s="62"/>
      <c r="D96" s="24" t="s">
        <v>59</v>
      </c>
      <c r="E96" s="6">
        <v>20</v>
      </c>
      <c r="F96" s="6"/>
      <c r="G96" s="5"/>
    </row>
    <row r="97" spans="3:7" x14ac:dyDescent="0.3">
      <c r="C97" s="62"/>
      <c r="D97" s="24" t="s">
        <v>31</v>
      </c>
      <c r="E97" s="6">
        <v>20</v>
      </c>
      <c r="F97" s="6"/>
      <c r="G97" s="5"/>
    </row>
    <row r="98" spans="3:7" x14ac:dyDescent="0.3">
      <c r="C98" s="64">
        <v>5</v>
      </c>
      <c r="D98" s="24" t="s">
        <v>117</v>
      </c>
      <c r="E98" s="6">
        <v>20</v>
      </c>
      <c r="F98" s="6">
        <f>(E98*10)</f>
        <v>200</v>
      </c>
      <c r="G98" s="5"/>
    </row>
    <row r="99" spans="3:7" x14ac:dyDescent="0.3">
      <c r="C99" s="64"/>
      <c r="D99" s="24" t="s">
        <v>20</v>
      </c>
      <c r="E99" s="6">
        <v>10</v>
      </c>
      <c r="F99" s="6"/>
      <c r="G99" s="5"/>
    </row>
    <row r="100" spans="3:7" x14ac:dyDescent="0.3">
      <c r="C100" s="62">
        <v>9</v>
      </c>
      <c r="D100" s="24" t="s">
        <v>118</v>
      </c>
      <c r="E100" s="6">
        <v>10</v>
      </c>
      <c r="F100" s="6">
        <f>(E100*10)</f>
        <v>100</v>
      </c>
      <c r="G100" s="5"/>
    </row>
    <row r="101" spans="3:7" x14ac:dyDescent="0.3">
      <c r="C101" s="65">
        <v>8</v>
      </c>
      <c r="D101" s="24" t="s">
        <v>119</v>
      </c>
      <c r="E101" s="6">
        <v>5</v>
      </c>
      <c r="F101" s="6">
        <f>(E101*10)</f>
        <v>50</v>
      </c>
      <c r="G101" s="5"/>
    </row>
    <row r="102" spans="3:7" x14ac:dyDescent="0.3">
      <c r="C102" s="62">
        <v>11</v>
      </c>
      <c r="D102" s="24" t="s">
        <v>120</v>
      </c>
      <c r="E102" s="25">
        <v>5</v>
      </c>
      <c r="F102" s="6">
        <f>(E102*10)</f>
        <v>50</v>
      </c>
      <c r="G102" s="5"/>
    </row>
    <row r="103" spans="3:7" x14ac:dyDescent="0.3">
      <c r="C103" s="64">
        <v>4</v>
      </c>
      <c r="D103" s="24" t="s">
        <v>122</v>
      </c>
      <c r="E103" s="25">
        <v>1</v>
      </c>
      <c r="F103" s="6">
        <f>(E103*10)</f>
        <v>10</v>
      </c>
      <c r="G103" s="5"/>
    </row>
    <row r="104" spans="3:7" x14ac:dyDescent="0.3">
      <c r="C104" s="65">
        <v>6</v>
      </c>
      <c r="D104" s="24" t="s">
        <v>60</v>
      </c>
      <c r="E104" s="25">
        <v>10</v>
      </c>
      <c r="F104" s="6">
        <f>(E104*10)</f>
        <v>100</v>
      </c>
      <c r="G104" s="5"/>
    </row>
    <row r="105" spans="3:7" x14ac:dyDescent="0.3">
      <c r="C105" s="65">
        <v>7</v>
      </c>
      <c r="D105" s="24" t="s">
        <v>123</v>
      </c>
      <c r="E105" s="32">
        <v>0.5</v>
      </c>
      <c r="F105" s="6">
        <f>(E105*10)</f>
        <v>5</v>
      </c>
      <c r="G105" s="5"/>
    </row>
    <row r="106" spans="3:7" x14ac:dyDescent="0.3">
      <c r="C106" s="64">
        <v>1</v>
      </c>
      <c r="D106" s="24" t="s">
        <v>16</v>
      </c>
      <c r="E106" s="25">
        <v>898</v>
      </c>
      <c r="F106" s="6">
        <f>(E106*10)</f>
        <v>8980</v>
      </c>
      <c r="G106" s="5"/>
    </row>
    <row r="107" spans="3:7" x14ac:dyDescent="0.3">
      <c r="E107" s="13">
        <f>SUM(E96:E106)</f>
        <v>999.5</v>
      </c>
      <c r="F107" s="84">
        <f>SUM(F96:F106)</f>
        <v>9495</v>
      </c>
      <c r="G107" s="10"/>
    </row>
    <row r="110" spans="3:7" ht="23.4" x14ac:dyDescent="0.45">
      <c r="D110" s="221" t="s">
        <v>835</v>
      </c>
      <c r="E110" s="222"/>
      <c r="F110" s="222"/>
      <c r="G110" s="223"/>
    </row>
    <row r="111" spans="3:7" ht="46.8" x14ac:dyDescent="0.3">
      <c r="C111" s="224">
        <v>4</v>
      </c>
      <c r="D111" s="225" t="s">
        <v>0</v>
      </c>
      <c r="E111" s="226" t="s">
        <v>1</v>
      </c>
      <c r="F111" s="226" t="s">
        <v>408</v>
      </c>
      <c r="G111" s="227"/>
    </row>
    <row r="112" spans="3:7" x14ac:dyDescent="0.3">
      <c r="D112" s="228" t="s">
        <v>16</v>
      </c>
      <c r="E112" s="229">
        <v>927</v>
      </c>
      <c r="F112" s="229"/>
      <c r="G112" s="232" t="s">
        <v>7</v>
      </c>
    </row>
    <row r="113" spans="3:7" x14ac:dyDescent="0.3">
      <c r="D113" s="228" t="s">
        <v>17</v>
      </c>
      <c r="E113" s="229">
        <v>10</v>
      </c>
      <c r="F113" s="229"/>
      <c r="G113" s="232"/>
    </row>
    <row r="114" spans="3:7" x14ac:dyDescent="0.3">
      <c r="D114" s="228" t="s">
        <v>112</v>
      </c>
      <c r="E114" s="229">
        <v>5</v>
      </c>
      <c r="F114" s="229"/>
      <c r="G114" s="232"/>
    </row>
    <row r="115" spans="3:7" x14ac:dyDescent="0.3">
      <c r="D115" s="228" t="s">
        <v>59</v>
      </c>
      <c r="E115" s="229">
        <v>50</v>
      </c>
      <c r="F115" s="229"/>
      <c r="G115" s="232"/>
    </row>
    <row r="116" spans="3:7" x14ac:dyDescent="0.3">
      <c r="D116" s="228" t="s">
        <v>53</v>
      </c>
      <c r="E116" s="229">
        <v>8</v>
      </c>
      <c r="F116" s="229"/>
      <c r="G116" s="232"/>
    </row>
    <row r="117" spans="3:7" x14ac:dyDescent="0.3">
      <c r="D117" s="228" t="s">
        <v>138</v>
      </c>
      <c r="E117" s="229">
        <v>1</v>
      </c>
      <c r="F117" s="229"/>
      <c r="G117" s="232"/>
    </row>
    <row r="118" spans="3:7" x14ac:dyDescent="0.3">
      <c r="D118" s="235"/>
      <c r="E118" s="253">
        <f>SUM(E112:E117)</f>
        <v>1001</v>
      </c>
      <c r="F118" s="258">
        <f>SUM(F112:F117)</f>
        <v>0</v>
      </c>
      <c r="G118" s="257"/>
    </row>
    <row r="121" spans="3:7" ht="23.4" x14ac:dyDescent="0.45">
      <c r="D121" s="175" t="s">
        <v>739</v>
      </c>
      <c r="E121" s="175"/>
      <c r="F121" s="175"/>
      <c r="G121" s="175"/>
    </row>
    <row r="122" spans="3:7" ht="46.8" x14ac:dyDescent="0.3">
      <c r="C122" s="1">
        <v>10</v>
      </c>
      <c r="D122" s="2" t="s">
        <v>0</v>
      </c>
      <c r="E122" s="3" t="s">
        <v>272</v>
      </c>
      <c r="F122" s="3" t="s">
        <v>737</v>
      </c>
      <c r="G122" s="3" t="s">
        <v>738</v>
      </c>
    </row>
    <row r="123" spans="3:7" x14ac:dyDescent="0.3">
      <c r="D123" s="5" t="s">
        <v>141</v>
      </c>
      <c r="E123" s="6">
        <v>50</v>
      </c>
      <c r="F123" s="6">
        <f>(E123*25)</f>
        <v>1250</v>
      </c>
      <c r="G123" s="6">
        <f>(E123*30)</f>
        <v>1500</v>
      </c>
    </row>
    <row r="124" spans="3:7" x14ac:dyDescent="0.3">
      <c r="D124" s="5" t="s">
        <v>16</v>
      </c>
      <c r="E124" s="6">
        <v>205</v>
      </c>
      <c r="F124" s="6">
        <f>(E124*25)</f>
        <v>5125</v>
      </c>
      <c r="G124" s="6">
        <f>(E124*30)</f>
        <v>6150</v>
      </c>
    </row>
    <row r="125" spans="3:7" x14ac:dyDescent="0.3">
      <c r="D125" s="5" t="s">
        <v>142</v>
      </c>
      <c r="E125" s="6">
        <v>5</v>
      </c>
      <c r="F125" s="6">
        <f>(E125*25)</f>
        <v>125</v>
      </c>
      <c r="G125" s="6">
        <f>(E125*30)</f>
        <v>150</v>
      </c>
    </row>
    <row r="126" spans="3:7" x14ac:dyDescent="0.3">
      <c r="D126" s="5" t="s">
        <v>59</v>
      </c>
      <c r="E126" s="6">
        <v>34</v>
      </c>
      <c r="F126" s="6">
        <f>(E126*25)</f>
        <v>850</v>
      </c>
      <c r="G126" s="6">
        <f>(E126*30)</f>
        <v>1020</v>
      </c>
    </row>
    <row r="127" spans="3:7" x14ac:dyDescent="0.3">
      <c r="D127" s="5" t="s">
        <v>143</v>
      </c>
      <c r="E127" s="6">
        <v>706</v>
      </c>
      <c r="F127" s="6">
        <f>(E127*25)</f>
        <v>17650</v>
      </c>
      <c r="G127" s="6">
        <f>(E127*30)</f>
        <v>21180</v>
      </c>
    </row>
    <row r="128" spans="3:7" x14ac:dyDescent="0.3">
      <c r="E128" s="13">
        <f>SUM(E123:E127)</f>
        <v>1000</v>
      </c>
      <c r="F128" s="67">
        <f>SUM(F123:F127)</f>
        <v>25000</v>
      </c>
      <c r="G128" s="67">
        <f>SUM(G123:G127)</f>
        <v>30000</v>
      </c>
    </row>
    <row r="131" spans="2:7" ht="23.4" x14ac:dyDescent="0.3">
      <c r="D131" s="189" t="s">
        <v>849</v>
      </c>
      <c r="E131" s="190"/>
      <c r="F131" s="190"/>
      <c r="G131" s="191"/>
    </row>
    <row r="132" spans="2:7" ht="45.75" customHeight="1" x14ac:dyDescent="0.3">
      <c r="C132" s="1">
        <v>11</v>
      </c>
      <c r="D132" s="2">
        <v>9</v>
      </c>
      <c r="E132" s="3" t="s">
        <v>1</v>
      </c>
      <c r="F132" s="3" t="s">
        <v>183</v>
      </c>
      <c r="G132" s="4"/>
    </row>
    <row r="133" spans="2:7" x14ac:dyDescent="0.3">
      <c r="B133" s="183" t="s">
        <v>37</v>
      </c>
      <c r="C133" s="31">
        <v>1</v>
      </c>
      <c r="D133" s="68" t="s">
        <v>27</v>
      </c>
      <c r="E133" s="69">
        <v>268</v>
      </c>
      <c r="F133" s="70">
        <f>(E133*15)</f>
        <v>4020</v>
      </c>
      <c r="G133" s="10"/>
    </row>
    <row r="134" spans="2:7" x14ac:dyDescent="0.3">
      <c r="B134" s="184"/>
      <c r="C134" s="31">
        <v>2</v>
      </c>
      <c r="D134" s="24" t="s">
        <v>28</v>
      </c>
      <c r="E134" s="71">
        <v>1</v>
      </c>
      <c r="F134" s="70">
        <f>(E134*15)</f>
        <v>15</v>
      </c>
      <c r="G134" s="10"/>
    </row>
    <row r="135" spans="2:7" x14ac:dyDescent="0.3">
      <c r="B135" s="184"/>
      <c r="C135" s="31">
        <v>3</v>
      </c>
      <c r="D135" s="68" t="s">
        <v>29</v>
      </c>
      <c r="E135" s="69">
        <v>0.5</v>
      </c>
      <c r="F135" s="70">
        <f>(E135*15)</f>
        <v>7.5</v>
      </c>
      <c r="G135" s="10"/>
    </row>
    <row r="136" spans="2:7" x14ac:dyDescent="0.3">
      <c r="B136" s="184"/>
      <c r="C136" s="31">
        <v>4</v>
      </c>
      <c r="D136" s="24" t="s">
        <v>30</v>
      </c>
      <c r="E136" s="71">
        <v>3</v>
      </c>
      <c r="F136" s="70">
        <f>(E136*15)</f>
        <v>45</v>
      </c>
      <c r="G136" s="10"/>
    </row>
    <row r="137" spans="2:7" x14ac:dyDescent="0.3">
      <c r="B137" s="185"/>
      <c r="C137" s="28">
        <v>5</v>
      </c>
      <c r="D137" s="68" t="s">
        <v>31</v>
      </c>
      <c r="E137" s="69">
        <v>100</v>
      </c>
      <c r="F137" s="70">
        <f>(E137*15)</f>
        <v>1500</v>
      </c>
      <c r="G137" s="10"/>
    </row>
    <row r="138" spans="2:7" x14ac:dyDescent="0.3">
      <c r="B138" s="30">
        <v>1</v>
      </c>
      <c r="C138" s="186" t="s">
        <v>38</v>
      </c>
      <c r="D138" s="24" t="s">
        <v>32</v>
      </c>
      <c r="E138" s="71">
        <v>600</v>
      </c>
      <c r="F138" s="70">
        <f>(E138*15)</f>
        <v>9000</v>
      </c>
      <c r="G138" s="10"/>
    </row>
    <row r="139" spans="2:7" x14ac:dyDescent="0.3">
      <c r="B139" s="30">
        <v>2</v>
      </c>
      <c r="C139" s="187"/>
      <c r="D139" s="68" t="s">
        <v>684</v>
      </c>
      <c r="E139" s="69">
        <v>10</v>
      </c>
      <c r="F139" s="70">
        <f>(E139*15)</f>
        <v>150</v>
      </c>
      <c r="G139" s="10"/>
    </row>
    <row r="140" spans="2:7" x14ac:dyDescent="0.3">
      <c r="B140" s="30">
        <v>3</v>
      </c>
      <c r="C140" s="188"/>
      <c r="D140" s="24" t="s">
        <v>35</v>
      </c>
      <c r="E140" s="71">
        <v>1</v>
      </c>
      <c r="F140" s="70">
        <f>(E140*15)</f>
        <v>15</v>
      </c>
      <c r="G140" s="10"/>
    </row>
    <row r="141" spans="2:7" x14ac:dyDescent="0.3">
      <c r="C141">
        <v>6</v>
      </c>
      <c r="D141" s="24" t="s">
        <v>145</v>
      </c>
      <c r="E141" s="71">
        <v>8</v>
      </c>
      <c r="F141" s="70">
        <f>(E141*15)</f>
        <v>120</v>
      </c>
      <c r="G141" s="10"/>
    </row>
    <row r="142" spans="2:7" x14ac:dyDescent="0.3">
      <c r="C142">
        <v>7</v>
      </c>
      <c r="D142" s="68" t="s">
        <v>146</v>
      </c>
      <c r="E142" s="69">
        <v>8</v>
      </c>
      <c r="F142" s="70">
        <f>(E142*15)</f>
        <v>120</v>
      </c>
      <c r="G142" s="10"/>
    </row>
    <row r="143" spans="2:7" x14ac:dyDescent="0.3">
      <c r="D143" s="27"/>
      <c r="E143" s="19">
        <f>SUM(E133:E142)</f>
        <v>999.5</v>
      </c>
      <c r="F143" s="19">
        <f>SUM(F133:F142)</f>
        <v>14992.5</v>
      </c>
      <c r="G143" s="23"/>
    </row>
    <row r="146" spans="2:7" ht="23.4" x14ac:dyDescent="0.45">
      <c r="D146" s="175" t="s">
        <v>147</v>
      </c>
      <c r="E146" s="175"/>
      <c r="F146" s="175"/>
      <c r="G146" s="175"/>
    </row>
    <row r="147" spans="2:7" ht="46.8" x14ac:dyDescent="0.3">
      <c r="C147" s="1">
        <v>12</v>
      </c>
      <c r="D147" s="2" t="s">
        <v>0</v>
      </c>
      <c r="E147" s="3" t="s">
        <v>1</v>
      </c>
      <c r="F147" s="3" t="s">
        <v>689</v>
      </c>
      <c r="G147" s="4"/>
    </row>
    <row r="148" spans="2:7" x14ac:dyDescent="0.3">
      <c r="C148">
        <v>3</v>
      </c>
      <c r="D148" s="24" t="s">
        <v>69</v>
      </c>
      <c r="E148" s="6">
        <v>100</v>
      </c>
      <c r="F148" s="6">
        <f>(E148*10)</f>
        <v>1000</v>
      </c>
      <c r="G148" s="10"/>
    </row>
    <row r="149" spans="2:7" x14ac:dyDescent="0.3">
      <c r="C149">
        <v>2</v>
      </c>
      <c r="D149" s="24" t="s">
        <v>149</v>
      </c>
      <c r="E149" s="6">
        <v>50</v>
      </c>
      <c r="F149" s="6">
        <f>(E149*10)</f>
        <v>500</v>
      </c>
      <c r="G149" s="10"/>
    </row>
    <row r="150" spans="2:7" x14ac:dyDescent="0.3">
      <c r="C150">
        <v>1</v>
      </c>
      <c r="D150" s="24" t="s">
        <v>150</v>
      </c>
      <c r="E150" s="6">
        <v>847</v>
      </c>
      <c r="F150" s="6">
        <f>(E150*10)</f>
        <v>8470</v>
      </c>
      <c r="G150" s="10"/>
    </row>
    <row r="151" spans="2:7" x14ac:dyDescent="0.3">
      <c r="D151" s="27"/>
      <c r="E151" s="13">
        <f ca="1">SUM(E148:E153)</f>
        <v>1000</v>
      </c>
      <c r="F151" s="13">
        <f>SUM(F148:F150)</f>
        <v>9970</v>
      </c>
      <c r="G151" s="10"/>
    </row>
    <row r="154" spans="2:7" ht="23.4" x14ac:dyDescent="0.45">
      <c r="D154" s="175" t="s">
        <v>199</v>
      </c>
      <c r="E154" s="175"/>
      <c r="F154" s="175"/>
      <c r="G154" s="175"/>
    </row>
    <row r="155" spans="2:7" ht="46.8" x14ac:dyDescent="0.3">
      <c r="C155" s="1">
        <v>13</v>
      </c>
      <c r="D155" s="2" t="s">
        <v>0</v>
      </c>
      <c r="E155" s="3" t="s">
        <v>1</v>
      </c>
      <c r="F155" s="3" t="s">
        <v>710</v>
      </c>
      <c r="G155" s="4"/>
    </row>
    <row r="156" spans="2:7" x14ac:dyDescent="0.3">
      <c r="C156">
        <v>5</v>
      </c>
      <c r="D156" s="24" t="s">
        <v>143</v>
      </c>
      <c r="E156" s="6">
        <v>620</v>
      </c>
      <c r="F156" s="6">
        <f>(E156*50)</f>
        <v>31000</v>
      </c>
      <c r="G156" s="10"/>
    </row>
    <row r="157" spans="2:7" x14ac:dyDescent="0.3">
      <c r="C157">
        <v>6</v>
      </c>
      <c r="D157" s="24" t="s">
        <v>59</v>
      </c>
      <c r="E157" s="6">
        <v>80</v>
      </c>
      <c r="F157" s="6">
        <f>(E157*50)</f>
        <v>4000</v>
      </c>
      <c r="G157" s="10"/>
    </row>
    <row r="158" spans="2:7" x14ac:dyDescent="0.3">
      <c r="C158">
        <v>4</v>
      </c>
      <c r="D158" s="24" t="s">
        <v>159</v>
      </c>
      <c r="E158" s="6">
        <v>2</v>
      </c>
      <c r="F158" s="6">
        <f>(E158*50)</f>
        <v>100</v>
      </c>
      <c r="G158" s="10"/>
    </row>
    <row r="159" spans="2:7" x14ac:dyDescent="0.3">
      <c r="B159">
        <f>80*3.8</f>
        <v>304</v>
      </c>
      <c r="C159">
        <v>3</v>
      </c>
      <c r="D159" s="24" t="s">
        <v>160</v>
      </c>
      <c r="E159" s="6">
        <v>2</v>
      </c>
      <c r="F159" s="6">
        <f>(E159*50)</f>
        <v>100</v>
      </c>
      <c r="G159" s="10"/>
    </row>
    <row r="160" spans="2:7" x14ac:dyDescent="0.3">
      <c r="B160">
        <f>95*3.8</f>
        <v>361</v>
      </c>
      <c r="C160">
        <v>2</v>
      </c>
      <c r="D160" s="24" t="s">
        <v>161</v>
      </c>
      <c r="E160" s="6">
        <v>2</v>
      </c>
      <c r="F160" s="6">
        <f>(E160*50)</f>
        <v>100</v>
      </c>
      <c r="G160" s="10"/>
    </row>
    <row r="161" spans="2:7" x14ac:dyDescent="0.3">
      <c r="C161">
        <v>1</v>
      </c>
      <c r="D161" s="24" t="s">
        <v>162</v>
      </c>
      <c r="E161" s="6">
        <v>150</v>
      </c>
      <c r="F161" s="6">
        <f>(E161*50)</f>
        <v>7500</v>
      </c>
      <c r="G161" s="10"/>
    </row>
    <row r="162" spans="2:7" x14ac:dyDescent="0.3">
      <c r="C162">
        <v>7</v>
      </c>
      <c r="D162" s="24" t="s">
        <v>55</v>
      </c>
      <c r="E162" s="6">
        <v>144</v>
      </c>
      <c r="F162" s="6">
        <f>(E162*50)</f>
        <v>7200</v>
      </c>
      <c r="G162" s="10"/>
    </row>
    <row r="163" spans="2:7" x14ac:dyDescent="0.3">
      <c r="D163" s="27"/>
      <c r="E163" s="13">
        <f ca="1">SUM(E156:E165)</f>
        <v>1000</v>
      </c>
      <c r="F163" s="84">
        <f>SUM(F156:F162)</f>
        <v>50000</v>
      </c>
      <c r="G163" s="10"/>
    </row>
    <row r="166" spans="2:7" ht="23.4" x14ac:dyDescent="0.45">
      <c r="D166" s="175" t="s">
        <v>175</v>
      </c>
      <c r="E166" s="175"/>
      <c r="F166" s="175"/>
      <c r="G166" s="175"/>
    </row>
    <row r="167" spans="2:7" ht="46.8" x14ac:dyDescent="0.3">
      <c r="C167" s="1">
        <v>14</v>
      </c>
      <c r="D167" s="2" t="s">
        <v>0</v>
      </c>
      <c r="E167" s="3" t="s">
        <v>1</v>
      </c>
      <c r="F167" s="3" t="s">
        <v>651</v>
      </c>
      <c r="G167" s="4"/>
    </row>
    <row r="168" spans="2:7" ht="15" customHeight="1" x14ac:dyDescent="0.3">
      <c r="B168" s="178" t="s">
        <v>38</v>
      </c>
      <c r="C168" s="80">
        <v>1</v>
      </c>
      <c r="D168" s="24" t="s">
        <v>176</v>
      </c>
      <c r="E168" s="6">
        <v>10</v>
      </c>
      <c r="F168" s="6">
        <f>(E168*20)</f>
        <v>200</v>
      </c>
      <c r="G168" s="10"/>
    </row>
    <row r="169" spans="2:7" ht="15" customHeight="1" x14ac:dyDescent="0.3">
      <c r="B169" s="179"/>
      <c r="C169" s="80">
        <v>2</v>
      </c>
      <c r="D169" s="24" t="s">
        <v>177</v>
      </c>
      <c r="E169" s="6">
        <v>10</v>
      </c>
      <c r="F169" s="6">
        <f>(E169*20)</f>
        <v>200</v>
      </c>
      <c r="G169" s="10"/>
    </row>
    <row r="170" spans="2:7" ht="15" customHeight="1" x14ac:dyDescent="0.3">
      <c r="B170" s="179"/>
      <c r="C170" s="81">
        <v>3</v>
      </c>
      <c r="D170" s="24" t="s">
        <v>178</v>
      </c>
      <c r="E170" s="6">
        <v>575</v>
      </c>
      <c r="F170" s="6">
        <f>(E170*20)</f>
        <v>11500</v>
      </c>
      <c r="G170" s="10"/>
    </row>
    <row r="171" spans="2:7" ht="15" customHeight="1" x14ac:dyDescent="0.3">
      <c r="B171" s="76">
        <v>1</v>
      </c>
      <c r="C171" s="180" t="s">
        <v>37</v>
      </c>
      <c r="D171" s="29" t="s">
        <v>55</v>
      </c>
      <c r="E171" s="6">
        <v>376</v>
      </c>
      <c r="F171" s="6">
        <f>(E171*20)</f>
        <v>7520</v>
      </c>
      <c r="G171" s="10"/>
    </row>
    <row r="172" spans="2:7" ht="15" customHeight="1" x14ac:dyDescent="0.3">
      <c r="B172" s="77">
        <v>2</v>
      </c>
      <c r="C172" s="181"/>
      <c r="D172" s="29" t="s">
        <v>179</v>
      </c>
      <c r="E172" s="6">
        <v>12</v>
      </c>
      <c r="F172" s="6">
        <f>(E172*20)</f>
        <v>240</v>
      </c>
      <c r="G172" s="10"/>
    </row>
    <row r="173" spans="2:7" ht="15" customHeight="1" x14ac:dyDescent="0.3">
      <c r="B173" s="78">
        <v>3</v>
      </c>
      <c r="C173" s="181"/>
      <c r="D173" s="29" t="s">
        <v>200</v>
      </c>
      <c r="E173" s="6">
        <v>1</v>
      </c>
      <c r="F173" s="6">
        <f>(E173*20)</f>
        <v>20</v>
      </c>
      <c r="G173" s="10"/>
    </row>
    <row r="174" spans="2:7" ht="15" customHeight="1" x14ac:dyDescent="0.3">
      <c r="B174" s="79">
        <v>4</v>
      </c>
      <c r="C174" s="182"/>
      <c r="D174" s="29" t="s">
        <v>201</v>
      </c>
      <c r="E174" s="6">
        <v>1</v>
      </c>
      <c r="F174" s="6">
        <f>(E174*20)</f>
        <v>20</v>
      </c>
      <c r="G174" s="10"/>
    </row>
    <row r="175" spans="2:7" ht="18.75" customHeight="1" x14ac:dyDescent="0.3">
      <c r="C175" s="82">
        <v>5</v>
      </c>
      <c r="D175" s="24" t="s">
        <v>53</v>
      </c>
      <c r="E175" s="6">
        <v>12</v>
      </c>
      <c r="F175" s="6">
        <f>(E175*20)</f>
        <v>240</v>
      </c>
      <c r="G175" s="10"/>
    </row>
    <row r="176" spans="2:7" x14ac:dyDescent="0.3">
      <c r="D176" s="27"/>
      <c r="E176" s="13">
        <f>SUM(E168:E175)</f>
        <v>997</v>
      </c>
      <c r="F176" s="84">
        <f>SUM(F168:F175)</f>
        <v>19940</v>
      </c>
      <c r="G176" s="10"/>
    </row>
    <row r="179" spans="3:7" ht="23.4" x14ac:dyDescent="0.45">
      <c r="D179" s="172" t="s">
        <v>628</v>
      </c>
      <c r="E179" s="173"/>
      <c r="F179" s="173"/>
      <c r="G179" s="174"/>
    </row>
    <row r="180" spans="3:7" ht="46.8" x14ac:dyDescent="0.3">
      <c r="C180" s="1">
        <v>16</v>
      </c>
      <c r="D180" s="2" t="s">
        <v>0</v>
      </c>
      <c r="E180" s="3" t="s">
        <v>1</v>
      </c>
      <c r="F180" s="3" t="s">
        <v>740</v>
      </c>
      <c r="G180" s="4"/>
    </row>
    <row r="181" spans="3:7" x14ac:dyDescent="0.3">
      <c r="C181">
        <v>2</v>
      </c>
      <c r="D181" s="5" t="s">
        <v>188</v>
      </c>
      <c r="E181" s="6">
        <v>20</v>
      </c>
      <c r="F181" s="6">
        <f>(E181*50)</f>
        <v>1000</v>
      </c>
      <c r="G181" s="10" t="s">
        <v>7</v>
      </c>
    </row>
    <row r="182" spans="3:7" x14ac:dyDescent="0.3">
      <c r="C182">
        <v>3</v>
      </c>
      <c r="D182" s="5" t="s">
        <v>189</v>
      </c>
      <c r="E182" s="6">
        <v>15</v>
      </c>
      <c r="F182" s="6">
        <f>(E182*50)</f>
        <v>750</v>
      </c>
      <c r="G182" s="10" t="s">
        <v>7</v>
      </c>
    </row>
    <row r="183" spans="3:7" x14ac:dyDescent="0.3">
      <c r="C183">
        <v>1</v>
      </c>
      <c r="D183" s="5" t="s">
        <v>78</v>
      </c>
      <c r="E183" s="6">
        <v>10</v>
      </c>
      <c r="F183" s="6">
        <f>(E183*50)</f>
        <v>500</v>
      </c>
      <c r="G183" s="10" t="s">
        <v>7</v>
      </c>
    </row>
    <row r="184" spans="3:7" x14ac:dyDescent="0.3">
      <c r="C184">
        <v>4</v>
      </c>
      <c r="D184" s="5" t="s">
        <v>190</v>
      </c>
      <c r="E184" s="6">
        <v>10</v>
      </c>
      <c r="F184" s="6">
        <f>(E184*50)</f>
        <v>500</v>
      </c>
      <c r="G184" s="10" t="s">
        <v>7</v>
      </c>
    </row>
    <row r="185" spans="3:7" x14ac:dyDescent="0.3">
      <c r="C185">
        <v>6</v>
      </c>
      <c r="D185" s="5" t="s">
        <v>191</v>
      </c>
      <c r="E185" s="6">
        <v>1</v>
      </c>
      <c r="F185" s="6">
        <f>(E185*50)</f>
        <v>50</v>
      </c>
      <c r="G185" s="10" t="s">
        <v>7</v>
      </c>
    </row>
    <row r="186" spans="3:7" x14ac:dyDescent="0.3">
      <c r="C186">
        <v>5</v>
      </c>
      <c r="D186" s="5" t="s">
        <v>16</v>
      </c>
      <c r="E186" s="11">
        <v>941.5</v>
      </c>
      <c r="F186" s="6">
        <f>(E186*50)</f>
        <v>47075</v>
      </c>
      <c r="G186" s="10" t="s">
        <v>7</v>
      </c>
    </row>
    <row r="187" spans="3:7" x14ac:dyDescent="0.3">
      <c r="E187" s="13">
        <f>SUM(E181:E186)</f>
        <v>997.5</v>
      </c>
      <c r="F187" s="13">
        <f>SUM(F181:F186)</f>
        <v>49875</v>
      </c>
      <c r="G187" s="17"/>
    </row>
    <row r="190" spans="3:7" ht="23.4" x14ac:dyDescent="0.45">
      <c r="D190" s="172" t="s">
        <v>195</v>
      </c>
      <c r="E190" s="173"/>
      <c r="F190" s="173"/>
      <c r="G190" s="174"/>
    </row>
    <row r="191" spans="3:7" ht="46.8" x14ac:dyDescent="0.3">
      <c r="C191" s="1">
        <v>17</v>
      </c>
      <c r="D191" s="2" t="s">
        <v>0</v>
      </c>
      <c r="E191" s="3" t="s">
        <v>1</v>
      </c>
      <c r="F191" s="3" t="s">
        <v>15</v>
      </c>
      <c r="G191" s="4"/>
    </row>
    <row r="192" spans="3:7" x14ac:dyDescent="0.3">
      <c r="C192">
        <v>5</v>
      </c>
      <c r="D192" s="24" t="s">
        <v>186</v>
      </c>
      <c r="E192" s="6">
        <v>30</v>
      </c>
      <c r="F192" s="6">
        <f>(E192*15)</f>
        <v>450</v>
      </c>
      <c r="G192" s="10" t="s">
        <v>7</v>
      </c>
    </row>
    <row r="193" spans="3:7" x14ac:dyDescent="0.3">
      <c r="C193">
        <v>6</v>
      </c>
      <c r="D193" s="24" t="s">
        <v>196</v>
      </c>
      <c r="E193" s="6">
        <v>5</v>
      </c>
      <c r="F193" s="6">
        <f>(E193*15)</f>
        <v>75</v>
      </c>
      <c r="G193" s="10" t="s">
        <v>7</v>
      </c>
    </row>
    <row r="194" spans="3:7" x14ac:dyDescent="0.3">
      <c r="C194">
        <v>1</v>
      </c>
      <c r="D194" s="24" t="s">
        <v>16</v>
      </c>
      <c r="E194" s="6">
        <v>951.5</v>
      </c>
      <c r="F194" s="6">
        <f>(E194*20)</f>
        <v>19030</v>
      </c>
      <c r="G194" s="10" t="s">
        <v>7</v>
      </c>
    </row>
    <row r="195" spans="3:7" x14ac:dyDescent="0.3">
      <c r="C195">
        <v>4</v>
      </c>
      <c r="D195" s="24" t="s">
        <v>187</v>
      </c>
      <c r="E195" s="6">
        <v>9</v>
      </c>
      <c r="F195" s="6">
        <f>(E195*20)</f>
        <v>180</v>
      </c>
      <c r="G195" s="10" t="s">
        <v>7</v>
      </c>
    </row>
    <row r="196" spans="3:7" x14ac:dyDescent="0.3">
      <c r="C196">
        <v>2</v>
      </c>
      <c r="D196" s="24" t="s">
        <v>28</v>
      </c>
      <c r="E196" s="6">
        <v>1</v>
      </c>
      <c r="F196" s="6">
        <f>(E196*20)</f>
        <v>20</v>
      </c>
      <c r="G196" s="10" t="s">
        <v>7</v>
      </c>
    </row>
    <row r="197" spans="3:7" x14ac:dyDescent="0.3">
      <c r="C197">
        <v>3</v>
      </c>
      <c r="D197" s="24" t="s">
        <v>29</v>
      </c>
      <c r="E197" s="11">
        <v>0.5</v>
      </c>
      <c r="F197" s="6">
        <f>(E197*20)</f>
        <v>10</v>
      </c>
      <c r="G197" s="10" t="s">
        <v>7</v>
      </c>
    </row>
    <row r="198" spans="3:7" x14ac:dyDescent="0.3">
      <c r="D198" s="27"/>
      <c r="E198" s="19">
        <f>SUM(E192:E197)</f>
        <v>997</v>
      </c>
      <c r="F198" s="19">
        <f>SUM(F192:F197)</f>
        <v>19765</v>
      </c>
      <c r="G198" s="23"/>
    </row>
    <row r="201" spans="3:7" ht="23.4" x14ac:dyDescent="0.45">
      <c r="D201" s="172" t="s">
        <v>197</v>
      </c>
      <c r="E201" s="173"/>
      <c r="F201" s="173"/>
      <c r="G201" s="174"/>
    </row>
    <row r="202" spans="3:7" ht="46.8" x14ac:dyDescent="0.3">
      <c r="C202" s="1">
        <v>18</v>
      </c>
      <c r="D202" s="2" t="s">
        <v>0</v>
      </c>
      <c r="E202" s="3" t="s">
        <v>1</v>
      </c>
      <c r="F202" s="3" t="s">
        <v>94</v>
      </c>
      <c r="G202" s="4"/>
    </row>
    <row r="203" spans="3:7" x14ac:dyDescent="0.3">
      <c r="C203">
        <v>1</v>
      </c>
      <c r="D203" s="5" t="s">
        <v>16</v>
      </c>
      <c r="E203" s="6">
        <v>807.5</v>
      </c>
      <c r="F203" s="61"/>
      <c r="G203" s="10" t="s">
        <v>7</v>
      </c>
    </row>
    <row r="204" spans="3:7" x14ac:dyDescent="0.3">
      <c r="C204">
        <v>4</v>
      </c>
      <c r="D204" s="5" t="s">
        <v>67</v>
      </c>
      <c r="E204" s="6">
        <v>70</v>
      </c>
      <c r="F204" s="61"/>
      <c r="G204" s="10" t="s">
        <v>7</v>
      </c>
    </row>
    <row r="205" spans="3:7" x14ac:dyDescent="0.3">
      <c r="C205">
        <v>5</v>
      </c>
      <c r="D205" s="5" t="s">
        <v>68</v>
      </c>
      <c r="E205" s="6">
        <v>70</v>
      </c>
      <c r="F205" s="61"/>
      <c r="G205" s="10" t="s">
        <v>7</v>
      </c>
    </row>
    <row r="206" spans="3:7" x14ac:dyDescent="0.3">
      <c r="C206">
        <v>6</v>
      </c>
      <c r="D206" s="5" t="s">
        <v>124</v>
      </c>
      <c r="E206" s="6">
        <v>30</v>
      </c>
      <c r="F206" s="61"/>
      <c r="G206" s="10" t="s">
        <v>7</v>
      </c>
    </row>
    <row r="207" spans="3:7" x14ac:dyDescent="0.3">
      <c r="C207">
        <v>7</v>
      </c>
      <c r="D207" s="5" t="s">
        <v>125</v>
      </c>
      <c r="E207" s="6">
        <v>10</v>
      </c>
      <c r="F207" s="61"/>
      <c r="G207" s="10" t="s">
        <v>7</v>
      </c>
    </row>
    <row r="208" spans="3:7" x14ac:dyDescent="0.3">
      <c r="C208">
        <v>8</v>
      </c>
      <c r="D208" s="5" t="s">
        <v>198</v>
      </c>
      <c r="E208" s="6">
        <v>1</v>
      </c>
      <c r="F208" s="61"/>
      <c r="G208" s="5" t="s">
        <v>7</v>
      </c>
    </row>
    <row r="209" spans="3:7" x14ac:dyDescent="0.3">
      <c r="C209">
        <v>9</v>
      </c>
      <c r="D209" s="5" t="s">
        <v>19</v>
      </c>
      <c r="E209" s="6">
        <v>10</v>
      </c>
      <c r="F209" s="61"/>
      <c r="G209" s="5" t="s">
        <v>7</v>
      </c>
    </row>
    <row r="210" spans="3:7" x14ac:dyDescent="0.3">
      <c r="C210">
        <v>2</v>
      </c>
      <c r="D210" s="24" t="s">
        <v>28</v>
      </c>
      <c r="E210" s="25">
        <v>1</v>
      </c>
      <c r="F210" s="61"/>
      <c r="G210" s="5" t="s">
        <v>7</v>
      </c>
    </row>
    <row r="211" spans="3:7" x14ac:dyDescent="0.3">
      <c r="C211">
        <v>3</v>
      </c>
      <c r="D211" s="24" t="s">
        <v>29</v>
      </c>
      <c r="E211" s="11">
        <v>0.5</v>
      </c>
      <c r="F211" s="61"/>
      <c r="G211" s="5" t="s">
        <v>7</v>
      </c>
    </row>
    <row r="212" spans="3:7" x14ac:dyDescent="0.3">
      <c r="D212" s="27"/>
      <c r="E212" s="13">
        <f>SUM(E203:E211)</f>
        <v>1000</v>
      </c>
      <c r="F212" s="17"/>
      <c r="G212" s="17"/>
    </row>
    <row r="215" spans="3:7" ht="23.4" x14ac:dyDescent="0.45">
      <c r="D215" s="175" t="s">
        <v>960</v>
      </c>
      <c r="E215" s="175"/>
      <c r="F215" s="175"/>
      <c r="G215" s="175"/>
    </row>
    <row r="216" spans="3:7" ht="46.8" x14ac:dyDescent="0.3">
      <c r="C216" s="1">
        <v>19</v>
      </c>
      <c r="D216" s="2" t="s">
        <v>0</v>
      </c>
      <c r="E216" s="3" t="s">
        <v>1</v>
      </c>
      <c r="F216" s="3" t="s">
        <v>155</v>
      </c>
      <c r="G216" s="40"/>
    </row>
    <row r="217" spans="3:7" ht="15.6" x14ac:dyDescent="0.3">
      <c r="C217">
        <v>1</v>
      </c>
      <c r="D217" s="73" t="s">
        <v>156</v>
      </c>
      <c r="E217" s="42">
        <v>875</v>
      </c>
      <c r="F217" s="6">
        <f>(E217*20)</f>
        <v>17500</v>
      </c>
      <c r="G217" s="10" t="s">
        <v>7</v>
      </c>
    </row>
    <row r="218" spans="3:7" ht="15.6" x14ac:dyDescent="0.3">
      <c r="C218">
        <v>2</v>
      </c>
      <c r="D218" s="73" t="s">
        <v>157</v>
      </c>
      <c r="E218" s="42">
        <v>10</v>
      </c>
      <c r="F218" s="6">
        <f>(E218*20)</f>
        <v>200</v>
      </c>
      <c r="G218" s="10" t="s">
        <v>7</v>
      </c>
    </row>
    <row r="219" spans="3:7" ht="15.6" x14ac:dyDescent="0.3">
      <c r="C219">
        <v>3</v>
      </c>
      <c r="D219" s="73" t="s">
        <v>35</v>
      </c>
      <c r="E219" s="42">
        <v>10</v>
      </c>
      <c r="F219" s="6">
        <f>(E219*20)</f>
        <v>200</v>
      </c>
      <c r="G219" s="10" t="s">
        <v>7</v>
      </c>
    </row>
    <row r="220" spans="3:7" ht="15.6" x14ac:dyDescent="0.3">
      <c r="C220">
        <v>4</v>
      </c>
      <c r="D220" s="73" t="s">
        <v>158</v>
      </c>
      <c r="E220" s="42">
        <v>5</v>
      </c>
      <c r="F220" s="6">
        <f>(E220*20)</f>
        <v>100</v>
      </c>
      <c r="G220" s="10" t="s">
        <v>7</v>
      </c>
    </row>
    <row r="221" spans="3:7" ht="15.6" x14ac:dyDescent="0.3">
      <c r="C221">
        <v>5</v>
      </c>
      <c r="D221" s="73" t="s">
        <v>16</v>
      </c>
      <c r="E221" s="42">
        <v>100</v>
      </c>
      <c r="F221" s="6">
        <f>(E221*20)</f>
        <v>2000</v>
      </c>
      <c r="G221" s="10" t="s">
        <v>7</v>
      </c>
    </row>
    <row r="222" spans="3:7" x14ac:dyDescent="0.3">
      <c r="E222" s="50">
        <f>SUM(E217:E221)</f>
        <v>1000</v>
      </c>
      <c r="F222" s="50">
        <f>SUM(F217:F221)</f>
        <v>20000</v>
      </c>
      <c r="G222" s="54"/>
    </row>
    <row r="225" spans="3:7" ht="23.4" x14ac:dyDescent="0.45">
      <c r="D225" s="172" t="s">
        <v>202</v>
      </c>
      <c r="E225" s="173"/>
      <c r="F225" s="173"/>
      <c r="G225" s="174"/>
    </row>
    <row r="226" spans="3:7" ht="46.8" x14ac:dyDescent="0.3">
      <c r="C226" s="1">
        <v>20</v>
      </c>
      <c r="D226" s="2" t="s">
        <v>0</v>
      </c>
      <c r="E226" s="3" t="s">
        <v>1</v>
      </c>
      <c r="F226" s="3" t="s">
        <v>185</v>
      </c>
      <c r="G226" s="4"/>
    </row>
    <row r="227" spans="3:7" x14ac:dyDescent="0.3">
      <c r="C227">
        <v>2</v>
      </c>
      <c r="D227" s="24" t="s">
        <v>205</v>
      </c>
      <c r="E227" s="6">
        <v>1</v>
      </c>
      <c r="F227" s="6">
        <f>(E227*25)</f>
        <v>25</v>
      </c>
      <c r="G227" s="10"/>
    </row>
    <row r="228" spans="3:7" x14ac:dyDescent="0.3">
      <c r="C228">
        <v>4</v>
      </c>
      <c r="D228" s="24" t="s">
        <v>206</v>
      </c>
      <c r="E228" s="6">
        <v>100</v>
      </c>
      <c r="F228" s="6">
        <f>(E228*25)</f>
        <v>2500</v>
      </c>
      <c r="G228" s="10"/>
    </row>
    <row r="229" spans="3:7" x14ac:dyDescent="0.3">
      <c r="C229">
        <v>3</v>
      </c>
      <c r="D229" s="24" t="s">
        <v>60</v>
      </c>
      <c r="E229" s="6">
        <v>1</v>
      </c>
      <c r="F229" s="6">
        <f>(E229*25)</f>
        <v>25</v>
      </c>
      <c r="G229" s="10"/>
    </row>
    <row r="230" spans="3:7" x14ac:dyDescent="0.3">
      <c r="C230">
        <v>5</v>
      </c>
      <c r="D230" s="24" t="s">
        <v>203</v>
      </c>
      <c r="E230" s="6">
        <v>50</v>
      </c>
      <c r="F230" s="6">
        <f>(E230*25)</f>
        <v>1250</v>
      </c>
      <c r="G230" s="10"/>
    </row>
    <row r="231" spans="3:7" x14ac:dyDescent="0.3">
      <c r="C231">
        <v>8</v>
      </c>
      <c r="D231" s="24" t="s">
        <v>174</v>
      </c>
      <c r="E231" s="6">
        <v>4</v>
      </c>
      <c r="F231" s="6">
        <f>(E231*25)</f>
        <v>100</v>
      </c>
      <c r="G231" s="10"/>
    </row>
    <row r="232" spans="3:7" x14ac:dyDescent="0.3">
      <c r="C232">
        <v>6</v>
      </c>
      <c r="D232" s="24" t="s">
        <v>204</v>
      </c>
      <c r="E232" s="6">
        <v>30</v>
      </c>
      <c r="F232" s="6">
        <f>(E232*25)</f>
        <v>750</v>
      </c>
      <c r="G232" s="10"/>
    </row>
    <row r="233" spans="3:7" x14ac:dyDescent="0.3">
      <c r="C233">
        <v>1</v>
      </c>
      <c r="D233" s="24" t="s">
        <v>55</v>
      </c>
      <c r="E233" s="6">
        <v>813</v>
      </c>
      <c r="F233" s="6">
        <f>(E233*25)</f>
        <v>20325</v>
      </c>
      <c r="G233" s="10"/>
    </row>
    <row r="234" spans="3:7" x14ac:dyDescent="0.3">
      <c r="D234" s="27"/>
      <c r="E234" s="19">
        <f>SUM(E227:E233)</f>
        <v>999</v>
      </c>
      <c r="F234" s="19">
        <f>SUM(F227:F233)</f>
        <v>24975</v>
      </c>
      <c r="G234" s="23"/>
    </row>
    <row r="237" spans="3:7" ht="23.4" x14ac:dyDescent="0.45">
      <c r="D237" s="172" t="s">
        <v>683</v>
      </c>
      <c r="E237" s="173"/>
      <c r="F237" s="173"/>
      <c r="G237" s="174"/>
    </row>
    <row r="238" spans="3:7" ht="46.8" x14ac:dyDescent="0.3">
      <c r="C238" s="1">
        <v>21</v>
      </c>
      <c r="D238" s="2" t="s">
        <v>0</v>
      </c>
      <c r="E238" s="3" t="s">
        <v>1</v>
      </c>
      <c r="F238" s="3" t="s">
        <v>15</v>
      </c>
      <c r="G238" s="3" t="s">
        <v>295</v>
      </c>
    </row>
    <row r="239" spans="3:7" x14ac:dyDescent="0.3">
      <c r="C239">
        <v>2</v>
      </c>
      <c r="D239" s="24" t="s">
        <v>116</v>
      </c>
      <c r="E239" s="6">
        <v>30</v>
      </c>
      <c r="F239" s="6">
        <f>(E239*15)</f>
        <v>450</v>
      </c>
      <c r="G239" s="6">
        <f>(E239*20)</f>
        <v>600</v>
      </c>
    </row>
    <row r="240" spans="3:7" x14ac:dyDescent="0.3">
      <c r="C240">
        <v>1</v>
      </c>
      <c r="D240" s="24" t="s">
        <v>207</v>
      </c>
      <c r="E240" s="6">
        <v>970</v>
      </c>
      <c r="F240" s="6">
        <f>(E240*15)</f>
        <v>14550</v>
      </c>
      <c r="G240" s="6">
        <f>(E240*20)</f>
        <v>19400</v>
      </c>
    </row>
    <row r="241" spans="3:7" x14ac:dyDescent="0.3">
      <c r="C241">
        <v>3</v>
      </c>
      <c r="D241" s="24" t="s">
        <v>59</v>
      </c>
      <c r="E241" s="6">
        <v>30</v>
      </c>
      <c r="F241" s="6">
        <f>(E241*15)</f>
        <v>450</v>
      </c>
      <c r="G241" s="6">
        <f>(E241*20)</f>
        <v>600</v>
      </c>
    </row>
    <row r="242" spans="3:7" x14ac:dyDescent="0.3">
      <c r="C242">
        <v>4</v>
      </c>
      <c r="D242" s="24" t="s">
        <v>208</v>
      </c>
      <c r="E242" s="6">
        <v>2</v>
      </c>
      <c r="F242" s="6">
        <f>(E242*15)</f>
        <v>30</v>
      </c>
      <c r="G242" s="6">
        <f>(E242*20)</f>
        <v>40</v>
      </c>
    </row>
    <row r="243" spans="3:7" x14ac:dyDescent="0.3">
      <c r="D243" s="27"/>
      <c r="E243" s="19">
        <f>SUM(E239:E242)</f>
        <v>1032</v>
      </c>
      <c r="F243" s="19">
        <f>SUM(F239:F242)</f>
        <v>15480</v>
      </c>
      <c r="G243" s="19">
        <f>SUM(G239:G242)</f>
        <v>20640</v>
      </c>
    </row>
    <row r="244" spans="3:7" x14ac:dyDescent="0.3">
      <c r="D244" s="192" t="s">
        <v>376</v>
      </c>
      <c r="E244" s="192"/>
      <c r="F244" s="192"/>
      <c r="G244" s="192"/>
    </row>
    <row r="245" spans="3:7" x14ac:dyDescent="0.3">
      <c r="D245" s="192"/>
      <c r="E245" s="192"/>
      <c r="F245" s="192"/>
      <c r="G245" s="192"/>
    </row>
    <row r="248" spans="3:7" ht="23.4" x14ac:dyDescent="0.45">
      <c r="D248" s="172" t="s">
        <v>284</v>
      </c>
      <c r="E248" s="173"/>
      <c r="F248" s="173"/>
      <c r="G248" s="174"/>
    </row>
    <row r="249" spans="3:7" ht="46.8" x14ac:dyDescent="0.3">
      <c r="C249" s="1">
        <v>20</v>
      </c>
      <c r="D249" s="2" t="s">
        <v>0</v>
      </c>
      <c r="E249" s="3" t="s">
        <v>1</v>
      </c>
      <c r="F249" s="3" t="s">
        <v>741</v>
      </c>
      <c r="G249" s="4"/>
    </row>
    <row r="250" spans="3:7" x14ac:dyDescent="0.3">
      <c r="C250">
        <v>1</v>
      </c>
      <c r="D250" s="24" t="s">
        <v>55</v>
      </c>
      <c r="E250" s="6">
        <v>889</v>
      </c>
      <c r="F250" s="6">
        <f>(E250*9)</f>
        <v>8001</v>
      </c>
      <c r="G250" s="10" t="s">
        <v>7</v>
      </c>
    </row>
    <row r="251" spans="3:7" x14ac:dyDescent="0.3">
      <c r="C251">
        <v>2</v>
      </c>
      <c r="D251" s="24" t="s">
        <v>59</v>
      </c>
      <c r="E251" s="6">
        <v>50</v>
      </c>
      <c r="F251" s="6">
        <f>(E251*9)</f>
        <v>450</v>
      </c>
      <c r="G251" s="10" t="s">
        <v>7</v>
      </c>
    </row>
    <row r="252" spans="3:7" x14ac:dyDescent="0.3">
      <c r="C252">
        <v>3</v>
      </c>
      <c r="D252" s="24" t="s">
        <v>9</v>
      </c>
      <c r="E252" s="6">
        <v>30</v>
      </c>
      <c r="F252" s="6">
        <f>(E252*9)</f>
        <v>270</v>
      </c>
      <c r="G252" s="10"/>
    </row>
    <row r="253" spans="3:7" x14ac:dyDescent="0.3">
      <c r="C253">
        <v>4</v>
      </c>
      <c r="D253" s="24" t="s">
        <v>164</v>
      </c>
      <c r="E253" s="6">
        <v>1</v>
      </c>
      <c r="F253" s="6">
        <f>(E253*9)</f>
        <v>9</v>
      </c>
      <c r="G253" s="10" t="s">
        <v>7</v>
      </c>
    </row>
    <row r="254" spans="3:7" x14ac:dyDescent="0.3">
      <c r="C254">
        <v>5</v>
      </c>
      <c r="D254" s="24" t="s">
        <v>166</v>
      </c>
      <c r="E254" s="6">
        <v>10</v>
      </c>
      <c r="F254" s="6">
        <f>(E254*9)</f>
        <v>90</v>
      </c>
      <c r="G254" s="10" t="s">
        <v>7</v>
      </c>
    </row>
    <row r="255" spans="3:7" x14ac:dyDescent="0.3">
      <c r="C255">
        <v>6</v>
      </c>
      <c r="D255" s="24" t="s">
        <v>285</v>
      </c>
      <c r="E255" s="6">
        <v>1</v>
      </c>
      <c r="F255" s="6">
        <f>(E255*9)</f>
        <v>9</v>
      </c>
      <c r="G255" s="10"/>
    </row>
    <row r="256" spans="3:7" x14ac:dyDescent="0.3">
      <c r="C256">
        <v>7</v>
      </c>
      <c r="D256" s="24" t="s">
        <v>286</v>
      </c>
      <c r="E256" s="6">
        <v>11</v>
      </c>
      <c r="F256" s="6">
        <f>(E256*9)</f>
        <v>99</v>
      </c>
      <c r="G256" s="10" t="s">
        <v>7</v>
      </c>
    </row>
    <row r="257" spans="3:7" x14ac:dyDescent="0.3">
      <c r="C257">
        <v>8</v>
      </c>
      <c r="D257" s="24" t="s">
        <v>168</v>
      </c>
      <c r="E257" s="6">
        <v>10</v>
      </c>
      <c r="F257" s="6">
        <f>(E257*9)</f>
        <v>90</v>
      </c>
      <c r="G257" s="10"/>
    </row>
    <row r="258" spans="3:7" x14ac:dyDescent="0.3">
      <c r="C258">
        <v>9</v>
      </c>
      <c r="D258" s="24" t="s">
        <v>287</v>
      </c>
      <c r="E258" s="6">
        <v>1</v>
      </c>
      <c r="F258" s="6">
        <f>(E258*9)</f>
        <v>9</v>
      </c>
      <c r="G258" s="10"/>
    </row>
    <row r="259" spans="3:7" x14ac:dyDescent="0.3">
      <c r="C259">
        <v>10</v>
      </c>
      <c r="D259" s="24" t="s">
        <v>231</v>
      </c>
      <c r="E259" s="11">
        <v>0.5</v>
      </c>
      <c r="F259" s="6">
        <f>(E259*9)</f>
        <v>4.5</v>
      </c>
      <c r="G259" s="10" t="s">
        <v>7</v>
      </c>
    </row>
    <row r="260" spans="3:7" x14ac:dyDescent="0.3">
      <c r="D260" s="27"/>
      <c r="E260" s="19">
        <f>SUM(E250:E259)</f>
        <v>1003.5</v>
      </c>
      <c r="F260" s="19">
        <f>SUM(F250:F259)</f>
        <v>9031.5</v>
      </c>
      <c r="G260" s="23"/>
    </row>
    <row r="261" spans="3:7" x14ac:dyDescent="0.3">
      <c r="D261" s="192" t="s">
        <v>288</v>
      </c>
      <c r="E261" s="192"/>
      <c r="F261" s="192"/>
      <c r="G261" s="192"/>
    </row>
    <row r="262" spans="3:7" x14ac:dyDescent="0.3">
      <c r="D262" s="192"/>
      <c r="E262" s="192"/>
      <c r="F262" s="192"/>
      <c r="G262" s="192"/>
    </row>
    <row r="263" spans="3:7" ht="18" x14ac:dyDescent="0.3">
      <c r="D263" s="95"/>
      <c r="E263" s="95"/>
      <c r="F263" s="95"/>
      <c r="G263" s="95"/>
    </row>
    <row r="265" spans="3:7" ht="23.4" x14ac:dyDescent="0.3">
      <c r="D265" s="189" t="s">
        <v>338</v>
      </c>
      <c r="E265" s="190"/>
      <c r="F265" s="190"/>
      <c r="G265" s="191"/>
    </row>
    <row r="266" spans="3:7" ht="46.8" x14ac:dyDescent="0.3">
      <c r="C266" s="1">
        <v>21</v>
      </c>
      <c r="D266" s="2" t="s">
        <v>0</v>
      </c>
      <c r="E266" s="3" t="s">
        <v>1</v>
      </c>
      <c r="F266" s="3" t="s">
        <v>4</v>
      </c>
      <c r="G266" s="3" t="s">
        <v>502</v>
      </c>
    </row>
    <row r="267" spans="3:7" x14ac:dyDescent="0.3">
      <c r="C267">
        <v>2</v>
      </c>
      <c r="D267" s="5" t="s">
        <v>339</v>
      </c>
      <c r="E267" s="6">
        <v>983</v>
      </c>
      <c r="F267" s="9">
        <f>(E267*10)</f>
        <v>9830</v>
      </c>
      <c r="G267" s="9">
        <f>(E267*20)</f>
        <v>19660</v>
      </c>
    </row>
    <row r="268" spans="3:7" x14ac:dyDescent="0.3">
      <c r="C268">
        <v>1</v>
      </c>
      <c r="D268" s="5" t="s">
        <v>340</v>
      </c>
      <c r="E268" s="6">
        <v>15</v>
      </c>
      <c r="F268" s="9">
        <f>(E268*10)</f>
        <v>150</v>
      </c>
      <c r="G268" s="9">
        <f>(E268*20)</f>
        <v>300</v>
      </c>
    </row>
    <row r="269" spans="3:7" x14ac:dyDescent="0.3">
      <c r="C269">
        <v>3</v>
      </c>
      <c r="D269" s="5" t="s">
        <v>240</v>
      </c>
      <c r="E269" s="6">
        <v>2</v>
      </c>
      <c r="F269" s="9">
        <f>(E269*10)</f>
        <v>20</v>
      </c>
      <c r="G269" s="9">
        <f>(E269*20)</f>
        <v>40</v>
      </c>
    </row>
    <row r="270" spans="3:7" x14ac:dyDescent="0.3">
      <c r="E270" s="19">
        <f>SUM(E267:E269)</f>
        <v>1000</v>
      </c>
      <c r="F270" s="19">
        <f>SUM(F267:F269)</f>
        <v>10000</v>
      </c>
      <c r="G270" s="154">
        <f>SUM(G267:G269)</f>
        <v>20000</v>
      </c>
    </row>
    <row r="274" spans="3:7" ht="23.4" x14ac:dyDescent="0.45">
      <c r="D274" s="175" t="s">
        <v>375</v>
      </c>
      <c r="E274" s="175"/>
      <c r="F274" s="175"/>
      <c r="G274" s="175"/>
    </row>
    <row r="275" spans="3:7" ht="46.8" x14ac:dyDescent="0.3">
      <c r="C275" s="1">
        <v>13</v>
      </c>
      <c r="D275" s="2" t="s">
        <v>0</v>
      </c>
      <c r="E275" s="3" t="s">
        <v>135</v>
      </c>
      <c r="F275" s="3" t="s">
        <v>685</v>
      </c>
      <c r="G275" s="4"/>
    </row>
    <row r="276" spans="3:7" x14ac:dyDescent="0.3">
      <c r="C276">
        <v>5</v>
      </c>
      <c r="D276" s="24" t="s">
        <v>143</v>
      </c>
      <c r="E276" s="6">
        <v>620</v>
      </c>
      <c r="F276" s="6">
        <f>(E276*10)</f>
        <v>6200</v>
      </c>
      <c r="G276" s="10"/>
    </row>
    <row r="277" spans="3:7" x14ac:dyDescent="0.3">
      <c r="C277">
        <v>6</v>
      </c>
      <c r="D277" s="24" t="s">
        <v>59</v>
      </c>
      <c r="E277" s="6">
        <v>80</v>
      </c>
      <c r="F277" s="6">
        <f>(E277*10)</f>
        <v>800</v>
      </c>
      <c r="G277" s="10"/>
    </row>
    <row r="278" spans="3:7" x14ac:dyDescent="0.3">
      <c r="C278">
        <v>4</v>
      </c>
      <c r="D278" s="24" t="s">
        <v>159</v>
      </c>
      <c r="E278" s="6">
        <v>2</v>
      </c>
      <c r="F278" s="6">
        <f>(E278*10)</f>
        <v>20</v>
      </c>
      <c r="G278" s="10"/>
    </row>
    <row r="279" spans="3:7" x14ac:dyDescent="0.3">
      <c r="C279">
        <v>3</v>
      </c>
      <c r="D279" s="24" t="s">
        <v>160</v>
      </c>
      <c r="E279" s="6">
        <v>2</v>
      </c>
      <c r="F279" s="6">
        <f>(E279*10)</f>
        <v>20</v>
      </c>
      <c r="G279" s="10"/>
    </row>
    <row r="280" spans="3:7" x14ac:dyDescent="0.3">
      <c r="C280">
        <v>2</v>
      </c>
      <c r="D280" s="24" t="s">
        <v>161</v>
      </c>
      <c r="E280" s="6">
        <v>2</v>
      </c>
      <c r="F280" s="6">
        <f>(E280*10)</f>
        <v>20</v>
      </c>
      <c r="G280" s="10"/>
    </row>
    <row r="281" spans="3:7" x14ac:dyDescent="0.3">
      <c r="C281">
        <v>1</v>
      </c>
      <c r="D281" s="24" t="s">
        <v>258</v>
      </c>
      <c r="E281" s="6">
        <v>150</v>
      </c>
      <c r="F281" s="6">
        <f>(E281*10)</f>
        <v>1500</v>
      </c>
      <c r="G281" s="10"/>
    </row>
    <row r="282" spans="3:7" x14ac:dyDescent="0.3">
      <c r="C282">
        <v>7</v>
      </c>
      <c r="D282" s="24" t="s">
        <v>55</v>
      </c>
      <c r="E282" s="6">
        <v>144</v>
      </c>
      <c r="F282" s="6">
        <f>(E282*10)</f>
        <v>1440</v>
      </c>
      <c r="G282" s="10"/>
    </row>
    <row r="283" spans="3:7" x14ac:dyDescent="0.3">
      <c r="D283" s="27"/>
      <c r="E283" s="13">
        <f ca="1">SUM(E276:E285)</f>
        <v>1000</v>
      </c>
      <c r="F283" s="67">
        <f>SUM(F276:F282)</f>
        <v>10000</v>
      </c>
      <c r="G283" s="10"/>
    </row>
    <row r="286" spans="3:7" ht="23.4" x14ac:dyDescent="0.45">
      <c r="D286" s="266" t="s">
        <v>842</v>
      </c>
      <c r="E286" s="222"/>
      <c r="F286" s="222"/>
      <c r="G286" s="223"/>
    </row>
    <row r="287" spans="3:7" ht="46.8" x14ac:dyDescent="0.3">
      <c r="C287" s="224">
        <v>3</v>
      </c>
      <c r="D287" s="225" t="s">
        <v>0</v>
      </c>
      <c r="E287" s="226" t="s">
        <v>1</v>
      </c>
      <c r="F287" s="226" t="s">
        <v>408</v>
      </c>
      <c r="G287" s="227"/>
    </row>
    <row r="288" spans="3:7" x14ac:dyDescent="0.3">
      <c r="D288" s="228" t="s">
        <v>141</v>
      </c>
      <c r="E288" s="229">
        <v>20</v>
      </c>
      <c r="F288" s="229"/>
      <c r="G288" s="232" t="s">
        <v>7</v>
      </c>
    </row>
    <row r="289" spans="4:7" x14ac:dyDescent="0.3">
      <c r="D289" s="228" t="s">
        <v>374</v>
      </c>
      <c r="E289" s="229">
        <v>10</v>
      </c>
      <c r="F289" s="229"/>
      <c r="G289" s="232"/>
    </row>
    <row r="290" spans="4:7" x14ac:dyDescent="0.3">
      <c r="D290" s="228" t="s">
        <v>843</v>
      </c>
      <c r="E290" s="229">
        <v>50</v>
      </c>
      <c r="F290" s="229"/>
      <c r="G290" s="232" t="s">
        <v>7</v>
      </c>
    </row>
    <row r="291" spans="4:7" x14ac:dyDescent="0.3">
      <c r="D291" s="228" t="s">
        <v>59</v>
      </c>
      <c r="E291" s="229">
        <v>20</v>
      </c>
      <c r="F291" s="229"/>
      <c r="G291" s="232"/>
    </row>
    <row r="292" spans="4:7" x14ac:dyDescent="0.3">
      <c r="D292" s="228" t="s">
        <v>9</v>
      </c>
      <c r="E292" s="229">
        <v>50</v>
      </c>
      <c r="F292" s="229"/>
      <c r="G292" s="232"/>
    </row>
    <row r="293" spans="4:7" x14ac:dyDescent="0.3">
      <c r="D293" s="228" t="s">
        <v>286</v>
      </c>
      <c r="E293" s="229">
        <v>8</v>
      </c>
      <c r="F293" s="229"/>
      <c r="G293" s="232"/>
    </row>
    <row r="294" spans="4:7" x14ac:dyDescent="0.3">
      <c r="D294" s="228" t="s">
        <v>28</v>
      </c>
      <c r="E294" s="229">
        <v>1</v>
      </c>
      <c r="F294" s="229"/>
      <c r="G294" s="232"/>
    </row>
    <row r="295" spans="4:7" x14ac:dyDescent="0.3">
      <c r="D295" s="228" t="s">
        <v>231</v>
      </c>
      <c r="E295" s="230">
        <v>0.5</v>
      </c>
      <c r="F295" s="229"/>
      <c r="G295" s="232"/>
    </row>
    <row r="296" spans="4:7" x14ac:dyDescent="0.3">
      <c r="D296" s="228" t="s">
        <v>27</v>
      </c>
      <c r="E296" s="229">
        <v>630</v>
      </c>
      <c r="F296" s="229"/>
      <c r="G296" s="232" t="s">
        <v>7</v>
      </c>
    </row>
    <row r="297" spans="4:7" x14ac:dyDescent="0.3">
      <c r="D297" s="260" t="s">
        <v>822</v>
      </c>
      <c r="E297" s="229">
        <v>200</v>
      </c>
      <c r="F297" s="229"/>
      <c r="G297" s="232" t="s">
        <v>7</v>
      </c>
    </row>
    <row r="298" spans="4:7" x14ac:dyDescent="0.3">
      <c r="D298" s="264" t="s">
        <v>522</v>
      </c>
      <c r="E298" s="267">
        <v>10</v>
      </c>
      <c r="F298" s="229"/>
      <c r="G298" s="232" t="s">
        <v>7</v>
      </c>
    </row>
    <row r="299" spans="4:7" x14ac:dyDescent="0.3">
      <c r="D299" s="264" t="s">
        <v>174</v>
      </c>
      <c r="E299" s="267"/>
      <c r="F299" s="229"/>
      <c r="G299" s="232"/>
    </row>
    <row r="300" spans="4:7" x14ac:dyDescent="0.3">
      <c r="D300" s="264" t="s">
        <v>844</v>
      </c>
      <c r="E300" s="267"/>
      <c r="F300" s="229"/>
      <c r="G300" s="232"/>
    </row>
    <row r="301" spans="4:7" x14ac:dyDescent="0.3">
      <c r="D301" s="264" t="s">
        <v>20</v>
      </c>
      <c r="E301" s="267"/>
      <c r="F301" s="229"/>
      <c r="G301" s="232"/>
    </row>
    <row r="302" spans="4:7" x14ac:dyDescent="0.3">
      <c r="D302" s="235"/>
      <c r="E302" s="236">
        <f>SUM(E288:E298)</f>
        <v>999.5</v>
      </c>
      <c r="F302" s="239">
        <f t="shared" ref="F302" si="0">SUM(F288:F296)</f>
        <v>0</v>
      </c>
      <c r="G302" s="240"/>
    </row>
    <row r="305" spans="3:7" ht="23.4" x14ac:dyDescent="0.45">
      <c r="D305" s="172" t="s">
        <v>377</v>
      </c>
      <c r="E305" s="173"/>
      <c r="F305" s="173"/>
      <c r="G305" s="174"/>
    </row>
    <row r="306" spans="3:7" ht="46.8" x14ac:dyDescent="0.3">
      <c r="C306" s="1">
        <v>18</v>
      </c>
      <c r="D306" s="2" t="s">
        <v>0</v>
      </c>
      <c r="E306" s="3" t="s">
        <v>1</v>
      </c>
      <c r="F306" s="3" t="s">
        <v>94</v>
      </c>
      <c r="G306" s="4"/>
    </row>
    <row r="307" spans="3:7" x14ac:dyDescent="0.3">
      <c r="C307">
        <v>1</v>
      </c>
      <c r="D307" s="5" t="s">
        <v>16</v>
      </c>
      <c r="E307" s="6">
        <v>822</v>
      </c>
      <c r="F307" s="61"/>
      <c r="G307" s="10" t="s">
        <v>7</v>
      </c>
    </row>
    <row r="308" spans="3:7" x14ac:dyDescent="0.3">
      <c r="C308">
        <v>4</v>
      </c>
      <c r="D308" s="5" t="s">
        <v>67</v>
      </c>
      <c r="E308" s="6">
        <v>70</v>
      </c>
      <c r="F308" s="61"/>
      <c r="G308" s="10" t="s">
        <v>7</v>
      </c>
    </row>
    <row r="309" spans="3:7" x14ac:dyDescent="0.3">
      <c r="C309">
        <v>5</v>
      </c>
      <c r="D309" s="5" t="s">
        <v>68</v>
      </c>
      <c r="E309" s="6">
        <v>70</v>
      </c>
      <c r="F309" s="61"/>
      <c r="G309" s="10" t="s">
        <v>7</v>
      </c>
    </row>
    <row r="310" spans="3:7" x14ac:dyDescent="0.3">
      <c r="C310">
        <v>6</v>
      </c>
      <c r="D310" s="5" t="s">
        <v>378</v>
      </c>
      <c r="E310" s="6">
        <v>30</v>
      </c>
      <c r="F310" s="61"/>
      <c r="G310" s="10" t="s">
        <v>7</v>
      </c>
    </row>
    <row r="311" spans="3:7" x14ac:dyDescent="0.3">
      <c r="C311">
        <v>7</v>
      </c>
      <c r="D311" s="5" t="s">
        <v>70</v>
      </c>
      <c r="E311" s="6">
        <v>10</v>
      </c>
      <c r="F311" s="61"/>
      <c r="G311" s="10" t="s">
        <v>7</v>
      </c>
    </row>
    <row r="312" spans="3:7" x14ac:dyDescent="0.3">
      <c r="C312">
        <v>8</v>
      </c>
      <c r="D312" s="5" t="s">
        <v>248</v>
      </c>
      <c r="E312" s="6">
        <v>1</v>
      </c>
      <c r="F312" s="61"/>
      <c r="G312" s="5" t="s">
        <v>7</v>
      </c>
    </row>
    <row r="313" spans="3:7" x14ac:dyDescent="0.3">
      <c r="C313">
        <v>9</v>
      </c>
      <c r="D313" s="5" t="s">
        <v>380</v>
      </c>
      <c r="E313" s="6">
        <v>10</v>
      </c>
      <c r="F313" s="61"/>
      <c r="G313" s="5" t="s">
        <v>7</v>
      </c>
    </row>
    <row r="314" spans="3:7" x14ac:dyDescent="0.3">
      <c r="C314">
        <v>2</v>
      </c>
      <c r="D314" s="24" t="s">
        <v>73</v>
      </c>
      <c r="E314" s="25">
        <v>1</v>
      </c>
      <c r="F314" s="61"/>
      <c r="G314" s="5" t="s">
        <v>7</v>
      </c>
    </row>
    <row r="315" spans="3:7" x14ac:dyDescent="0.3">
      <c r="D315" s="27"/>
      <c r="E315" s="13">
        <f>SUM(E307:E314)</f>
        <v>1014</v>
      </c>
      <c r="F315" s="17"/>
      <c r="G315" s="17"/>
    </row>
    <row r="318" spans="3:7" ht="23.4" x14ac:dyDescent="0.45">
      <c r="D318" s="172" t="s">
        <v>381</v>
      </c>
      <c r="E318" s="173"/>
      <c r="F318" s="173"/>
      <c r="G318" s="174"/>
    </row>
    <row r="319" spans="3:7" ht="46.8" x14ac:dyDescent="0.3">
      <c r="C319" s="1">
        <v>22</v>
      </c>
      <c r="D319" s="2" t="s">
        <v>0</v>
      </c>
      <c r="E319" s="3" t="s">
        <v>1</v>
      </c>
      <c r="F319" s="3" t="s">
        <v>184</v>
      </c>
      <c r="G319" s="3" t="s">
        <v>346</v>
      </c>
    </row>
    <row r="320" spans="3:7" x14ac:dyDescent="0.3">
      <c r="C320">
        <v>6</v>
      </c>
      <c r="D320" s="24" t="s">
        <v>382</v>
      </c>
      <c r="E320" s="6">
        <v>10</v>
      </c>
      <c r="F320" s="130" t="e">
        <f>(#REF!*10)</f>
        <v>#REF!</v>
      </c>
      <c r="G320" s="130">
        <f>(E320/1000*100)</f>
        <v>1</v>
      </c>
    </row>
    <row r="321" spans="3:7" x14ac:dyDescent="0.3">
      <c r="C321">
        <v>7</v>
      </c>
      <c r="D321" s="24" t="s">
        <v>168</v>
      </c>
      <c r="E321" s="6">
        <v>10</v>
      </c>
      <c r="F321" s="6">
        <f>(E321*25)</f>
        <v>250</v>
      </c>
      <c r="G321" s="130">
        <f>(E321/1000*100)</f>
        <v>1</v>
      </c>
    </row>
    <row r="322" spans="3:7" x14ac:dyDescent="0.3">
      <c r="C322">
        <v>5</v>
      </c>
      <c r="D322" s="24" t="s">
        <v>383</v>
      </c>
      <c r="E322" s="6">
        <v>50</v>
      </c>
      <c r="F322" s="6">
        <f>(E322*25)</f>
        <v>1250</v>
      </c>
      <c r="G322" s="130">
        <f>(E322/1000*100)</f>
        <v>5</v>
      </c>
    </row>
    <row r="323" spans="3:7" x14ac:dyDescent="0.3">
      <c r="C323">
        <v>9</v>
      </c>
      <c r="D323" s="24" t="s">
        <v>379</v>
      </c>
      <c r="E323" s="6">
        <v>20</v>
      </c>
      <c r="F323" s="6"/>
      <c r="G323" s="130">
        <f>(E323/1000*100)</f>
        <v>2</v>
      </c>
    </row>
    <row r="324" spans="3:7" x14ac:dyDescent="0.3">
      <c r="C324">
        <v>8</v>
      </c>
      <c r="D324" s="24" t="s">
        <v>244</v>
      </c>
      <c r="E324" s="6">
        <v>10</v>
      </c>
      <c r="F324" s="6">
        <f>(E324*25)</f>
        <v>250</v>
      </c>
      <c r="G324" s="130">
        <f>(E324/1000*100)</f>
        <v>1</v>
      </c>
    </row>
    <row r="325" spans="3:7" x14ac:dyDescent="0.3">
      <c r="C325">
        <v>4</v>
      </c>
      <c r="D325" s="24" t="s">
        <v>384</v>
      </c>
      <c r="E325" s="6">
        <v>5</v>
      </c>
      <c r="F325" s="6">
        <f>(E325*25)</f>
        <v>125</v>
      </c>
      <c r="G325" s="130">
        <f>(E325/1000*100)</f>
        <v>0.5</v>
      </c>
    </row>
    <row r="326" spans="3:7" x14ac:dyDescent="0.3">
      <c r="C326">
        <v>3</v>
      </c>
      <c r="D326" s="24" t="s">
        <v>59</v>
      </c>
      <c r="E326" s="6">
        <v>30</v>
      </c>
      <c r="F326" s="6">
        <f>(E326*25)</f>
        <v>750</v>
      </c>
      <c r="G326" s="130">
        <f>(E326/1000*100)</f>
        <v>3</v>
      </c>
    </row>
    <row r="327" spans="3:7" x14ac:dyDescent="0.3">
      <c r="C327">
        <v>2</v>
      </c>
      <c r="D327" s="24" t="s">
        <v>385</v>
      </c>
      <c r="E327" s="11">
        <v>2</v>
      </c>
      <c r="F327" s="6">
        <f>(E327*25)</f>
        <v>50</v>
      </c>
      <c r="G327" s="130">
        <f>(E327/1000*100)</f>
        <v>0.2</v>
      </c>
    </row>
    <row r="328" spans="3:7" x14ac:dyDescent="0.3">
      <c r="C328">
        <v>1</v>
      </c>
      <c r="D328" s="24" t="s">
        <v>27</v>
      </c>
      <c r="E328" s="11">
        <v>863</v>
      </c>
      <c r="F328" s="6"/>
      <c r="G328" s="130">
        <f>(E328/1000*100)</f>
        <v>86.3</v>
      </c>
    </row>
    <row r="329" spans="3:7" x14ac:dyDescent="0.3">
      <c r="D329" s="27"/>
      <c r="E329" s="19">
        <f>SUM(E320:E328)</f>
        <v>1000</v>
      </c>
      <c r="F329" s="19" t="e">
        <f>SUM(F320:F328)</f>
        <v>#REF!</v>
      </c>
      <c r="G329" s="131">
        <f>SUM(G320:G328)</f>
        <v>100</v>
      </c>
    </row>
    <row r="332" spans="3:7" ht="23.4" x14ac:dyDescent="0.45">
      <c r="D332" s="172" t="s">
        <v>393</v>
      </c>
      <c r="E332" s="173"/>
      <c r="F332" s="173"/>
      <c r="G332" s="174"/>
    </row>
    <row r="333" spans="3:7" ht="46.8" x14ac:dyDescent="0.3">
      <c r="C333" s="1">
        <v>6</v>
      </c>
      <c r="D333" s="2" t="s">
        <v>0</v>
      </c>
      <c r="E333" s="3" t="s">
        <v>1</v>
      </c>
      <c r="F333" s="3" t="s">
        <v>94</v>
      </c>
      <c r="G333" s="4"/>
    </row>
    <row r="334" spans="3:7" x14ac:dyDescent="0.3">
      <c r="C334">
        <v>1</v>
      </c>
      <c r="D334" s="5" t="s">
        <v>16</v>
      </c>
      <c r="E334" s="6">
        <v>860</v>
      </c>
      <c r="F334" s="61"/>
      <c r="G334" s="10" t="s">
        <v>7</v>
      </c>
    </row>
    <row r="335" spans="3:7" x14ac:dyDescent="0.3">
      <c r="C335">
        <v>3</v>
      </c>
      <c r="D335" s="5" t="s">
        <v>125</v>
      </c>
      <c r="E335" s="6">
        <v>50</v>
      </c>
      <c r="F335" s="61"/>
      <c r="G335" s="10" t="s">
        <v>7</v>
      </c>
    </row>
    <row r="336" spans="3:7" x14ac:dyDescent="0.3">
      <c r="D336" s="5" t="s">
        <v>194</v>
      </c>
      <c r="E336" s="6">
        <v>5</v>
      </c>
      <c r="F336" s="61"/>
      <c r="G336" s="10"/>
    </row>
    <row r="337" spans="3:7" x14ac:dyDescent="0.3">
      <c r="C337">
        <v>5</v>
      </c>
      <c r="D337" s="5" t="s">
        <v>244</v>
      </c>
      <c r="E337" s="6">
        <v>20</v>
      </c>
      <c r="F337" s="61"/>
      <c r="G337" s="10" t="s">
        <v>7</v>
      </c>
    </row>
    <row r="338" spans="3:7" x14ac:dyDescent="0.3">
      <c r="D338" s="5" t="s">
        <v>59</v>
      </c>
      <c r="E338" s="6">
        <v>50</v>
      </c>
      <c r="F338" s="61"/>
      <c r="G338" s="10"/>
    </row>
    <row r="339" spans="3:7" x14ac:dyDescent="0.3">
      <c r="D339" s="5" t="s">
        <v>389</v>
      </c>
      <c r="E339" s="6">
        <v>5</v>
      </c>
      <c r="F339" s="61"/>
      <c r="G339" s="10"/>
    </row>
    <row r="340" spans="3:7" x14ac:dyDescent="0.3">
      <c r="C340">
        <v>6</v>
      </c>
      <c r="D340" s="5" t="s">
        <v>390</v>
      </c>
      <c r="E340" s="6">
        <v>5</v>
      </c>
      <c r="F340" s="61"/>
      <c r="G340" s="10" t="s">
        <v>7</v>
      </c>
    </row>
    <row r="341" spans="3:7" x14ac:dyDescent="0.3">
      <c r="D341" s="5" t="s">
        <v>138</v>
      </c>
      <c r="E341" s="6">
        <v>1</v>
      </c>
      <c r="F341" s="61"/>
      <c r="G341" s="10"/>
    </row>
    <row r="342" spans="3:7" x14ac:dyDescent="0.3">
      <c r="C342">
        <v>2</v>
      </c>
      <c r="D342" s="5" t="s">
        <v>391</v>
      </c>
      <c r="E342" s="6">
        <v>20</v>
      </c>
      <c r="F342" s="61"/>
      <c r="G342" s="5" t="s">
        <v>7</v>
      </c>
    </row>
    <row r="343" spans="3:7" x14ac:dyDescent="0.3">
      <c r="D343" s="27"/>
      <c r="E343" s="13">
        <f>SUM(E334:E342)</f>
        <v>1016</v>
      </c>
      <c r="F343" s="17"/>
      <c r="G343" s="17"/>
    </row>
    <row r="344" spans="3:7" x14ac:dyDescent="0.3">
      <c r="D344" s="192" t="s">
        <v>392</v>
      </c>
      <c r="E344" s="192"/>
      <c r="F344" s="192"/>
      <c r="G344" s="192"/>
    </row>
    <row r="345" spans="3:7" x14ac:dyDescent="0.3">
      <c r="D345" s="192"/>
      <c r="E345" s="192"/>
      <c r="F345" s="192"/>
      <c r="G345" s="192"/>
    </row>
    <row r="348" spans="3:7" ht="23.4" x14ac:dyDescent="0.45">
      <c r="D348" s="172" t="s">
        <v>690</v>
      </c>
      <c r="E348" s="173"/>
      <c r="F348" s="173"/>
      <c r="G348" s="174"/>
    </row>
    <row r="349" spans="3:7" ht="46.8" x14ac:dyDescent="0.3">
      <c r="C349" s="1">
        <v>6</v>
      </c>
      <c r="D349" s="2" t="s">
        <v>0</v>
      </c>
      <c r="E349" s="3" t="s">
        <v>1</v>
      </c>
      <c r="F349" s="3" t="s">
        <v>94</v>
      </c>
      <c r="G349" s="4"/>
    </row>
    <row r="350" spans="3:7" x14ac:dyDescent="0.3">
      <c r="D350" s="5" t="s">
        <v>16</v>
      </c>
      <c r="E350" s="6">
        <v>860</v>
      </c>
      <c r="F350" s="6">
        <f>(E350*51)</f>
        <v>43860</v>
      </c>
      <c r="G350" s="10" t="s">
        <v>7</v>
      </c>
    </row>
    <row r="351" spans="3:7" x14ac:dyDescent="0.3">
      <c r="D351" s="5" t="s">
        <v>125</v>
      </c>
      <c r="E351" s="6">
        <v>50</v>
      </c>
      <c r="F351" s="6">
        <f>(E351*51)</f>
        <v>2550</v>
      </c>
      <c r="G351" s="10" t="s">
        <v>7</v>
      </c>
    </row>
    <row r="352" spans="3:7" x14ac:dyDescent="0.3">
      <c r="D352" s="5" t="s">
        <v>194</v>
      </c>
      <c r="E352" s="6">
        <v>5</v>
      </c>
      <c r="F352" s="6">
        <f>(E352*51)</f>
        <v>255</v>
      </c>
      <c r="G352" s="10"/>
    </row>
    <row r="353" spans="3:7" x14ac:dyDescent="0.3">
      <c r="D353" s="5" t="s">
        <v>244</v>
      </c>
      <c r="E353" s="6">
        <v>20</v>
      </c>
      <c r="F353" s="6">
        <f>(E353*51)</f>
        <v>1020</v>
      </c>
      <c r="G353" s="10" t="s">
        <v>7</v>
      </c>
    </row>
    <row r="354" spans="3:7" x14ac:dyDescent="0.3">
      <c r="D354" s="5" t="s">
        <v>59</v>
      </c>
      <c r="E354" s="6">
        <v>50</v>
      </c>
      <c r="F354" s="6">
        <f>(E354*51)</f>
        <v>2550</v>
      </c>
      <c r="G354" s="10"/>
    </row>
    <row r="355" spans="3:7" x14ac:dyDescent="0.3">
      <c r="D355" s="5" t="s">
        <v>389</v>
      </c>
      <c r="E355" s="6">
        <v>5</v>
      </c>
      <c r="F355" s="6">
        <f>(E355*51)</f>
        <v>255</v>
      </c>
      <c r="G355" s="10"/>
    </row>
    <row r="356" spans="3:7" x14ac:dyDescent="0.3">
      <c r="D356" s="5" t="s">
        <v>390</v>
      </c>
      <c r="E356" s="6">
        <v>1</v>
      </c>
      <c r="F356" s="6">
        <f>(E356*51)</f>
        <v>51</v>
      </c>
      <c r="G356" s="10" t="s">
        <v>7</v>
      </c>
    </row>
    <row r="357" spans="3:7" x14ac:dyDescent="0.3">
      <c r="D357" s="5" t="s">
        <v>138</v>
      </c>
      <c r="E357" s="6">
        <v>1</v>
      </c>
      <c r="F357" s="6">
        <f>(E357*51)</f>
        <v>51</v>
      </c>
      <c r="G357" s="10"/>
    </row>
    <row r="358" spans="3:7" x14ac:dyDescent="0.3">
      <c r="D358" s="5" t="s">
        <v>391</v>
      </c>
      <c r="E358" s="6">
        <v>5</v>
      </c>
      <c r="F358" s="6">
        <f>(E358*51)</f>
        <v>255</v>
      </c>
      <c r="G358" s="5" t="s">
        <v>7</v>
      </c>
    </row>
    <row r="359" spans="3:7" x14ac:dyDescent="0.3">
      <c r="D359" s="93" t="s">
        <v>167</v>
      </c>
      <c r="E359" s="6">
        <v>8</v>
      </c>
      <c r="F359" s="6">
        <f>(E359*51)</f>
        <v>408</v>
      </c>
      <c r="G359" s="5"/>
    </row>
    <row r="360" spans="3:7" x14ac:dyDescent="0.3">
      <c r="D360" s="5" t="s">
        <v>394</v>
      </c>
      <c r="E360" s="6">
        <v>8</v>
      </c>
      <c r="F360" s="6">
        <f>(E360*51)</f>
        <v>408</v>
      </c>
      <c r="G360" s="5"/>
    </row>
    <row r="361" spans="3:7" x14ac:dyDescent="0.3">
      <c r="D361" s="27"/>
      <c r="E361" s="13">
        <f>SUM(E350:E360)</f>
        <v>1013</v>
      </c>
      <c r="F361" s="67">
        <f>SUM(F350:F360)</f>
        <v>51663</v>
      </c>
      <c r="G361" s="17"/>
    </row>
    <row r="362" spans="3:7" x14ac:dyDescent="0.3">
      <c r="D362" s="192" t="s">
        <v>392</v>
      </c>
      <c r="E362" s="192"/>
      <c r="F362" s="192"/>
      <c r="G362" s="192"/>
    </row>
    <row r="363" spans="3:7" x14ac:dyDescent="0.3">
      <c r="D363" s="192"/>
      <c r="E363" s="192"/>
      <c r="F363" s="192"/>
      <c r="G363" s="192"/>
    </row>
    <row r="366" spans="3:7" ht="23.4" x14ac:dyDescent="0.45">
      <c r="D366" s="172" t="s">
        <v>427</v>
      </c>
      <c r="E366" s="173"/>
      <c r="F366" s="173"/>
      <c r="G366" s="174"/>
    </row>
    <row r="367" spans="3:7" ht="46.8" x14ac:dyDescent="0.3">
      <c r="C367" s="1">
        <v>18</v>
      </c>
      <c r="D367" s="2" t="s">
        <v>0</v>
      </c>
      <c r="E367" s="3" t="s">
        <v>1</v>
      </c>
      <c r="F367" s="3" t="s">
        <v>94</v>
      </c>
      <c r="G367" s="4"/>
    </row>
    <row r="368" spans="3:7" x14ac:dyDescent="0.3">
      <c r="C368">
        <v>1</v>
      </c>
      <c r="D368" s="5" t="s">
        <v>16</v>
      </c>
      <c r="E368" s="6">
        <v>822</v>
      </c>
      <c r="F368" s="61"/>
      <c r="G368" s="10" t="s">
        <v>7</v>
      </c>
    </row>
    <row r="369" spans="3:7" x14ac:dyDescent="0.3">
      <c r="C369">
        <v>4</v>
      </c>
      <c r="D369" s="5" t="s">
        <v>67</v>
      </c>
      <c r="E369" s="6">
        <v>70</v>
      </c>
      <c r="F369" s="61"/>
      <c r="G369" s="10" t="s">
        <v>7</v>
      </c>
    </row>
    <row r="370" spans="3:7" x14ac:dyDescent="0.3">
      <c r="C370">
        <v>5</v>
      </c>
      <c r="D370" s="5" t="s">
        <v>68</v>
      </c>
      <c r="E370" s="6">
        <v>70</v>
      </c>
      <c r="F370" s="61"/>
      <c r="G370" s="10" t="s">
        <v>7</v>
      </c>
    </row>
    <row r="371" spans="3:7" x14ac:dyDescent="0.3">
      <c r="D371" s="5" t="s">
        <v>244</v>
      </c>
      <c r="E371" s="6">
        <v>10</v>
      </c>
      <c r="F371" s="61"/>
      <c r="G371" s="10"/>
    </row>
    <row r="372" spans="3:7" x14ac:dyDescent="0.3">
      <c r="C372">
        <v>6</v>
      </c>
      <c r="D372" s="5" t="s">
        <v>386</v>
      </c>
      <c r="E372" s="6">
        <v>15</v>
      </c>
      <c r="F372" s="61"/>
      <c r="G372" s="10" t="s">
        <v>7</v>
      </c>
    </row>
    <row r="373" spans="3:7" x14ac:dyDescent="0.3">
      <c r="C373">
        <v>7</v>
      </c>
      <c r="D373" s="5" t="s">
        <v>425</v>
      </c>
      <c r="E373" s="6">
        <v>10</v>
      </c>
      <c r="F373" s="61"/>
      <c r="G373" s="10" t="s">
        <v>7</v>
      </c>
    </row>
    <row r="374" spans="3:7" x14ac:dyDescent="0.3">
      <c r="C374">
        <v>8</v>
      </c>
      <c r="D374" s="5" t="s">
        <v>362</v>
      </c>
      <c r="E374" s="6">
        <v>15</v>
      </c>
      <c r="F374" s="61"/>
      <c r="G374" s="5" t="s">
        <v>7</v>
      </c>
    </row>
    <row r="375" spans="3:7" x14ac:dyDescent="0.3">
      <c r="C375">
        <v>9</v>
      </c>
      <c r="D375" s="5" t="s">
        <v>228</v>
      </c>
      <c r="E375" s="6">
        <v>10</v>
      </c>
      <c r="F375" s="61"/>
      <c r="G375" s="5" t="s">
        <v>7</v>
      </c>
    </row>
    <row r="376" spans="3:7" x14ac:dyDescent="0.3">
      <c r="D376" s="5" t="s">
        <v>468</v>
      </c>
      <c r="E376" s="25">
        <v>2</v>
      </c>
      <c r="F376" s="61"/>
      <c r="G376" s="5"/>
    </row>
    <row r="377" spans="3:7" x14ac:dyDescent="0.3">
      <c r="C377">
        <v>2</v>
      </c>
      <c r="D377" s="24" t="s">
        <v>73</v>
      </c>
      <c r="E377" s="25">
        <v>1</v>
      </c>
      <c r="F377" s="61"/>
      <c r="G377" s="5" t="s">
        <v>7</v>
      </c>
    </row>
    <row r="378" spans="3:7" x14ac:dyDescent="0.3">
      <c r="D378" s="27"/>
      <c r="E378" s="13">
        <f>SUM(E368:E377)</f>
        <v>1025</v>
      </c>
      <c r="F378" s="17"/>
      <c r="G378" s="17"/>
    </row>
    <row r="379" spans="3:7" x14ac:dyDescent="0.3">
      <c r="D379" s="27"/>
      <c r="E379" s="134"/>
      <c r="F379" s="137"/>
      <c r="G379" s="137"/>
    </row>
    <row r="380" spans="3:7" x14ac:dyDescent="0.3">
      <c r="D380" s="27"/>
      <c r="E380" s="134"/>
      <c r="F380" s="137"/>
      <c r="G380" s="137"/>
    </row>
    <row r="382" spans="3:7" ht="23.4" x14ac:dyDescent="0.45">
      <c r="D382" s="172" t="s">
        <v>460</v>
      </c>
      <c r="E382" s="173"/>
      <c r="F382" s="173"/>
      <c r="G382" s="174"/>
    </row>
    <row r="383" spans="3:7" ht="46.8" x14ac:dyDescent="0.3">
      <c r="C383" s="1">
        <v>6</v>
      </c>
      <c r="D383" s="2" t="s">
        <v>0</v>
      </c>
      <c r="E383" s="3" t="s">
        <v>1</v>
      </c>
      <c r="F383" s="3" t="s">
        <v>94</v>
      </c>
      <c r="G383" s="4"/>
    </row>
    <row r="384" spans="3:7" x14ac:dyDescent="0.3">
      <c r="D384" s="5" t="s">
        <v>16</v>
      </c>
      <c r="E384" s="6">
        <v>749</v>
      </c>
      <c r="F384" s="61"/>
      <c r="G384" s="10" t="s">
        <v>7</v>
      </c>
    </row>
    <row r="385" spans="4:7" x14ac:dyDescent="0.3">
      <c r="D385" s="5" t="s">
        <v>244</v>
      </c>
      <c r="E385" s="6">
        <v>5</v>
      </c>
      <c r="F385" s="61"/>
      <c r="G385" s="10"/>
    </row>
    <row r="386" spans="4:7" x14ac:dyDescent="0.3">
      <c r="D386" s="5" t="s">
        <v>434</v>
      </c>
      <c r="E386" s="6">
        <v>20</v>
      </c>
      <c r="F386" s="61"/>
      <c r="G386" s="10"/>
    </row>
    <row r="387" spans="4:7" x14ac:dyDescent="0.3">
      <c r="D387" s="5" t="s">
        <v>435</v>
      </c>
      <c r="E387" s="6">
        <v>15</v>
      </c>
      <c r="F387" s="61"/>
      <c r="G387" s="10"/>
    </row>
    <row r="388" spans="4:7" x14ac:dyDescent="0.3">
      <c r="D388" s="5" t="s">
        <v>436</v>
      </c>
      <c r="E388" s="6">
        <v>10</v>
      </c>
      <c r="F388" s="61"/>
      <c r="G388" s="10"/>
    </row>
    <row r="389" spans="4:7" x14ac:dyDescent="0.3">
      <c r="D389" s="5" t="s">
        <v>59</v>
      </c>
      <c r="E389" s="6">
        <v>30</v>
      </c>
      <c r="F389" s="61"/>
      <c r="G389" s="10" t="s">
        <v>7</v>
      </c>
    </row>
    <row r="390" spans="4:7" x14ac:dyDescent="0.3">
      <c r="D390" s="5" t="s">
        <v>163</v>
      </c>
      <c r="E390" s="6">
        <v>50</v>
      </c>
      <c r="F390" s="61"/>
      <c r="G390" s="10"/>
    </row>
    <row r="391" spans="4:7" x14ac:dyDescent="0.3">
      <c r="D391" s="5" t="s">
        <v>437</v>
      </c>
      <c r="E391" s="6">
        <v>5</v>
      </c>
      <c r="F391" s="61"/>
      <c r="G391" s="10" t="s">
        <v>7</v>
      </c>
    </row>
    <row r="392" spans="4:7" x14ac:dyDescent="0.3">
      <c r="D392" s="5" t="s">
        <v>359</v>
      </c>
      <c r="E392" s="6">
        <v>100</v>
      </c>
      <c r="F392" s="61"/>
      <c r="G392" s="10"/>
    </row>
    <row r="393" spans="4:7" x14ac:dyDescent="0.3">
      <c r="D393" s="5" t="s">
        <v>438</v>
      </c>
      <c r="E393" s="6">
        <v>5</v>
      </c>
      <c r="F393" s="61"/>
      <c r="G393" s="10"/>
    </row>
    <row r="394" spans="4:7" x14ac:dyDescent="0.3">
      <c r="D394" s="5" t="s">
        <v>176</v>
      </c>
      <c r="E394" s="6">
        <v>3</v>
      </c>
      <c r="F394" s="61"/>
      <c r="G394" s="10" t="s">
        <v>7</v>
      </c>
    </row>
    <row r="395" spans="4:7" x14ac:dyDescent="0.3">
      <c r="D395" s="5" t="s">
        <v>277</v>
      </c>
      <c r="E395" s="6">
        <v>3</v>
      </c>
      <c r="F395" s="61"/>
      <c r="G395" s="10"/>
    </row>
    <row r="396" spans="4:7" x14ac:dyDescent="0.3">
      <c r="D396" s="5" t="s">
        <v>439</v>
      </c>
      <c r="E396" s="11">
        <v>2</v>
      </c>
      <c r="F396" s="61"/>
      <c r="G396" s="10" t="s">
        <v>7</v>
      </c>
    </row>
    <row r="397" spans="4:7" x14ac:dyDescent="0.3">
      <c r="D397" s="5" t="s">
        <v>174</v>
      </c>
      <c r="E397" s="6">
        <v>1</v>
      </c>
      <c r="F397" s="61"/>
      <c r="G397" s="5" t="s">
        <v>7</v>
      </c>
    </row>
    <row r="398" spans="4:7" x14ac:dyDescent="0.3">
      <c r="D398" s="27"/>
      <c r="E398" s="13">
        <f>SUM(E384:E397)</f>
        <v>998</v>
      </c>
      <c r="F398" s="17"/>
      <c r="G398" s="17"/>
    </row>
    <row r="399" spans="4:7" x14ac:dyDescent="0.3">
      <c r="D399" s="192"/>
      <c r="E399" s="192"/>
      <c r="F399" s="192"/>
      <c r="G399" s="192"/>
    </row>
    <row r="400" spans="4:7" x14ac:dyDescent="0.3">
      <c r="D400" s="192"/>
      <c r="E400" s="192"/>
      <c r="F400" s="192"/>
      <c r="G400" s="192"/>
    </row>
    <row r="402" spans="3:7" ht="23.4" x14ac:dyDescent="0.45">
      <c r="D402" s="172" t="s">
        <v>466</v>
      </c>
      <c r="E402" s="173"/>
      <c r="F402" s="173"/>
      <c r="G402" s="174"/>
    </row>
    <row r="403" spans="3:7" ht="46.8" x14ac:dyDescent="0.3">
      <c r="C403" s="1">
        <v>6</v>
      </c>
      <c r="D403" s="2" t="s">
        <v>0</v>
      </c>
      <c r="E403" s="3" t="s">
        <v>1</v>
      </c>
      <c r="F403" s="3" t="s">
        <v>94</v>
      </c>
      <c r="G403" s="4"/>
    </row>
    <row r="404" spans="3:7" x14ac:dyDescent="0.3">
      <c r="D404" s="5" t="s">
        <v>461</v>
      </c>
      <c r="E404" s="6">
        <v>905</v>
      </c>
      <c r="F404" s="61"/>
      <c r="G404" s="10" t="s">
        <v>7</v>
      </c>
    </row>
    <row r="405" spans="3:7" x14ac:dyDescent="0.3">
      <c r="D405" s="5" t="s">
        <v>462</v>
      </c>
      <c r="E405" s="6">
        <v>50</v>
      </c>
      <c r="F405" s="61"/>
      <c r="G405" s="10"/>
    </row>
    <row r="406" spans="3:7" x14ac:dyDescent="0.3">
      <c r="D406" s="5" t="s">
        <v>463</v>
      </c>
      <c r="E406" s="6">
        <v>25</v>
      </c>
      <c r="F406" s="61"/>
      <c r="G406" s="10"/>
    </row>
    <row r="407" spans="3:7" x14ac:dyDescent="0.3">
      <c r="D407" s="5" t="s">
        <v>464</v>
      </c>
      <c r="E407" s="6">
        <v>10</v>
      </c>
      <c r="F407" s="61"/>
      <c r="G407" s="10"/>
    </row>
    <row r="408" spans="3:7" x14ac:dyDescent="0.3">
      <c r="D408" s="5" t="s">
        <v>465</v>
      </c>
      <c r="E408" s="6">
        <v>5</v>
      </c>
      <c r="F408" s="61"/>
      <c r="G408" s="10"/>
    </row>
    <row r="409" spans="3:7" x14ac:dyDescent="0.3">
      <c r="D409" s="5" t="s">
        <v>390</v>
      </c>
      <c r="E409" s="6">
        <v>5</v>
      </c>
      <c r="F409" s="61"/>
      <c r="G409" s="10" t="s">
        <v>7</v>
      </c>
    </row>
    <row r="410" spans="3:7" x14ac:dyDescent="0.3">
      <c r="D410" s="27"/>
      <c r="E410" s="13">
        <f>SUM(E404:E409)</f>
        <v>1000</v>
      </c>
      <c r="F410" s="17"/>
      <c r="G410" s="17"/>
    </row>
    <row r="413" spans="3:7" ht="23.4" x14ac:dyDescent="0.45">
      <c r="C413" t="s">
        <v>180</v>
      </c>
      <c r="D413" s="172" t="s">
        <v>471</v>
      </c>
      <c r="E413" s="173"/>
      <c r="F413" s="173"/>
      <c r="G413" s="174"/>
    </row>
    <row r="414" spans="3:7" ht="46.8" x14ac:dyDescent="0.3">
      <c r="C414" s="1">
        <v>20</v>
      </c>
      <c r="D414" s="2" t="s">
        <v>0</v>
      </c>
      <c r="E414" s="3" t="s">
        <v>1</v>
      </c>
      <c r="F414" s="3" t="s">
        <v>185</v>
      </c>
      <c r="G414" s="4"/>
    </row>
    <row r="415" spans="3:7" x14ac:dyDescent="0.3">
      <c r="C415" t="s">
        <v>114</v>
      </c>
      <c r="D415" s="24" t="s">
        <v>206</v>
      </c>
      <c r="E415" s="6">
        <v>120</v>
      </c>
      <c r="F415" s="6">
        <f>(E415*25)</f>
        <v>3000</v>
      </c>
      <c r="G415" s="10" t="s">
        <v>7</v>
      </c>
    </row>
    <row r="416" spans="3:7" x14ac:dyDescent="0.3">
      <c r="C416">
        <v>3</v>
      </c>
      <c r="D416" s="24" t="s">
        <v>203</v>
      </c>
      <c r="E416" s="6">
        <v>1</v>
      </c>
      <c r="F416" s="6">
        <f>(E416*25)</f>
        <v>25</v>
      </c>
      <c r="G416" s="10"/>
    </row>
    <row r="417" spans="3:7" x14ac:dyDescent="0.3">
      <c r="C417">
        <v>5</v>
      </c>
      <c r="D417" s="24" t="s">
        <v>59</v>
      </c>
      <c r="E417" s="6">
        <v>20</v>
      </c>
      <c r="F417" s="6">
        <f>(E417*25)</f>
        <v>500</v>
      </c>
      <c r="G417" s="10" t="s">
        <v>7</v>
      </c>
    </row>
    <row r="418" spans="3:7" x14ac:dyDescent="0.3">
      <c r="D418" s="24" t="s">
        <v>467</v>
      </c>
      <c r="E418" s="6">
        <v>10</v>
      </c>
      <c r="F418" s="6"/>
      <c r="G418" s="10"/>
    </row>
    <row r="419" spans="3:7" x14ac:dyDescent="0.3">
      <c r="D419" s="24" t="s">
        <v>468</v>
      </c>
      <c r="E419" s="6">
        <v>2</v>
      </c>
      <c r="F419" s="6"/>
      <c r="G419" s="10"/>
    </row>
    <row r="420" spans="3:7" x14ac:dyDescent="0.3">
      <c r="D420" s="24" t="s">
        <v>469</v>
      </c>
      <c r="E420" s="6">
        <v>10</v>
      </c>
      <c r="F420" s="6"/>
      <c r="G420" s="10"/>
    </row>
    <row r="421" spans="3:7" x14ac:dyDescent="0.3">
      <c r="D421" s="24" t="s">
        <v>241</v>
      </c>
      <c r="E421" s="6">
        <v>5</v>
      </c>
      <c r="F421" s="6"/>
      <c r="G421" s="10"/>
    </row>
    <row r="422" spans="3:7" x14ac:dyDescent="0.3">
      <c r="D422" s="24" t="s">
        <v>470</v>
      </c>
      <c r="E422" s="6">
        <v>5</v>
      </c>
      <c r="F422" s="6"/>
      <c r="G422" s="10"/>
    </row>
    <row r="423" spans="3:7" x14ac:dyDescent="0.3">
      <c r="C423">
        <v>8</v>
      </c>
      <c r="D423" s="24" t="s">
        <v>174</v>
      </c>
      <c r="E423" s="6">
        <v>2</v>
      </c>
      <c r="F423" s="6">
        <f>(E423*25)</f>
        <v>50</v>
      </c>
      <c r="G423" s="10" t="s">
        <v>7</v>
      </c>
    </row>
    <row r="424" spans="3:7" x14ac:dyDescent="0.3">
      <c r="C424">
        <v>6</v>
      </c>
      <c r="D424" s="24" t="s">
        <v>204</v>
      </c>
      <c r="E424" s="6">
        <v>4</v>
      </c>
      <c r="F424" s="6">
        <f>(E424*25)</f>
        <v>100</v>
      </c>
      <c r="G424" s="10"/>
    </row>
    <row r="425" spans="3:7" x14ac:dyDescent="0.3">
      <c r="D425" s="24" t="s">
        <v>416</v>
      </c>
      <c r="E425" s="6">
        <v>2</v>
      </c>
      <c r="F425" s="6"/>
      <c r="G425" s="10"/>
    </row>
    <row r="426" spans="3:7" x14ac:dyDescent="0.3">
      <c r="C426">
        <v>1</v>
      </c>
      <c r="D426" s="24" t="s">
        <v>55</v>
      </c>
      <c r="E426" s="6">
        <v>818</v>
      </c>
      <c r="F426" s="6">
        <f>(E426*25)</f>
        <v>20450</v>
      </c>
      <c r="G426" s="10" t="s">
        <v>7</v>
      </c>
    </row>
    <row r="427" spans="3:7" x14ac:dyDescent="0.3">
      <c r="D427" s="27"/>
      <c r="E427" s="19">
        <f>SUM(E415:E426)</f>
        <v>999</v>
      </c>
      <c r="F427" s="19">
        <f>SUM(F415:F426)</f>
        <v>24125</v>
      </c>
      <c r="G427" s="23"/>
    </row>
    <row r="431" spans="3:7" ht="23.4" x14ac:dyDescent="0.45">
      <c r="C431" t="s">
        <v>180</v>
      </c>
      <c r="D431" s="172" t="s">
        <v>472</v>
      </c>
      <c r="E431" s="173"/>
      <c r="F431" s="173"/>
      <c r="G431" s="174"/>
    </row>
    <row r="432" spans="3:7" ht="46.8" x14ac:dyDescent="0.3">
      <c r="C432" s="1">
        <v>20</v>
      </c>
      <c r="D432" s="2" t="s">
        <v>0</v>
      </c>
      <c r="E432" s="3" t="s">
        <v>1</v>
      </c>
      <c r="F432" s="3" t="s">
        <v>185</v>
      </c>
      <c r="G432" s="4"/>
    </row>
    <row r="433" spans="3:7" x14ac:dyDescent="0.3">
      <c r="C433" t="s">
        <v>114</v>
      </c>
      <c r="D433" s="24" t="s">
        <v>55</v>
      </c>
      <c r="E433" s="6">
        <v>845</v>
      </c>
      <c r="F433" s="6">
        <f>(E433*25)</f>
        <v>21125</v>
      </c>
      <c r="G433" s="10" t="s">
        <v>7</v>
      </c>
    </row>
    <row r="434" spans="3:7" x14ac:dyDescent="0.3">
      <c r="C434">
        <v>3</v>
      </c>
      <c r="D434" s="24" t="s">
        <v>208</v>
      </c>
      <c r="E434" s="6">
        <v>10</v>
      </c>
      <c r="F434" s="6">
        <f>(E434*25)</f>
        <v>250</v>
      </c>
      <c r="G434" s="10"/>
    </row>
    <row r="435" spans="3:7" x14ac:dyDescent="0.3">
      <c r="C435">
        <v>5</v>
      </c>
      <c r="D435" s="24" t="s">
        <v>473</v>
      </c>
      <c r="E435" s="6">
        <v>20</v>
      </c>
      <c r="F435" s="6">
        <f>(E435*25)</f>
        <v>500</v>
      </c>
      <c r="G435" s="10" t="s">
        <v>7</v>
      </c>
    </row>
    <row r="436" spans="3:7" x14ac:dyDescent="0.3">
      <c r="D436" s="24" t="s">
        <v>389</v>
      </c>
      <c r="E436" s="6">
        <v>30</v>
      </c>
      <c r="F436" s="6"/>
      <c r="G436" s="10"/>
    </row>
    <row r="437" spans="3:7" x14ac:dyDescent="0.3">
      <c r="D437" s="24" t="s">
        <v>241</v>
      </c>
      <c r="E437" s="6">
        <v>5</v>
      </c>
      <c r="F437" s="6"/>
      <c r="G437" s="10"/>
    </row>
    <row r="438" spans="3:7" x14ac:dyDescent="0.3">
      <c r="D438" s="24" t="s">
        <v>59</v>
      </c>
      <c r="E438" s="6">
        <v>20</v>
      </c>
      <c r="F438" s="6"/>
      <c r="G438" s="10"/>
    </row>
    <row r="439" spans="3:7" x14ac:dyDescent="0.3">
      <c r="D439" s="24" t="s">
        <v>12</v>
      </c>
      <c r="E439" s="6">
        <v>5</v>
      </c>
      <c r="F439" s="6"/>
      <c r="G439" s="10"/>
    </row>
    <row r="440" spans="3:7" x14ac:dyDescent="0.3">
      <c r="D440" s="24" t="s">
        <v>163</v>
      </c>
      <c r="E440" s="6">
        <v>10</v>
      </c>
      <c r="F440" s="6"/>
      <c r="G440" s="10"/>
    </row>
    <row r="441" spans="3:7" x14ac:dyDescent="0.3">
      <c r="C441">
        <v>8</v>
      </c>
      <c r="D441" s="24" t="s">
        <v>474</v>
      </c>
      <c r="E441" s="6">
        <v>2</v>
      </c>
      <c r="F441" s="6">
        <f>(E441*25)</f>
        <v>50</v>
      </c>
      <c r="G441" s="10" t="s">
        <v>7</v>
      </c>
    </row>
    <row r="442" spans="3:7" x14ac:dyDescent="0.3">
      <c r="C442">
        <v>6</v>
      </c>
      <c r="D442" s="24" t="s">
        <v>201</v>
      </c>
      <c r="E442" s="6">
        <v>3</v>
      </c>
      <c r="F442" s="6">
        <f>(E442*25)</f>
        <v>75</v>
      </c>
      <c r="G442" s="10"/>
    </row>
    <row r="443" spans="3:7" x14ac:dyDescent="0.3">
      <c r="D443" s="24" t="s">
        <v>28</v>
      </c>
      <c r="E443" s="6">
        <v>3</v>
      </c>
      <c r="F443" s="6"/>
      <c r="G443" s="10"/>
    </row>
    <row r="444" spans="3:7" x14ac:dyDescent="0.3">
      <c r="C444">
        <v>1</v>
      </c>
      <c r="D444" s="24" t="s">
        <v>51</v>
      </c>
      <c r="E444" s="6">
        <v>1</v>
      </c>
      <c r="F444" s="6">
        <f>(E444*25)</f>
        <v>25</v>
      </c>
      <c r="G444" s="10" t="s">
        <v>7</v>
      </c>
    </row>
    <row r="445" spans="3:7" x14ac:dyDescent="0.3">
      <c r="D445" s="27"/>
      <c r="E445" s="19">
        <f>SUM(E433:E444)</f>
        <v>954</v>
      </c>
      <c r="F445" s="19">
        <f>SUM(F433:F444)</f>
        <v>22025</v>
      </c>
      <c r="G445" s="23"/>
    </row>
    <row r="448" spans="3:7" ht="23.4" x14ac:dyDescent="0.45">
      <c r="C448" t="s">
        <v>180</v>
      </c>
      <c r="D448" s="172" t="s">
        <v>478</v>
      </c>
      <c r="E448" s="173"/>
      <c r="F448" s="173"/>
      <c r="G448" s="174"/>
    </row>
    <row r="449" spans="3:7" ht="46.8" x14ac:dyDescent="0.3">
      <c r="C449" s="1">
        <v>20</v>
      </c>
      <c r="D449" s="2" t="s">
        <v>0</v>
      </c>
      <c r="E449" s="3" t="s">
        <v>1</v>
      </c>
      <c r="F449" s="3" t="s">
        <v>185</v>
      </c>
      <c r="G449" s="4"/>
    </row>
    <row r="450" spans="3:7" x14ac:dyDescent="0.3">
      <c r="C450" t="s">
        <v>114</v>
      </c>
      <c r="D450" s="24" t="s">
        <v>55</v>
      </c>
      <c r="E450" s="6">
        <v>834</v>
      </c>
      <c r="F450" s="6">
        <f>(E450*25)</f>
        <v>20850</v>
      </c>
      <c r="G450" s="10" t="s">
        <v>7</v>
      </c>
    </row>
    <row r="451" spans="3:7" x14ac:dyDescent="0.3">
      <c r="C451">
        <v>3</v>
      </c>
      <c r="D451" s="24" t="s">
        <v>59</v>
      </c>
      <c r="E451" s="6">
        <v>50</v>
      </c>
      <c r="F451" s="6">
        <f>(E451*25)</f>
        <v>1250</v>
      </c>
      <c r="G451" s="10"/>
    </row>
    <row r="452" spans="3:7" x14ac:dyDescent="0.3">
      <c r="C452">
        <v>5</v>
      </c>
      <c r="D452" s="24" t="s">
        <v>479</v>
      </c>
      <c r="E452" s="6">
        <v>20</v>
      </c>
      <c r="F452" s="6">
        <f>(E452*25)</f>
        <v>500</v>
      </c>
      <c r="G452" s="10" t="s">
        <v>7</v>
      </c>
    </row>
    <row r="453" spans="3:7" x14ac:dyDescent="0.3">
      <c r="D453" s="24" t="s">
        <v>389</v>
      </c>
      <c r="E453" s="6">
        <v>10</v>
      </c>
      <c r="F453" s="6"/>
      <c r="G453" s="10"/>
    </row>
    <row r="454" spans="3:7" x14ac:dyDescent="0.3">
      <c r="D454" s="24" t="s">
        <v>480</v>
      </c>
      <c r="E454" s="6">
        <v>10</v>
      </c>
      <c r="F454" s="6"/>
      <c r="G454" s="10"/>
    </row>
    <row r="455" spans="3:7" x14ac:dyDescent="0.3">
      <c r="D455" s="24" t="s">
        <v>203</v>
      </c>
      <c r="E455" s="6">
        <v>30</v>
      </c>
      <c r="F455" s="6"/>
      <c r="G455" s="10"/>
    </row>
    <row r="456" spans="3:7" x14ac:dyDescent="0.3">
      <c r="D456" s="24" t="s">
        <v>241</v>
      </c>
      <c r="E456" s="6">
        <v>5</v>
      </c>
      <c r="F456" s="6"/>
      <c r="G456" s="10"/>
    </row>
    <row r="457" spans="3:7" x14ac:dyDescent="0.3">
      <c r="D457" s="24" t="s">
        <v>481</v>
      </c>
      <c r="E457" s="6">
        <v>10</v>
      </c>
      <c r="F457" s="6"/>
      <c r="G457" s="10"/>
    </row>
    <row r="458" spans="3:7" x14ac:dyDescent="0.3">
      <c r="C458">
        <v>8</v>
      </c>
      <c r="D458" s="24" t="s">
        <v>167</v>
      </c>
      <c r="E458" s="6">
        <v>7</v>
      </c>
      <c r="F458" s="6">
        <f>(E458*25)</f>
        <v>175</v>
      </c>
      <c r="G458" s="10" t="s">
        <v>7</v>
      </c>
    </row>
    <row r="459" spans="3:7" x14ac:dyDescent="0.3">
      <c r="C459">
        <v>6</v>
      </c>
      <c r="D459" s="24" t="s">
        <v>168</v>
      </c>
      <c r="E459" s="6">
        <v>7</v>
      </c>
      <c r="F459" s="6">
        <f>(E459*25)</f>
        <v>175</v>
      </c>
      <c r="G459" s="10"/>
    </row>
    <row r="460" spans="3:7" x14ac:dyDescent="0.3">
      <c r="D460" s="24" t="s">
        <v>374</v>
      </c>
      <c r="E460" s="6">
        <v>2</v>
      </c>
      <c r="F460" s="6"/>
      <c r="G460" s="10"/>
    </row>
    <row r="461" spans="3:7" x14ac:dyDescent="0.3">
      <c r="D461" s="24" t="s">
        <v>174</v>
      </c>
      <c r="E461" s="6">
        <v>3</v>
      </c>
      <c r="F461" s="6"/>
      <c r="G461" s="10"/>
    </row>
    <row r="462" spans="3:7" x14ac:dyDescent="0.3">
      <c r="D462" s="24" t="s">
        <v>28</v>
      </c>
      <c r="E462" s="6">
        <v>5</v>
      </c>
      <c r="F462" s="6"/>
      <c r="G462" s="10"/>
    </row>
    <row r="463" spans="3:7" x14ac:dyDescent="0.3">
      <c r="D463" s="24" t="s">
        <v>231</v>
      </c>
      <c r="E463" s="6">
        <v>3</v>
      </c>
      <c r="F463" s="6"/>
      <c r="G463" s="10"/>
    </row>
    <row r="464" spans="3:7" x14ac:dyDescent="0.3">
      <c r="D464" s="27"/>
      <c r="E464" s="19">
        <f>SUM(E450:E463)</f>
        <v>996</v>
      </c>
      <c r="F464" s="19">
        <f>SUM(F450:F463)</f>
        <v>22950</v>
      </c>
      <c r="G464" s="23"/>
    </row>
    <row r="466" spans="3:7" ht="23.4" x14ac:dyDescent="0.45">
      <c r="C466" t="s">
        <v>180</v>
      </c>
      <c r="D466" s="172" t="s">
        <v>482</v>
      </c>
      <c r="E466" s="173"/>
      <c r="F466" s="173"/>
      <c r="G466" s="174"/>
    </row>
    <row r="467" spans="3:7" ht="46.8" x14ac:dyDescent="0.3">
      <c r="C467" s="1">
        <v>20</v>
      </c>
      <c r="D467" s="2" t="s">
        <v>0</v>
      </c>
      <c r="E467" s="3" t="s">
        <v>1</v>
      </c>
      <c r="F467" s="3" t="s">
        <v>185</v>
      </c>
      <c r="G467" s="4"/>
    </row>
    <row r="468" spans="3:7" x14ac:dyDescent="0.3">
      <c r="C468" t="s">
        <v>114</v>
      </c>
      <c r="D468" s="24" t="s">
        <v>404</v>
      </c>
      <c r="E468" s="6">
        <v>838</v>
      </c>
      <c r="F468" s="6">
        <f>(E468*25)</f>
        <v>20950</v>
      </c>
      <c r="G468" s="10" t="s">
        <v>7</v>
      </c>
    </row>
    <row r="469" spans="3:7" x14ac:dyDescent="0.3">
      <c r="C469">
        <v>3</v>
      </c>
      <c r="D469" s="24" t="s">
        <v>483</v>
      </c>
      <c r="E469" s="6">
        <v>100</v>
      </c>
      <c r="F469" s="6">
        <f>(E469*25)</f>
        <v>2500</v>
      </c>
      <c r="G469" s="10"/>
    </row>
    <row r="470" spans="3:7" x14ac:dyDescent="0.3">
      <c r="C470">
        <v>5</v>
      </c>
      <c r="D470" s="24" t="s">
        <v>340</v>
      </c>
      <c r="E470" s="6">
        <v>50</v>
      </c>
      <c r="F470" s="6">
        <f>(E470*25)</f>
        <v>1250</v>
      </c>
      <c r="G470" s="10" t="s">
        <v>7</v>
      </c>
    </row>
    <row r="471" spans="3:7" x14ac:dyDescent="0.3">
      <c r="D471" s="24" t="s">
        <v>468</v>
      </c>
      <c r="E471" s="6">
        <v>5</v>
      </c>
      <c r="F471" s="6"/>
      <c r="G471" s="10"/>
    </row>
    <row r="472" spans="3:7" x14ac:dyDescent="0.3">
      <c r="D472" s="24" t="s">
        <v>484</v>
      </c>
      <c r="E472" s="6">
        <v>2</v>
      </c>
      <c r="F472" s="6"/>
      <c r="G472" s="10"/>
    </row>
    <row r="473" spans="3:7" x14ac:dyDescent="0.3">
      <c r="D473" s="27"/>
      <c r="E473" s="19">
        <f>SUM(E468:E472)</f>
        <v>995</v>
      </c>
      <c r="F473" s="19">
        <f>SUM(F468:F472)</f>
        <v>24700</v>
      </c>
      <c r="G473" s="23"/>
    </row>
    <row r="476" spans="3:7" ht="23.4" x14ac:dyDescent="0.45">
      <c r="C476" t="s">
        <v>180</v>
      </c>
      <c r="D476" s="172" t="s">
        <v>485</v>
      </c>
      <c r="E476" s="173"/>
      <c r="F476" s="173"/>
      <c r="G476" s="174"/>
    </row>
    <row r="477" spans="3:7" ht="46.8" x14ac:dyDescent="0.3">
      <c r="C477" s="1">
        <v>20</v>
      </c>
      <c r="D477" s="2" t="s">
        <v>0</v>
      </c>
      <c r="E477" s="3" t="s">
        <v>1</v>
      </c>
      <c r="F477" s="3" t="s">
        <v>185</v>
      </c>
      <c r="G477" s="4"/>
    </row>
    <row r="478" spans="3:7" x14ac:dyDescent="0.3">
      <c r="C478" t="s">
        <v>114</v>
      </c>
      <c r="D478" s="24" t="s">
        <v>55</v>
      </c>
      <c r="E478" s="6">
        <v>882</v>
      </c>
      <c r="F478" s="6">
        <f>(E478*25)</f>
        <v>22050</v>
      </c>
      <c r="G478" s="10" t="s">
        <v>7</v>
      </c>
    </row>
    <row r="479" spans="3:7" x14ac:dyDescent="0.3">
      <c r="C479">
        <v>3</v>
      </c>
      <c r="D479" s="24" t="s">
        <v>163</v>
      </c>
      <c r="E479" s="6">
        <v>30</v>
      </c>
      <c r="F479" s="6">
        <f>(E479*25)</f>
        <v>750</v>
      </c>
      <c r="G479" s="10"/>
    </row>
    <row r="480" spans="3:7" x14ac:dyDescent="0.3">
      <c r="C480">
        <v>5</v>
      </c>
      <c r="D480" s="24" t="s">
        <v>59</v>
      </c>
      <c r="E480" s="6">
        <v>30</v>
      </c>
      <c r="F480" s="6">
        <f>(E480*25)</f>
        <v>750</v>
      </c>
      <c r="G480" s="10" t="s">
        <v>7</v>
      </c>
    </row>
    <row r="481" spans="3:7" x14ac:dyDescent="0.3">
      <c r="D481" s="24" t="s">
        <v>486</v>
      </c>
      <c r="E481" s="6">
        <v>20</v>
      </c>
      <c r="F481" s="6">
        <f>(E481*25)</f>
        <v>500</v>
      </c>
      <c r="G481" s="10"/>
    </row>
    <row r="482" spans="3:7" x14ac:dyDescent="0.3">
      <c r="D482" s="24" t="s">
        <v>487</v>
      </c>
      <c r="E482" s="6">
        <v>5</v>
      </c>
      <c r="F482" s="6">
        <f>(E482*25)</f>
        <v>125</v>
      </c>
      <c r="G482" s="10"/>
    </row>
    <row r="483" spans="3:7" x14ac:dyDescent="0.3">
      <c r="D483" s="24" t="s">
        <v>28</v>
      </c>
      <c r="E483" s="6">
        <v>2</v>
      </c>
      <c r="F483" s="6">
        <f>(E483*25)</f>
        <v>50</v>
      </c>
      <c r="G483" s="10"/>
    </row>
    <row r="484" spans="3:7" x14ac:dyDescent="0.3">
      <c r="D484" s="24" t="s">
        <v>201</v>
      </c>
      <c r="E484" s="6">
        <v>1</v>
      </c>
      <c r="F484" s="6">
        <f>(E484*25)</f>
        <v>25</v>
      </c>
      <c r="G484" s="10"/>
    </row>
    <row r="485" spans="3:7" x14ac:dyDescent="0.3">
      <c r="D485" s="24" t="s">
        <v>226</v>
      </c>
      <c r="E485" s="6">
        <v>20</v>
      </c>
      <c r="F485" s="6">
        <f>(E485*25)</f>
        <v>500</v>
      </c>
      <c r="G485" s="10"/>
    </row>
    <row r="486" spans="3:7" x14ac:dyDescent="0.3">
      <c r="C486">
        <v>8</v>
      </c>
      <c r="D486" s="24" t="s">
        <v>494</v>
      </c>
      <c r="E486" s="6">
        <v>10</v>
      </c>
      <c r="F486" s="6">
        <f>(E486*25)</f>
        <v>250</v>
      </c>
      <c r="G486" s="10" t="s">
        <v>7</v>
      </c>
    </row>
    <row r="487" spans="3:7" x14ac:dyDescent="0.3">
      <c r="D487" s="27"/>
      <c r="E487" s="19">
        <f>SUM(E478:E486)</f>
        <v>1000</v>
      </c>
      <c r="F487" s="19">
        <f>SUM(F478:F486)</f>
        <v>25000</v>
      </c>
      <c r="G487" s="23"/>
    </row>
    <row r="490" spans="3:7" ht="23.4" x14ac:dyDescent="0.45">
      <c r="C490" t="s">
        <v>180</v>
      </c>
      <c r="D490" s="172" t="s">
        <v>488</v>
      </c>
      <c r="E490" s="173"/>
      <c r="F490" s="173"/>
      <c r="G490" s="174"/>
    </row>
    <row r="491" spans="3:7" ht="46.8" x14ac:dyDescent="0.3">
      <c r="C491" s="1">
        <v>20</v>
      </c>
      <c r="D491" s="2" t="s">
        <v>0</v>
      </c>
      <c r="E491" s="3" t="s">
        <v>1</v>
      </c>
      <c r="F491" s="3" t="s">
        <v>185</v>
      </c>
      <c r="G491" s="4"/>
    </row>
    <row r="492" spans="3:7" x14ac:dyDescent="0.3">
      <c r="C492" t="s">
        <v>114</v>
      </c>
      <c r="D492" s="24" t="s">
        <v>55</v>
      </c>
      <c r="E492" s="6">
        <v>868</v>
      </c>
      <c r="F492" s="6">
        <f>(E492*25)</f>
        <v>21700</v>
      </c>
      <c r="G492" s="10" t="s">
        <v>7</v>
      </c>
    </row>
    <row r="493" spans="3:7" x14ac:dyDescent="0.3">
      <c r="C493">
        <v>3</v>
      </c>
      <c r="D493" s="24" t="s">
        <v>59</v>
      </c>
      <c r="E493" s="6">
        <v>50</v>
      </c>
      <c r="F493" s="6">
        <f>(E493*25)</f>
        <v>1250</v>
      </c>
      <c r="G493" s="10"/>
    </row>
    <row r="494" spans="3:7" x14ac:dyDescent="0.3">
      <c r="C494">
        <v>5</v>
      </c>
      <c r="D494" s="24" t="s">
        <v>489</v>
      </c>
      <c r="E494" s="6">
        <v>30</v>
      </c>
      <c r="F494" s="6">
        <f>(E494*25)</f>
        <v>750</v>
      </c>
      <c r="G494" s="10" t="s">
        <v>7</v>
      </c>
    </row>
    <row r="495" spans="3:7" x14ac:dyDescent="0.3">
      <c r="D495" s="24" t="s">
        <v>490</v>
      </c>
      <c r="E495" s="6">
        <v>0</v>
      </c>
      <c r="F495" s="6"/>
      <c r="G495" s="10"/>
    </row>
    <row r="496" spans="3:7" x14ac:dyDescent="0.3">
      <c r="D496" s="24" t="s">
        <v>491</v>
      </c>
      <c r="E496" s="6">
        <v>10</v>
      </c>
      <c r="F496" s="6"/>
      <c r="G496" s="10"/>
    </row>
    <row r="497" spans="3:10" x14ac:dyDescent="0.3">
      <c r="D497" s="24" t="s">
        <v>492</v>
      </c>
      <c r="E497" s="6">
        <v>10</v>
      </c>
      <c r="F497" s="6"/>
      <c r="G497" s="10"/>
    </row>
    <row r="498" spans="3:10" x14ac:dyDescent="0.3">
      <c r="D498" s="24" t="s">
        <v>493</v>
      </c>
      <c r="E498" s="6">
        <v>2</v>
      </c>
      <c r="F498" s="6"/>
      <c r="G498" s="10"/>
    </row>
    <row r="499" spans="3:10" x14ac:dyDescent="0.3">
      <c r="D499" s="24" t="s">
        <v>386</v>
      </c>
      <c r="E499" s="6">
        <v>10</v>
      </c>
      <c r="F499" s="6"/>
      <c r="G499" s="10"/>
    </row>
    <row r="500" spans="3:10" x14ac:dyDescent="0.3">
      <c r="C500">
        <v>8</v>
      </c>
      <c r="D500" s="24" t="s">
        <v>167</v>
      </c>
      <c r="E500" s="6">
        <v>7</v>
      </c>
      <c r="F500" s="6">
        <f>(E500*25)</f>
        <v>175</v>
      </c>
      <c r="G500" s="10" t="s">
        <v>7</v>
      </c>
    </row>
    <row r="501" spans="3:10" x14ac:dyDescent="0.3">
      <c r="C501">
        <v>6</v>
      </c>
      <c r="D501" s="24" t="s">
        <v>168</v>
      </c>
      <c r="E501" s="6">
        <v>7</v>
      </c>
      <c r="F501" s="6">
        <f>(E501*25)</f>
        <v>175</v>
      </c>
      <c r="G501" s="10"/>
    </row>
    <row r="502" spans="3:10" x14ac:dyDescent="0.3">
      <c r="D502" s="24" t="s">
        <v>28</v>
      </c>
      <c r="E502" s="6">
        <v>2</v>
      </c>
      <c r="F502" s="6"/>
      <c r="G502" s="10"/>
    </row>
    <row r="503" spans="3:10" x14ac:dyDescent="0.3">
      <c r="D503" s="24" t="s">
        <v>231</v>
      </c>
      <c r="E503" s="6">
        <v>1</v>
      </c>
      <c r="F503" s="6"/>
      <c r="G503" s="10"/>
    </row>
    <row r="504" spans="3:10" x14ac:dyDescent="0.3">
      <c r="D504" s="24" t="s">
        <v>380</v>
      </c>
      <c r="E504" s="6">
        <v>2</v>
      </c>
      <c r="F504" s="6"/>
      <c r="G504" s="10"/>
    </row>
    <row r="505" spans="3:10" x14ac:dyDescent="0.3">
      <c r="D505" s="27"/>
      <c r="E505" s="19">
        <f>SUM(E492:E504)</f>
        <v>999</v>
      </c>
      <c r="F505" s="19">
        <f>SUM(F492:F504)</f>
        <v>24050</v>
      </c>
      <c r="G505" s="23"/>
    </row>
    <row r="509" spans="3:10" ht="23.4" x14ac:dyDescent="0.45">
      <c r="D509" s="172" t="s">
        <v>513</v>
      </c>
      <c r="E509" s="173"/>
      <c r="F509" s="173"/>
      <c r="G509" s="174"/>
    </row>
    <row r="510" spans="3:10" ht="46.8" x14ac:dyDescent="0.3">
      <c r="C510" s="1">
        <v>2</v>
      </c>
      <c r="D510" s="36" t="s">
        <v>0</v>
      </c>
      <c r="E510" s="4" t="s">
        <v>1</v>
      </c>
      <c r="F510" s="4" t="s">
        <v>76</v>
      </c>
      <c r="G510" s="4"/>
      <c r="J510" t="s">
        <v>114</v>
      </c>
    </row>
    <row r="511" spans="3:10" x14ac:dyDescent="0.3">
      <c r="C511" s="35"/>
      <c r="D511" s="5" t="s">
        <v>16</v>
      </c>
      <c r="E511" s="6">
        <v>670</v>
      </c>
      <c r="F511" s="6">
        <f>(E511*50)</f>
        <v>33500</v>
      </c>
      <c r="G511" s="5" t="s">
        <v>7</v>
      </c>
    </row>
    <row r="512" spans="3:10" x14ac:dyDescent="0.3">
      <c r="C512" s="35"/>
      <c r="D512" s="5" t="s">
        <v>203</v>
      </c>
      <c r="E512" s="6">
        <v>150</v>
      </c>
      <c r="F512" s="6">
        <f>(E512*50)</f>
        <v>7500</v>
      </c>
      <c r="G512" s="5" t="s">
        <v>7</v>
      </c>
    </row>
    <row r="513" spans="3:9" x14ac:dyDescent="0.3">
      <c r="C513" s="35"/>
      <c r="D513" s="5" t="s">
        <v>514</v>
      </c>
      <c r="E513" s="6">
        <v>100</v>
      </c>
      <c r="F513" s="6">
        <f>(E513*50)</f>
        <v>5000</v>
      </c>
      <c r="G513" s="5"/>
    </row>
    <row r="514" spans="3:9" x14ac:dyDescent="0.3">
      <c r="C514" s="35"/>
      <c r="D514" s="5" t="s">
        <v>59</v>
      </c>
      <c r="E514" s="6">
        <v>30</v>
      </c>
      <c r="F514" s="6">
        <f>(E514*50)</f>
        <v>1500</v>
      </c>
      <c r="G514" s="5"/>
    </row>
    <row r="515" spans="3:9" x14ac:dyDescent="0.3">
      <c r="C515" s="35"/>
      <c r="D515" s="5" t="s">
        <v>515</v>
      </c>
      <c r="E515" s="6">
        <v>2</v>
      </c>
      <c r="F515" s="6">
        <f>(E515*50)</f>
        <v>100</v>
      </c>
      <c r="G515" s="5"/>
    </row>
    <row r="516" spans="3:9" x14ac:dyDescent="0.3">
      <c r="C516" s="35"/>
      <c r="D516" s="5" t="s">
        <v>56</v>
      </c>
      <c r="E516" s="6">
        <v>2</v>
      </c>
      <c r="F516" s="6">
        <f>(E516*50)</f>
        <v>100</v>
      </c>
      <c r="G516" s="5"/>
    </row>
    <row r="517" spans="3:9" x14ac:dyDescent="0.3">
      <c r="C517" s="35"/>
      <c r="D517" s="5" t="s">
        <v>499</v>
      </c>
      <c r="E517" s="6">
        <v>3</v>
      </c>
      <c r="F517" s="6">
        <f>(E517*50)</f>
        <v>150</v>
      </c>
      <c r="G517" s="5"/>
    </row>
    <row r="518" spans="3:9" x14ac:dyDescent="0.3">
      <c r="C518" s="35"/>
      <c r="D518" s="5" t="s">
        <v>174</v>
      </c>
      <c r="E518" s="6">
        <v>1</v>
      </c>
      <c r="F518" s="6">
        <f>(E518*50)</f>
        <v>50</v>
      </c>
      <c r="G518" s="5" t="s">
        <v>7</v>
      </c>
    </row>
    <row r="519" spans="3:9" x14ac:dyDescent="0.3">
      <c r="E519" s="13">
        <f>SUM(E511:E518)</f>
        <v>958</v>
      </c>
      <c r="F519" s="13">
        <f>SUM(F511:F518)</f>
        <v>47900</v>
      </c>
      <c r="G519" s="17"/>
    </row>
    <row r="522" spans="3:9" ht="23.4" x14ac:dyDescent="0.45">
      <c r="D522" s="172" t="s">
        <v>582</v>
      </c>
      <c r="E522" s="173"/>
      <c r="F522" s="173"/>
      <c r="G522" s="174"/>
    </row>
    <row r="523" spans="3:9" ht="46.8" x14ac:dyDescent="0.3">
      <c r="C523" s="1">
        <v>18</v>
      </c>
      <c r="D523" s="2" t="s">
        <v>0</v>
      </c>
      <c r="E523" s="3" t="s">
        <v>1</v>
      </c>
      <c r="F523" s="3" t="s">
        <v>94</v>
      </c>
      <c r="G523" s="4"/>
      <c r="I523" t="s">
        <v>114</v>
      </c>
    </row>
    <row r="524" spans="3:9" x14ac:dyDescent="0.3">
      <c r="D524" s="5" t="s">
        <v>16</v>
      </c>
      <c r="E524" s="6">
        <v>845</v>
      </c>
      <c r="F524" s="61"/>
      <c r="G524" s="10" t="s">
        <v>7</v>
      </c>
    </row>
    <row r="525" spans="3:9" x14ac:dyDescent="0.3">
      <c r="D525" s="5" t="s">
        <v>67</v>
      </c>
      <c r="E525" s="6">
        <v>70</v>
      </c>
      <c r="F525" s="61"/>
      <c r="G525" s="10" t="s">
        <v>7</v>
      </c>
    </row>
    <row r="526" spans="3:9" x14ac:dyDescent="0.3">
      <c r="D526" s="5" t="s">
        <v>68</v>
      </c>
      <c r="E526" s="6">
        <v>70</v>
      </c>
      <c r="F526" s="61"/>
      <c r="G526" s="10" t="s">
        <v>7</v>
      </c>
    </row>
    <row r="527" spans="3:9" x14ac:dyDescent="0.3">
      <c r="D527" s="5" t="s">
        <v>536</v>
      </c>
      <c r="E527" s="6">
        <v>10</v>
      </c>
      <c r="F527" s="61"/>
      <c r="G527" s="10"/>
    </row>
    <row r="528" spans="3:9" x14ac:dyDescent="0.3">
      <c r="D528" s="5" t="s">
        <v>537</v>
      </c>
      <c r="E528" s="6">
        <v>3</v>
      </c>
      <c r="F528" s="61"/>
      <c r="G528" s="10" t="s">
        <v>7</v>
      </c>
    </row>
    <row r="529" spans="3:7" x14ac:dyDescent="0.3">
      <c r="D529" s="5" t="s">
        <v>12</v>
      </c>
      <c r="E529" s="11">
        <v>0.5</v>
      </c>
      <c r="F529" s="61"/>
      <c r="G529" s="5" t="s">
        <v>7</v>
      </c>
    </row>
    <row r="530" spans="3:7" x14ac:dyDescent="0.3">
      <c r="D530" s="5" t="s">
        <v>56</v>
      </c>
      <c r="E530" s="32">
        <v>1</v>
      </c>
      <c r="F530" s="61"/>
      <c r="G530" s="5"/>
    </row>
    <row r="531" spans="3:7" x14ac:dyDescent="0.3">
      <c r="D531" s="24" t="s">
        <v>231</v>
      </c>
      <c r="E531" s="25">
        <v>0.5</v>
      </c>
      <c r="F531" s="61"/>
      <c r="G531" s="5" t="s">
        <v>7</v>
      </c>
    </row>
    <row r="532" spans="3:7" x14ac:dyDescent="0.3">
      <c r="D532" s="27"/>
      <c r="E532" s="13">
        <f>SUM(E524:E531)</f>
        <v>1000</v>
      </c>
      <c r="F532" s="17"/>
      <c r="G532" s="17"/>
    </row>
    <row r="535" spans="3:7" ht="23.4" x14ac:dyDescent="0.45">
      <c r="D535" s="172" t="s">
        <v>566</v>
      </c>
      <c r="E535" s="173"/>
      <c r="F535" s="173"/>
      <c r="G535" s="174"/>
    </row>
    <row r="536" spans="3:7" ht="46.8" x14ac:dyDescent="0.3">
      <c r="C536" s="1">
        <v>18</v>
      </c>
      <c r="D536" s="2" t="s">
        <v>0</v>
      </c>
      <c r="E536" s="3" t="s">
        <v>1</v>
      </c>
      <c r="F536" s="3" t="s">
        <v>94</v>
      </c>
      <c r="G536" s="4"/>
    </row>
    <row r="537" spans="3:7" x14ac:dyDescent="0.3">
      <c r="D537" s="5" t="s">
        <v>16</v>
      </c>
      <c r="E537" s="6">
        <v>709</v>
      </c>
      <c r="F537" s="61"/>
      <c r="G537" s="10" t="s">
        <v>7</v>
      </c>
    </row>
    <row r="538" spans="3:7" x14ac:dyDescent="0.3">
      <c r="D538" s="5" t="s">
        <v>59</v>
      </c>
      <c r="E538" s="6">
        <v>30</v>
      </c>
      <c r="F538" s="61"/>
      <c r="G538" s="10"/>
    </row>
    <row r="539" spans="3:7" x14ac:dyDescent="0.3">
      <c r="D539" s="5" t="s">
        <v>9</v>
      </c>
      <c r="E539" s="6">
        <v>50</v>
      </c>
      <c r="F539" s="61"/>
      <c r="G539" s="10"/>
    </row>
    <row r="540" spans="3:7" x14ac:dyDescent="0.3">
      <c r="D540" s="5" t="s">
        <v>244</v>
      </c>
      <c r="E540" s="6">
        <v>5</v>
      </c>
      <c r="F540" s="61"/>
      <c r="G540" s="10"/>
    </row>
    <row r="541" spans="3:7" x14ac:dyDescent="0.3">
      <c r="D541" s="5" t="s">
        <v>241</v>
      </c>
      <c r="E541" s="6">
        <v>5</v>
      </c>
      <c r="F541" s="61"/>
      <c r="G541" s="10"/>
    </row>
    <row r="542" spans="3:7" x14ac:dyDescent="0.3">
      <c r="D542" s="5" t="s">
        <v>56</v>
      </c>
      <c r="E542" s="6">
        <v>3</v>
      </c>
      <c r="F542" s="61"/>
      <c r="G542" s="10"/>
    </row>
    <row r="543" spans="3:7" x14ac:dyDescent="0.3">
      <c r="D543" s="24" t="s">
        <v>231</v>
      </c>
      <c r="E543" s="6">
        <v>2</v>
      </c>
      <c r="F543" s="61"/>
      <c r="G543" s="10"/>
    </row>
    <row r="544" spans="3:7" x14ac:dyDescent="0.3">
      <c r="D544" s="5" t="s">
        <v>67</v>
      </c>
      <c r="E544" s="6">
        <v>70</v>
      </c>
      <c r="F544" s="61"/>
      <c r="G544" s="10" t="s">
        <v>7</v>
      </c>
    </row>
    <row r="545" spans="3:7" x14ac:dyDescent="0.3">
      <c r="D545" s="5" t="s">
        <v>68</v>
      </c>
      <c r="E545" s="6">
        <v>70</v>
      </c>
      <c r="F545" s="61"/>
      <c r="G545" s="10" t="s">
        <v>7</v>
      </c>
    </row>
    <row r="546" spans="3:7" x14ac:dyDescent="0.3">
      <c r="D546" s="5" t="s">
        <v>434</v>
      </c>
      <c r="E546" s="6">
        <v>20</v>
      </c>
      <c r="F546" s="61"/>
      <c r="G546" s="10"/>
    </row>
    <row r="547" spans="3:7" x14ac:dyDescent="0.3">
      <c r="D547" s="5" t="s">
        <v>425</v>
      </c>
      <c r="E547" s="6">
        <v>15</v>
      </c>
      <c r="F547" s="61"/>
      <c r="G547" s="10"/>
    </row>
    <row r="548" spans="3:7" x14ac:dyDescent="0.3">
      <c r="D548" s="5" t="s">
        <v>567</v>
      </c>
      <c r="E548" s="6">
        <v>10</v>
      </c>
      <c r="F548" s="61"/>
      <c r="G548" s="10"/>
    </row>
    <row r="549" spans="3:7" x14ac:dyDescent="0.3">
      <c r="D549" s="5" t="s">
        <v>438</v>
      </c>
      <c r="E549" s="6">
        <v>5</v>
      </c>
      <c r="F549" s="61"/>
      <c r="G549" s="10"/>
    </row>
    <row r="550" spans="3:7" x14ac:dyDescent="0.3">
      <c r="D550" s="5" t="s">
        <v>176</v>
      </c>
      <c r="E550" s="6">
        <v>3</v>
      </c>
      <c r="F550" s="61"/>
      <c r="G550" s="10"/>
    </row>
    <row r="551" spans="3:7" x14ac:dyDescent="0.3">
      <c r="D551" s="5" t="s">
        <v>174</v>
      </c>
      <c r="E551" s="11">
        <v>1</v>
      </c>
      <c r="F551" s="61"/>
      <c r="G551" s="5" t="s">
        <v>7</v>
      </c>
    </row>
    <row r="552" spans="3:7" x14ac:dyDescent="0.3">
      <c r="D552" s="27"/>
      <c r="E552" s="13">
        <f>SUM(E537:E551)</f>
        <v>998</v>
      </c>
      <c r="F552" s="17"/>
      <c r="G552" s="17"/>
    </row>
    <row r="555" spans="3:7" ht="23.4" x14ac:dyDescent="0.45">
      <c r="D555" s="172" t="s">
        <v>568</v>
      </c>
      <c r="E555" s="173"/>
      <c r="F555" s="173"/>
      <c r="G555" s="174"/>
    </row>
    <row r="556" spans="3:7" ht="46.8" x14ac:dyDescent="0.3">
      <c r="C556" s="1">
        <v>18</v>
      </c>
      <c r="D556" s="2" t="s">
        <v>0</v>
      </c>
      <c r="E556" s="3" t="s">
        <v>1</v>
      </c>
      <c r="F556" s="3" t="s">
        <v>571</v>
      </c>
      <c r="G556" s="4"/>
    </row>
    <row r="557" spans="3:7" x14ac:dyDescent="0.3">
      <c r="D557" s="5" t="s">
        <v>16</v>
      </c>
      <c r="E557" s="11">
        <v>721.5</v>
      </c>
      <c r="F557" s="6">
        <f>(E557*44)</f>
        <v>31746</v>
      </c>
      <c r="G557" s="10" t="s">
        <v>7</v>
      </c>
    </row>
    <row r="558" spans="3:7" x14ac:dyDescent="0.3">
      <c r="D558" s="5" t="s">
        <v>67</v>
      </c>
      <c r="E558" s="6">
        <v>60</v>
      </c>
      <c r="F558" s="6">
        <f>(E558*44)</f>
        <v>2640</v>
      </c>
      <c r="G558" s="10"/>
    </row>
    <row r="559" spans="3:7" x14ac:dyDescent="0.3">
      <c r="D559" s="5" t="s">
        <v>68</v>
      </c>
      <c r="E559" s="6">
        <v>60</v>
      </c>
      <c r="F559" s="6">
        <f>(E559*44)</f>
        <v>2640</v>
      </c>
      <c r="G559" s="10"/>
    </row>
    <row r="560" spans="3:7" x14ac:dyDescent="0.3">
      <c r="D560" s="5" t="s">
        <v>9</v>
      </c>
      <c r="E560" s="6">
        <v>30</v>
      </c>
      <c r="F560" s="6">
        <f>(E560*44)</f>
        <v>1320</v>
      </c>
      <c r="G560" s="10"/>
    </row>
    <row r="561" spans="3:7" x14ac:dyDescent="0.3">
      <c r="D561" s="5" t="s">
        <v>569</v>
      </c>
      <c r="E561" s="6">
        <v>80</v>
      </c>
      <c r="F561" s="6">
        <f>(E561*44)</f>
        <v>3520</v>
      </c>
      <c r="G561" s="10"/>
    </row>
    <row r="562" spans="3:7" x14ac:dyDescent="0.3">
      <c r="D562" s="5" t="s">
        <v>570</v>
      </c>
      <c r="E562" s="11">
        <v>7.5</v>
      </c>
      <c r="F562" s="6">
        <f>(E562*44)</f>
        <v>330</v>
      </c>
      <c r="G562" s="10"/>
    </row>
    <row r="563" spans="3:7" x14ac:dyDescent="0.3">
      <c r="D563" s="5" t="s">
        <v>56</v>
      </c>
      <c r="E563" s="6">
        <v>5</v>
      </c>
      <c r="F563" s="6">
        <f>(E563*44)</f>
        <v>220</v>
      </c>
      <c r="G563" s="10"/>
    </row>
    <row r="564" spans="3:7" x14ac:dyDescent="0.3">
      <c r="D564" s="24" t="s">
        <v>231</v>
      </c>
      <c r="E564" s="6">
        <v>3</v>
      </c>
      <c r="F564" s="6">
        <f>(E564*44)</f>
        <v>132</v>
      </c>
      <c r="G564" s="10"/>
    </row>
    <row r="565" spans="3:7" x14ac:dyDescent="0.3">
      <c r="D565" s="5" t="s">
        <v>404</v>
      </c>
      <c r="E565" s="6">
        <v>10</v>
      </c>
      <c r="F565" s="6">
        <f>(E565*44)</f>
        <v>440</v>
      </c>
      <c r="G565" s="10" t="s">
        <v>7</v>
      </c>
    </row>
    <row r="566" spans="3:7" x14ac:dyDescent="0.3">
      <c r="D566" s="5" t="s">
        <v>286</v>
      </c>
      <c r="E566" s="6">
        <v>8</v>
      </c>
      <c r="F566" s="6">
        <f>(E566*44)</f>
        <v>352</v>
      </c>
      <c r="G566" s="10" t="s">
        <v>7</v>
      </c>
    </row>
    <row r="567" spans="3:7" x14ac:dyDescent="0.3">
      <c r="D567" s="27"/>
      <c r="E567" s="13">
        <f>SUM(E557:E566)</f>
        <v>985</v>
      </c>
      <c r="F567" s="17"/>
      <c r="G567" s="17"/>
    </row>
    <row r="570" spans="3:7" ht="23.4" x14ac:dyDescent="0.45">
      <c r="D570" s="172" t="s">
        <v>873</v>
      </c>
      <c r="E570" s="173"/>
      <c r="F570" s="173"/>
      <c r="G570" s="174"/>
    </row>
    <row r="571" spans="3:7" ht="46.8" x14ac:dyDescent="0.3">
      <c r="C571" s="1">
        <v>18</v>
      </c>
      <c r="D571" s="2" t="s">
        <v>0</v>
      </c>
      <c r="E571" s="3" t="s">
        <v>1</v>
      </c>
      <c r="F571" s="3" t="s">
        <v>126</v>
      </c>
      <c r="G571" s="4"/>
    </row>
    <row r="572" spans="3:7" x14ac:dyDescent="0.3">
      <c r="D572" s="5" t="s">
        <v>16</v>
      </c>
      <c r="E572" s="6">
        <v>821</v>
      </c>
      <c r="F572" s="6">
        <f>(E572*36)</f>
        <v>29556</v>
      </c>
      <c r="G572" s="161" t="s">
        <v>7</v>
      </c>
    </row>
    <row r="573" spans="3:7" x14ac:dyDescent="0.3">
      <c r="D573" s="5" t="s">
        <v>171</v>
      </c>
      <c r="E573" s="6">
        <v>70</v>
      </c>
      <c r="F573" s="6">
        <f>(E573*36)</f>
        <v>2520</v>
      </c>
      <c r="G573" s="161"/>
    </row>
    <row r="574" spans="3:7" x14ac:dyDescent="0.3">
      <c r="D574" s="5" t="s">
        <v>372</v>
      </c>
      <c r="E574" s="6">
        <v>70</v>
      </c>
      <c r="F574" s="6">
        <f>(E574*36)</f>
        <v>2520</v>
      </c>
      <c r="G574" s="161"/>
    </row>
    <row r="575" spans="3:7" x14ac:dyDescent="0.3">
      <c r="D575" s="5" t="s">
        <v>59</v>
      </c>
      <c r="E575" s="6">
        <v>10</v>
      </c>
      <c r="F575" s="6">
        <f>(E575*36)</f>
        <v>360</v>
      </c>
      <c r="G575" s="161"/>
    </row>
    <row r="576" spans="3:7" x14ac:dyDescent="0.3">
      <c r="D576" s="5" t="s">
        <v>434</v>
      </c>
      <c r="E576" s="6">
        <v>10</v>
      </c>
      <c r="F576" s="6">
        <f>(E576*36)</f>
        <v>360</v>
      </c>
      <c r="G576" s="161"/>
    </row>
    <row r="577" spans="3:7" x14ac:dyDescent="0.3">
      <c r="D577" s="5" t="s">
        <v>425</v>
      </c>
      <c r="E577" s="6">
        <v>10</v>
      </c>
      <c r="F577" s="6">
        <f>(E577*36)</f>
        <v>360</v>
      </c>
      <c r="G577" s="161"/>
    </row>
    <row r="578" spans="3:7" x14ac:dyDescent="0.3">
      <c r="D578" s="5" t="s">
        <v>567</v>
      </c>
      <c r="E578" s="6">
        <v>5</v>
      </c>
      <c r="F578" s="6">
        <f>(E578*36)</f>
        <v>180</v>
      </c>
      <c r="G578" s="161"/>
    </row>
    <row r="579" spans="3:7" x14ac:dyDescent="0.3">
      <c r="D579" s="5" t="s">
        <v>60</v>
      </c>
      <c r="E579" s="11">
        <v>2.5</v>
      </c>
      <c r="F579" s="6">
        <f>(E579*36)</f>
        <v>90</v>
      </c>
      <c r="G579" s="161" t="s">
        <v>7</v>
      </c>
    </row>
    <row r="580" spans="3:7" x14ac:dyDescent="0.3">
      <c r="D580" s="5" t="s">
        <v>174</v>
      </c>
      <c r="E580" s="6">
        <v>1</v>
      </c>
      <c r="F580" s="6">
        <f>(E580*36)</f>
        <v>36</v>
      </c>
      <c r="G580" s="161"/>
    </row>
    <row r="581" spans="3:7" x14ac:dyDescent="0.3">
      <c r="D581" s="27"/>
      <c r="E581" s="13">
        <f>SUM(E572:E580)</f>
        <v>999.5</v>
      </c>
      <c r="F581" s="160">
        <f>SUM(F572:F580)</f>
        <v>35982</v>
      </c>
      <c r="G581" s="17"/>
    </row>
    <row r="585" spans="3:7" ht="23.4" x14ac:dyDescent="0.45">
      <c r="D585" s="172" t="s">
        <v>612</v>
      </c>
      <c r="E585" s="173"/>
      <c r="F585" s="173"/>
      <c r="G585" s="174"/>
    </row>
    <row r="586" spans="3:7" ht="46.8" x14ac:dyDescent="0.3">
      <c r="C586" s="1">
        <v>4</v>
      </c>
      <c r="D586" s="2" t="s">
        <v>0</v>
      </c>
      <c r="E586" s="3" t="s">
        <v>1</v>
      </c>
      <c r="F586" s="3" t="s">
        <v>87</v>
      </c>
      <c r="G586" s="4"/>
    </row>
    <row r="587" spans="3:7" x14ac:dyDescent="0.3">
      <c r="D587" s="5" t="s">
        <v>232</v>
      </c>
      <c r="E587" s="11">
        <v>849</v>
      </c>
      <c r="F587" s="6">
        <f>(E587*100)</f>
        <v>84900</v>
      </c>
      <c r="G587" s="10" t="s">
        <v>7</v>
      </c>
    </row>
    <row r="588" spans="3:7" x14ac:dyDescent="0.3">
      <c r="D588" s="5" t="s">
        <v>19</v>
      </c>
      <c r="E588" s="11">
        <v>30</v>
      </c>
      <c r="F588" s="6"/>
      <c r="G588" s="10"/>
    </row>
    <row r="589" spans="3:7" x14ac:dyDescent="0.3">
      <c r="D589" s="5" t="s">
        <v>163</v>
      </c>
      <c r="E589" s="11">
        <v>30</v>
      </c>
      <c r="F589" s="6"/>
      <c r="G589" s="10"/>
    </row>
    <row r="590" spans="3:7" x14ac:dyDescent="0.3">
      <c r="D590" s="5" t="s">
        <v>560</v>
      </c>
      <c r="E590" s="11">
        <v>40</v>
      </c>
      <c r="F590" s="6"/>
      <c r="G590" s="10"/>
    </row>
    <row r="591" spans="3:7" x14ac:dyDescent="0.3">
      <c r="D591" s="5" t="s">
        <v>613</v>
      </c>
      <c r="E591" s="11">
        <v>20</v>
      </c>
      <c r="F591" s="6"/>
      <c r="G591" s="10"/>
    </row>
    <row r="592" spans="3:7" x14ac:dyDescent="0.3">
      <c r="D592" s="5" t="s">
        <v>521</v>
      </c>
      <c r="E592" s="11">
        <v>10</v>
      </c>
      <c r="F592" s="6">
        <f>(E592*100)</f>
        <v>1000</v>
      </c>
      <c r="G592" s="10"/>
    </row>
    <row r="593" spans="3:7" x14ac:dyDescent="0.3">
      <c r="D593" s="5" t="s">
        <v>614</v>
      </c>
      <c r="E593" s="11">
        <v>7</v>
      </c>
      <c r="F593" s="6">
        <f>(E593*100)</f>
        <v>700</v>
      </c>
      <c r="G593" s="10"/>
    </row>
    <row r="594" spans="3:7" x14ac:dyDescent="0.3">
      <c r="D594" s="24" t="s">
        <v>21</v>
      </c>
      <c r="E594" s="11">
        <v>5</v>
      </c>
      <c r="F594" s="6">
        <f>(E594*100)</f>
        <v>500</v>
      </c>
      <c r="G594" s="10"/>
    </row>
    <row r="595" spans="3:7" x14ac:dyDescent="0.3">
      <c r="D595" s="24" t="s">
        <v>287</v>
      </c>
      <c r="E595" s="11">
        <v>2</v>
      </c>
      <c r="F595" s="6">
        <f>(E595*100)</f>
        <v>200</v>
      </c>
      <c r="G595" s="10"/>
    </row>
    <row r="596" spans="3:7" x14ac:dyDescent="0.3">
      <c r="D596" s="5" t="s">
        <v>57</v>
      </c>
      <c r="E596" s="6">
        <v>3</v>
      </c>
      <c r="F596" s="6">
        <f>(E596*100)</f>
        <v>300</v>
      </c>
      <c r="G596" s="10" t="s">
        <v>7</v>
      </c>
    </row>
    <row r="597" spans="3:7" x14ac:dyDescent="0.3">
      <c r="D597" s="5" t="s">
        <v>615</v>
      </c>
      <c r="E597" s="6">
        <v>0.5</v>
      </c>
      <c r="F597" s="6">
        <f>(E597*100)</f>
        <v>50</v>
      </c>
      <c r="G597" s="10"/>
    </row>
    <row r="598" spans="3:7" x14ac:dyDescent="0.3">
      <c r="D598" s="5" t="s">
        <v>174</v>
      </c>
      <c r="E598" s="6">
        <v>2</v>
      </c>
      <c r="F598" s="6">
        <f>(E598*100)</f>
        <v>200</v>
      </c>
      <c r="G598" s="10"/>
    </row>
    <row r="599" spans="3:7" x14ac:dyDescent="0.3">
      <c r="D599" s="27"/>
      <c r="E599" s="19">
        <f>SUM(E587:E598)</f>
        <v>998.5</v>
      </c>
      <c r="F599" s="154">
        <f>SUM(F587:F598)</f>
        <v>87850</v>
      </c>
      <c r="G599" s="17"/>
    </row>
    <row r="603" spans="3:7" ht="23.4" x14ac:dyDescent="0.45">
      <c r="D603" s="172" t="s">
        <v>618</v>
      </c>
      <c r="E603" s="173"/>
      <c r="F603" s="173"/>
      <c r="G603" s="174"/>
    </row>
    <row r="604" spans="3:7" ht="46.8" x14ac:dyDescent="0.3">
      <c r="C604" s="1">
        <v>4</v>
      </c>
      <c r="D604" s="2" t="s">
        <v>0</v>
      </c>
      <c r="E604" s="3" t="s">
        <v>1</v>
      </c>
      <c r="F604" s="3" t="s">
        <v>408</v>
      </c>
      <c r="G604" s="3" t="s">
        <v>278</v>
      </c>
    </row>
    <row r="605" spans="3:7" x14ac:dyDescent="0.3">
      <c r="D605" s="5" t="s">
        <v>232</v>
      </c>
      <c r="E605" s="11">
        <v>666</v>
      </c>
      <c r="F605" s="6">
        <f>(E605*50)</f>
        <v>33300</v>
      </c>
      <c r="G605" s="6">
        <f>(E605*25)</f>
        <v>16650</v>
      </c>
    </row>
    <row r="606" spans="3:7" x14ac:dyDescent="0.3">
      <c r="D606" s="5" t="s">
        <v>19</v>
      </c>
      <c r="E606" s="11">
        <v>30</v>
      </c>
      <c r="F606" s="6">
        <f>(E606*50)</f>
        <v>1500</v>
      </c>
      <c r="G606" s="6">
        <f>(E606*25)</f>
        <v>750</v>
      </c>
    </row>
    <row r="607" spans="3:7" x14ac:dyDescent="0.3">
      <c r="D607" s="5" t="s">
        <v>187</v>
      </c>
      <c r="E607" s="11">
        <v>7</v>
      </c>
      <c r="F607" s="6">
        <f>(E607*50)</f>
        <v>350</v>
      </c>
      <c r="G607" s="6">
        <f>(E607*25)</f>
        <v>175</v>
      </c>
    </row>
    <row r="608" spans="3:7" x14ac:dyDescent="0.3">
      <c r="D608" s="5" t="s">
        <v>244</v>
      </c>
      <c r="E608" s="11">
        <v>3</v>
      </c>
      <c r="F608" s="6">
        <f>(E608*50)</f>
        <v>150</v>
      </c>
      <c r="G608" s="6">
        <f>(E608*25)</f>
        <v>75</v>
      </c>
    </row>
    <row r="609" spans="3:7" x14ac:dyDescent="0.3">
      <c r="D609" s="5" t="s">
        <v>481</v>
      </c>
      <c r="E609" s="11">
        <v>150</v>
      </c>
      <c r="F609" s="6">
        <f>(E609*50)</f>
        <v>7500</v>
      </c>
      <c r="G609" s="6">
        <f>(E609*25)</f>
        <v>3750</v>
      </c>
    </row>
    <row r="610" spans="3:7" x14ac:dyDescent="0.3">
      <c r="D610" s="5" t="s">
        <v>203</v>
      </c>
      <c r="E610" s="11">
        <v>50</v>
      </c>
      <c r="F610" s="6">
        <f>(E610*50)</f>
        <v>2500</v>
      </c>
      <c r="G610" s="6">
        <f>(E610*25)</f>
        <v>1250</v>
      </c>
    </row>
    <row r="611" spans="3:7" x14ac:dyDescent="0.3">
      <c r="D611" s="5" t="s">
        <v>469</v>
      </c>
      <c r="E611" s="11">
        <v>20</v>
      </c>
      <c r="F611" s="6">
        <f>(E611*50)</f>
        <v>1000</v>
      </c>
      <c r="G611" s="6">
        <f>(E611*25)</f>
        <v>500</v>
      </c>
    </row>
    <row r="612" spans="3:7" x14ac:dyDescent="0.3">
      <c r="D612" s="24" t="s">
        <v>536</v>
      </c>
      <c r="E612" s="11">
        <v>20</v>
      </c>
      <c r="F612" s="6">
        <f>(E612*50)</f>
        <v>1000</v>
      </c>
      <c r="G612" s="6">
        <f>(E612*25)</f>
        <v>500</v>
      </c>
    </row>
    <row r="613" spans="3:7" x14ac:dyDescent="0.3">
      <c r="D613" s="24" t="s">
        <v>619</v>
      </c>
      <c r="E613" s="11">
        <v>20</v>
      </c>
      <c r="F613" s="6">
        <f>(E613*50)</f>
        <v>1000</v>
      </c>
      <c r="G613" s="6">
        <f>(E613*25)</f>
        <v>500</v>
      </c>
    </row>
    <row r="614" spans="3:7" x14ac:dyDescent="0.3">
      <c r="D614" s="5" t="s">
        <v>521</v>
      </c>
      <c r="E614" s="6">
        <v>10</v>
      </c>
      <c r="F614" s="6">
        <f>(E614*50)</f>
        <v>500</v>
      </c>
      <c r="G614" s="6">
        <f>(E614*25)</f>
        <v>250</v>
      </c>
    </row>
    <row r="615" spans="3:7" x14ac:dyDescent="0.3">
      <c r="D615" s="5" t="s">
        <v>56</v>
      </c>
      <c r="E615" s="6">
        <v>2</v>
      </c>
      <c r="F615" s="6">
        <f>(E615*50)</f>
        <v>100</v>
      </c>
      <c r="G615" s="6">
        <f>(E615*25)</f>
        <v>50</v>
      </c>
    </row>
    <row r="616" spans="3:7" x14ac:dyDescent="0.3">
      <c r="D616" s="5" t="s">
        <v>29</v>
      </c>
      <c r="E616" s="6">
        <v>1</v>
      </c>
      <c r="F616" s="6">
        <f>(E616*50)</f>
        <v>50</v>
      </c>
      <c r="G616" s="6">
        <f>(E616*25)</f>
        <v>25</v>
      </c>
    </row>
    <row r="617" spans="3:7" x14ac:dyDescent="0.3">
      <c r="D617" s="5" t="s">
        <v>432</v>
      </c>
      <c r="E617" s="6">
        <v>1</v>
      </c>
      <c r="F617" s="6">
        <f>(E617*50)</f>
        <v>50</v>
      </c>
      <c r="G617" s="6">
        <f>(E617*25)</f>
        <v>25</v>
      </c>
    </row>
    <row r="618" spans="3:7" x14ac:dyDescent="0.3">
      <c r="D618" s="5" t="s">
        <v>620</v>
      </c>
      <c r="E618" s="6">
        <v>15</v>
      </c>
      <c r="F618" s="6">
        <f>(E618*50)</f>
        <v>750</v>
      </c>
      <c r="G618" s="6">
        <f>(E618*25)</f>
        <v>375</v>
      </c>
    </row>
    <row r="619" spans="3:7" x14ac:dyDescent="0.3">
      <c r="D619" s="5" t="s">
        <v>174</v>
      </c>
      <c r="E619" s="6">
        <v>3</v>
      </c>
      <c r="F619" s="6">
        <f>(E619*50)</f>
        <v>150</v>
      </c>
      <c r="G619" s="6">
        <f>(E619*25)</f>
        <v>75</v>
      </c>
    </row>
    <row r="620" spans="3:7" ht="15.6" x14ac:dyDescent="0.3">
      <c r="D620" s="27"/>
      <c r="E620" s="19">
        <f>SUM(E605:E619)</f>
        <v>998</v>
      </c>
      <c r="F620" s="154">
        <f>SUM(F605:F619)</f>
        <v>49900</v>
      </c>
      <c r="G620" s="168">
        <f>SUM(G605:G619)</f>
        <v>24950</v>
      </c>
    </row>
    <row r="623" spans="3:7" ht="23.4" x14ac:dyDescent="0.45">
      <c r="D623" s="172" t="s">
        <v>639</v>
      </c>
      <c r="E623" s="173"/>
      <c r="F623" s="173"/>
      <c r="G623" s="174"/>
    </row>
    <row r="624" spans="3:7" ht="46.8" x14ac:dyDescent="0.3">
      <c r="C624" s="1">
        <v>4</v>
      </c>
      <c r="D624" s="2" t="s">
        <v>0</v>
      </c>
      <c r="E624" s="3" t="s">
        <v>1</v>
      </c>
      <c r="F624" s="3" t="s">
        <v>408</v>
      </c>
      <c r="G624" s="4" t="s">
        <v>693</v>
      </c>
    </row>
    <row r="625" spans="3:7" x14ac:dyDescent="0.3">
      <c r="D625" s="5" t="s">
        <v>632</v>
      </c>
      <c r="E625" s="11">
        <v>60</v>
      </c>
      <c r="F625" s="6">
        <f>(E625*50)</f>
        <v>3000</v>
      </c>
      <c r="G625" s="6">
        <f>(E625*35)</f>
        <v>2100</v>
      </c>
    </row>
    <row r="626" spans="3:7" x14ac:dyDescent="0.3">
      <c r="D626" s="5" t="s">
        <v>633</v>
      </c>
      <c r="E626" s="11">
        <v>30</v>
      </c>
      <c r="F626" s="6">
        <f>(E626*50)</f>
        <v>1500</v>
      </c>
      <c r="G626" s="6">
        <f>(E626*35)</f>
        <v>1050</v>
      </c>
    </row>
    <row r="627" spans="3:7" x14ac:dyDescent="0.3">
      <c r="D627" s="5" t="s">
        <v>55</v>
      </c>
      <c r="E627" s="11">
        <v>693</v>
      </c>
      <c r="F627" s="6">
        <f>(E627*50)</f>
        <v>34650</v>
      </c>
      <c r="G627" s="6">
        <f>(E627*35)</f>
        <v>24255</v>
      </c>
    </row>
    <row r="628" spans="3:7" x14ac:dyDescent="0.3">
      <c r="D628" s="5" t="s">
        <v>634</v>
      </c>
      <c r="E628" s="11">
        <v>121</v>
      </c>
      <c r="F628" s="6">
        <f>(E628*50)</f>
        <v>6050</v>
      </c>
      <c r="G628" s="6">
        <f>(E628*35)</f>
        <v>4235</v>
      </c>
    </row>
    <row r="629" spans="3:7" x14ac:dyDescent="0.3">
      <c r="D629" s="5" t="s">
        <v>635</v>
      </c>
      <c r="E629" s="11">
        <v>2</v>
      </c>
      <c r="F629" s="6">
        <f>(E629*50)</f>
        <v>100</v>
      </c>
      <c r="G629" s="6">
        <f>(E629*35)</f>
        <v>70</v>
      </c>
    </row>
    <row r="630" spans="3:7" x14ac:dyDescent="0.3">
      <c r="D630" s="5" t="s">
        <v>636</v>
      </c>
      <c r="E630" s="11">
        <v>18</v>
      </c>
      <c r="F630" s="6">
        <f>(E630*50)</f>
        <v>900</v>
      </c>
      <c r="G630" s="6">
        <f>(E630*35)</f>
        <v>630</v>
      </c>
    </row>
    <row r="631" spans="3:7" x14ac:dyDescent="0.3">
      <c r="D631" s="24" t="s">
        <v>43</v>
      </c>
      <c r="E631" s="11">
        <v>18</v>
      </c>
      <c r="F631" s="6">
        <f>(E631*50)</f>
        <v>900</v>
      </c>
      <c r="G631" s="6">
        <f>(E631*35)</f>
        <v>630</v>
      </c>
    </row>
    <row r="632" spans="3:7" x14ac:dyDescent="0.3">
      <c r="D632" s="24" t="s">
        <v>637</v>
      </c>
      <c r="E632" s="11">
        <v>18</v>
      </c>
      <c r="F632" s="6">
        <f>(E632*50)</f>
        <v>900</v>
      </c>
      <c r="G632" s="6">
        <f>(E632*35)</f>
        <v>630</v>
      </c>
    </row>
    <row r="633" spans="3:7" x14ac:dyDescent="0.3">
      <c r="D633" s="5" t="s">
        <v>484</v>
      </c>
      <c r="E633" s="6">
        <v>2</v>
      </c>
      <c r="F633" s="6">
        <f>(E633*50)</f>
        <v>100</v>
      </c>
      <c r="G633" s="6">
        <f>(E633*35)</f>
        <v>70</v>
      </c>
    </row>
    <row r="634" spans="3:7" x14ac:dyDescent="0.3">
      <c r="D634" s="5" t="s">
        <v>638</v>
      </c>
      <c r="E634" s="6">
        <v>38.5</v>
      </c>
      <c r="F634" s="6">
        <f>(E634*50)</f>
        <v>1925</v>
      </c>
      <c r="G634" s="6">
        <f>(E634*35)</f>
        <v>1347.5</v>
      </c>
    </row>
    <row r="635" spans="3:7" x14ac:dyDescent="0.3">
      <c r="D635" s="27"/>
      <c r="E635" s="19">
        <f>SUM(E625:E634)</f>
        <v>1000.5</v>
      </c>
      <c r="F635" s="154">
        <f>SUM(F625:F634)</f>
        <v>50025</v>
      </c>
      <c r="G635" s="154">
        <f>SUM(G625:G634)</f>
        <v>35017.5</v>
      </c>
    </row>
    <row r="636" spans="3:7" x14ac:dyDescent="0.3">
      <c r="E636" s="162"/>
    </row>
    <row r="638" spans="3:7" ht="23.4" x14ac:dyDescent="0.45">
      <c r="D638" s="172" t="s">
        <v>641</v>
      </c>
      <c r="E638" s="173"/>
      <c r="F638" s="173"/>
      <c r="G638" s="174"/>
    </row>
    <row r="639" spans="3:7" ht="46.8" x14ac:dyDescent="0.3">
      <c r="C639" s="1">
        <v>4</v>
      </c>
      <c r="D639" s="2" t="s">
        <v>0</v>
      </c>
      <c r="E639" s="3" t="s">
        <v>1</v>
      </c>
      <c r="F639" s="3" t="s">
        <v>408</v>
      </c>
      <c r="G639" s="4"/>
    </row>
    <row r="640" spans="3:7" x14ac:dyDescent="0.3">
      <c r="D640" s="5" t="s">
        <v>55</v>
      </c>
      <c r="E640" s="11">
        <v>868</v>
      </c>
      <c r="F640" s="6">
        <f>(E640*50)</f>
        <v>43400</v>
      </c>
      <c r="G640" s="10"/>
    </row>
    <row r="641" spans="3:7" x14ac:dyDescent="0.3">
      <c r="D641" s="5" t="s">
        <v>634</v>
      </c>
      <c r="E641" s="11">
        <v>40</v>
      </c>
      <c r="F641" s="6">
        <f>(E641*50)</f>
        <v>2000</v>
      </c>
      <c r="G641" s="10"/>
    </row>
    <row r="642" spans="3:7" x14ac:dyDescent="0.3">
      <c r="D642" s="5" t="s">
        <v>642</v>
      </c>
      <c r="E642" s="11">
        <v>20</v>
      </c>
      <c r="F642" s="6">
        <f>(E642*50)</f>
        <v>1000</v>
      </c>
      <c r="G642" s="10"/>
    </row>
    <row r="643" spans="3:7" x14ac:dyDescent="0.3">
      <c r="D643" s="5" t="s">
        <v>9</v>
      </c>
      <c r="E643" s="11">
        <v>25</v>
      </c>
      <c r="F643" s="6">
        <f>(E643*50)</f>
        <v>1250</v>
      </c>
      <c r="G643" s="10"/>
    </row>
    <row r="644" spans="3:7" x14ac:dyDescent="0.3">
      <c r="D644" s="5" t="s">
        <v>343</v>
      </c>
      <c r="E644" s="11">
        <v>10</v>
      </c>
      <c r="F644" s="6">
        <f>(E644*50)</f>
        <v>500</v>
      </c>
      <c r="G644" s="10"/>
    </row>
    <row r="645" spans="3:7" x14ac:dyDescent="0.3">
      <c r="D645" s="5" t="s">
        <v>374</v>
      </c>
      <c r="E645" s="11">
        <v>15</v>
      </c>
      <c r="F645" s="6">
        <f>(E645*50)</f>
        <v>750</v>
      </c>
      <c r="G645" s="10"/>
    </row>
    <row r="646" spans="3:7" x14ac:dyDescent="0.3">
      <c r="D646" s="24" t="s">
        <v>12</v>
      </c>
      <c r="E646" s="11">
        <v>5</v>
      </c>
      <c r="F646" s="6">
        <f>(E646*50)</f>
        <v>250</v>
      </c>
      <c r="G646" s="10"/>
    </row>
    <row r="647" spans="3:7" x14ac:dyDescent="0.3">
      <c r="D647" s="24" t="s">
        <v>504</v>
      </c>
      <c r="E647" s="11">
        <v>3</v>
      </c>
      <c r="F647" s="6">
        <f>(E647*50)</f>
        <v>150</v>
      </c>
      <c r="G647" s="10"/>
    </row>
    <row r="648" spans="3:7" x14ac:dyDescent="0.3">
      <c r="D648" s="5" t="s">
        <v>168</v>
      </c>
      <c r="E648" s="6">
        <v>2</v>
      </c>
      <c r="F648" s="6">
        <f>(E648*50)</f>
        <v>100</v>
      </c>
      <c r="G648" s="10" t="s">
        <v>7</v>
      </c>
    </row>
    <row r="649" spans="3:7" x14ac:dyDescent="0.3">
      <c r="D649" s="5" t="s">
        <v>56</v>
      </c>
      <c r="E649" s="6">
        <v>2</v>
      </c>
      <c r="F649" s="6">
        <f>(E649*50)</f>
        <v>100</v>
      </c>
      <c r="G649" s="10"/>
    </row>
    <row r="650" spans="3:7" x14ac:dyDescent="0.3">
      <c r="D650" s="133" t="s">
        <v>29</v>
      </c>
      <c r="E650" s="97">
        <v>1</v>
      </c>
      <c r="F650" s="97">
        <f>(E650*50)</f>
        <v>50</v>
      </c>
      <c r="G650" s="10"/>
    </row>
    <row r="651" spans="3:7" x14ac:dyDescent="0.3">
      <c r="D651" s="27"/>
      <c r="E651" s="19">
        <f>SUM(E640:E650)</f>
        <v>991</v>
      </c>
      <c r="F651" s="154">
        <f>SUM(F640:F650)</f>
        <v>49550</v>
      </c>
      <c r="G651" s="17"/>
    </row>
    <row r="655" spans="3:7" ht="23.4" x14ac:dyDescent="0.45">
      <c r="D655" s="172" t="s">
        <v>694</v>
      </c>
      <c r="E655" s="173"/>
      <c r="F655" s="173"/>
      <c r="G655" s="174"/>
    </row>
    <row r="656" spans="3:7" ht="46.8" x14ac:dyDescent="0.3">
      <c r="C656" s="1">
        <v>4</v>
      </c>
      <c r="D656" s="2" t="s">
        <v>0</v>
      </c>
      <c r="E656" s="3" t="s">
        <v>1</v>
      </c>
      <c r="F656" s="3" t="s">
        <v>408</v>
      </c>
      <c r="G656" s="4"/>
    </row>
    <row r="657" spans="3:7" x14ac:dyDescent="0.3">
      <c r="D657" s="5" t="s">
        <v>55</v>
      </c>
      <c r="E657" s="11">
        <v>777</v>
      </c>
      <c r="F657" s="6">
        <f>(E657*50)</f>
        <v>38850</v>
      </c>
      <c r="G657" s="10"/>
    </row>
    <row r="658" spans="3:7" x14ac:dyDescent="0.3">
      <c r="D658" s="5" t="s">
        <v>171</v>
      </c>
      <c r="E658" s="11">
        <v>70</v>
      </c>
      <c r="F658" s="6">
        <f>(E658*50)</f>
        <v>3500</v>
      </c>
      <c r="G658" s="10"/>
    </row>
    <row r="659" spans="3:7" x14ac:dyDescent="0.3">
      <c r="D659" s="5" t="s">
        <v>276</v>
      </c>
      <c r="E659" s="11">
        <v>70</v>
      </c>
      <c r="F659" s="6">
        <f>(E659*50)</f>
        <v>3500</v>
      </c>
      <c r="G659" s="10"/>
    </row>
    <row r="660" spans="3:7" x14ac:dyDescent="0.3">
      <c r="D660" s="5" t="s">
        <v>244</v>
      </c>
      <c r="E660" s="11">
        <v>30</v>
      </c>
      <c r="F660" s="6">
        <f>(E660*50)</f>
        <v>1500</v>
      </c>
      <c r="G660" s="10"/>
    </row>
    <row r="661" spans="3:7" x14ac:dyDescent="0.3">
      <c r="D661" s="5" t="s">
        <v>643</v>
      </c>
      <c r="E661" s="11">
        <v>30</v>
      </c>
      <c r="F661" s="6">
        <f>(E661*50)</f>
        <v>1500</v>
      </c>
      <c r="G661" s="10"/>
    </row>
    <row r="662" spans="3:7" x14ac:dyDescent="0.3">
      <c r="D662" s="5" t="s">
        <v>59</v>
      </c>
      <c r="E662" s="11">
        <v>10</v>
      </c>
      <c r="F662" s="6">
        <f>(E662*50)</f>
        <v>500</v>
      </c>
      <c r="G662" s="10"/>
    </row>
    <row r="663" spans="3:7" x14ac:dyDescent="0.3">
      <c r="D663" s="24" t="s">
        <v>434</v>
      </c>
      <c r="E663" s="11">
        <v>10</v>
      </c>
      <c r="F663" s="6">
        <f>(E663*50)</f>
        <v>500</v>
      </c>
      <c r="G663" s="10"/>
    </row>
    <row r="664" spans="3:7" x14ac:dyDescent="0.3">
      <c r="D664" s="5" t="s">
        <v>695</v>
      </c>
      <c r="E664" s="11">
        <v>2.5</v>
      </c>
      <c r="F664" s="6">
        <f>(E664*50)</f>
        <v>125</v>
      </c>
      <c r="G664" s="10"/>
    </row>
    <row r="665" spans="3:7" x14ac:dyDescent="0.3">
      <c r="D665" s="27"/>
      <c r="E665" s="19">
        <f>SUM(E657:E664)</f>
        <v>999.5</v>
      </c>
      <c r="F665" s="154">
        <f>SUM(F657:F664)</f>
        <v>49975</v>
      </c>
      <c r="G665" s="17"/>
    </row>
    <row r="668" spans="3:7" ht="23.4" x14ac:dyDescent="0.45">
      <c r="D668" s="172" t="s">
        <v>648</v>
      </c>
      <c r="E668" s="173"/>
      <c r="F668" s="173"/>
      <c r="G668" s="174"/>
    </row>
    <row r="669" spans="3:7" ht="46.8" x14ac:dyDescent="0.3">
      <c r="C669" s="1">
        <v>4</v>
      </c>
      <c r="D669" s="2" t="s">
        <v>0</v>
      </c>
      <c r="E669" s="3" t="s">
        <v>1</v>
      </c>
      <c r="F669" s="3" t="s">
        <v>408</v>
      </c>
      <c r="G669" s="4"/>
    </row>
    <row r="670" spans="3:7" x14ac:dyDescent="0.3">
      <c r="D670" s="5" t="s">
        <v>80</v>
      </c>
      <c r="E670" s="11">
        <v>985</v>
      </c>
      <c r="F670" s="6">
        <f>(E670*50)</f>
        <v>49250</v>
      </c>
      <c r="G670" s="10"/>
    </row>
    <row r="671" spans="3:7" x14ac:dyDescent="0.3">
      <c r="D671" s="5" t="s">
        <v>484</v>
      </c>
      <c r="E671" s="11">
        <v>5</v>
      </c>
      <c r="F671" s="6">
        <f>(E671*50)</f>
        <v>250</v>
      </c>
      <c r="G671" s="10"/>
    </row>
    <row r="672" spans="3:7" x14ac:dyDescent="0.3">
      <c r="D672" s="5" t="s">
        <v>649</v>
      </c>
      <c r="E672" s="11">
        <v>6</v>
      </c>
      <c r="F672" s="6">
        <f>(E672*50)</f>
        <v>300</v>
      </c>
      <c r="G672" s="10"/>
    </row>
    <row r="673" spans="3:7" x14ac:dyDescent="0.3">
      <c r="D673" s="5" t="s">
        <v>627</v>
      </c>
      <c r="E673" s="11">
        <v>2</v>
      </c>
      <c r="F673" s="6">
        <f>(E673*50)</f>
        <v>100</v>
      </c>
      <c r="G673" s="10"/>
    </row>
    <row r="674" spans="3:7" x14ac:dyDescent="0.3">
      <c r="D674" s="5" t="s">
        <v>650</v>
      </c>
      <c r="E674" s="11">
        <v>2</v>
      </c>
      <c r="F674" s="6">
        <f>(E674*50)</f>
        <v>100</v>
      </c>
      <c r="G674" s="10"/>
    </row>
    <row r="675" spans="3:7" x14ac:dyDescent="0.3">
      <c r="D675" s="27"/>
      <c r="E675" s="19">
        <f>SUM(E670:E674)</f>
        <v>1000</v>
      </c>
      <c r="F675" s="154">
        <f>SUM(F670:F674)</f>
        <v>50000</v>
      </c>
      <c r="G675" s="17"/>
    </row>
    <row r="678" spans="3:7" ht="23.4" x14ac:dyDescent="0.45">
      <c r="D678" s="172" t="s">
        <v>664</v>
      </c>
      <c r="E678" s="173"/>
      <c r="F678" s="173"/>
      <c r="G678" s="174"/>
    </row>
    <row r="679" spans="3:7" ht="46.8" x14ac:dyDescent="0.3">
      <c r="C679" s="1">
        <v>4</v>
      </c>
      <c r="D679" s="2" t="s">
        <v>0</v>
      </c>
      <c r="E679" s="3" t="s">
        <v>1</v>
      </c>
      <c r="F679" s="3" t="s">
        <v>408</v>
      </c>
      <c r="G679" s="4"/>
    </row>
    <row r="680" spans="3:7" x14ac:dyDescent="0.3">
      <c r="D680" s="5" t="s">
        <v>665</v>
      </c>
      <c r="E680" s="11">
        <v>15</v>
      </c>
      <c r="F680" s="6">
        <f>(E680*50)</f>
        <v>750</v>
      </c>
      <c r="G680" s="10"/>
    </row>
    <row r="681" spans="3:7" x14ac:dyDescent="0.3">
      <c r="D681" s="5" t="s">
        <v>666</v>
      </c>
      <c r="E681" s="11">
        <v>20</v>
      </c>
      <c r="F681" s="6">
        <f>(E681*50)</f>
        <v>1000</v>
      </c>
      <c r="G681" s="10"/>
    </row>
    <row r="682" spans="3:7" x14ac:dyDescent="0.3">
      <c r="D682" s="5" t="s">
        <v>667</v>
      </c>
      <c r="E682" s="11">
        <v>70</v>
      </c>
      <c r="F682" s="6">
        <f>(E682*50)</f>
        <v>3500</v>
      </c>
      <c r="G682" s="10"/>
    </row>
    <row r="683" spans="3:7" x14ac:dyDescent="0.3">
      <c r="D683" s="5" t="s">
        <v>368</v>
      </c>
      <c r="E683" s="11">
        <v>70</v>
      </c>
      <c r="F683" s="6">
        <f>(E683*50)</f>
        <v>3500</v>
      </c>
      <c r="G683" s="10"/>
    </row>
    <row r="684" spans="3:7" x14ac:dyDescent="0.3">
      <c r="D684" s="5" t="s">
        <v>55</v>
      </c>
      <c r="E684" s="11">
        <v>769</v>
      </c>
      <c r="F684" s="6">
        <f>(E684*50)</f>
        <v>38450</v>
      </c>
      <c r="G684" s="10"/>
    </row>
    <row r="685" spans="3:7" x14ac:dyDescent="0.3">
      <c r="D685" s="5" t="s">
        <v>166</v>
      </c>
      <c r="E685" s="11">
        <v>10</v>
      </c>
      <c r="F685" s="6">
        <f>(E685*50)</f>
        <v>500</v>
      </c>
      <c r="G685" s="10"/>
    </row>
    <row r="686" spans="3:7" x14ac:dyDescent="0.3">
      <c r="D686" s="5" t="s">
        <v>668</v>
      </c>
      <c r="E686" s="11">
        <v>10</v>
      </c>
      <c r="F686" s="6">
        <f>(E686*50)</f>
        <v>500</v>
      </c>
      <c r="G686" s="10"/>
    </row>
    <row r="687" spans="3:7" x14ac:dyDescent="0.3">
      <c r="D687" s="24" t="s">
        <v>669</v>
      </c>
      <c r="E687" s="11">
        <v>10</v>
      </c>
      <c r="F687" s="6">
        <f>(E687*50)</f>
        <v>500</v>
      </c>
      <c r="G687" s="10"/>
    </row>
    <row r="688" spans="3:7" x14ac:dyDescent="0.3">
      <c r="D688" s="24" t="s">
        <v>59</v>
      </c>
      <c r="E688" s="11">
        <v>20</v>
      </c>
      <c r="F688" s="6">
        <f>(E688*50)</f>
        <v>1000</v>
      </c>
      <c r="G688" s="10"/>
    </row>
    <row r="689" spans="3:8" x14ac:dyDescent="0.3">
      <c r="D689" s="5" t="s">
        <v>504</v>
      </c>
      <c r="E689" s="11">
        <v>1</v>
      </c>
      <c r="F689" s="6">
        <f>(E689*50)</f>
        <v>50</v>
      </c>
      <c r="G689" s="10" t="s">
        <v>7</v>
      </c>
    </row>
    <row r="690" spans="3:8" x14ac:dyDescent="0.3">
      <c r="D690" s="5" t="s">
        <v>241</v>
      </c>
      <c r="E690" s="11">
        <v>2</v>
      </c>
      <c r="F690" s="6">
        <f>(E690*50)</f>
        <v>100</v>
      </c>
      <c r="G690" s="10"/>
    </row>
    <row r="691" spans="3:8" x14ac:dyDescent="0.3">
      <c r="D691" s="5" t="s">
        <v>670</v>
      </c>
      <c r="E691" s="11">
        <v>1</v>
      </c>
      <c r="F691" s="6">
        <f>(E691*50)</f>
        <v>50</v>
      </c>
      <c r="G691" s="10"/>
      <c r="H691" t="s">
        <v>680</v>
      </c>
    </row>
    <row r="692" spans="3:8" x14ac:dyDescent="0.3">
      <c r="D692" s="5" t="s">
        <v>60</v>
      </c>
      <c r="E692" s="6">
        <v>1</v>
      </c>
      <c r="F692" s="6">
        <f>(E692*50)</f>
        <v>50</v>
      </c>
      <c r="G692" s="10"/>
      <c r="H692">
        <v>60</v>
      </c>
    </row>
    <row r="693" spans="3:8" x14ac:dyDescent="0.3">
      <c r="D693" s="27"/>
      <c r="E693" s="19">
        <f>SUM(E680:E692)</f>
        <v>999</v>
      </c>
      <c r="F693" s="154">
        <f>SUM(F680:F692)</f>
        <v>49950</v>
      </c>
      <c r="G693" s="17"/>
    </row>
    <row r="696" spans="3:8" ht="23.4" x14ac:dyDescent="0.45">
      <c r="D696" s="172" t="s">
        <v>671</v>
      </c>
      <c r="E696" s="173"/>
      <c r="F696" s="173"/>
      <c r="G696" s="174"/>
    </row>
    <row r="697" spans="3:8" ht="46.8" x14ac:dyDescent="0.3">
      <c r="C697" s="1">
        <v>4</v>
      </c>
      <c r="D697" s="2" t="s">
        <v>0</v>
      </c>
      <c r="E697" s="3" t="s">
        <v>1</v>
      </c>
      <c r="F697" s="3" t="s">
        <v>408</v>
      </c>
      <c r="G697" s="4"/>
    </row>
    <row r="698" spans="3:8" x14ac:dyDescent="0.3">
      <c r="D698" s="5" t="s">
        <v>55</v>
      </c>
      <c r="E698" s="11">
        <v>896.5</v>
      </c>
      <c r="F698" s="6">
        <f>(E698*50)</f>
        <v>44825</v>
      </c>
      <c r="G698" s="10"/>
    </row>
    <row r="699" spans="3:8" x14ac:dyDescent="0.3">
      <c r="D699" s="5" t="s">
        <v>244</v>
      </c>
      <c r="E699" s="11">
        <v>5</v>
      </c>
      <c r="F699" s="6">
        <f>(E699*50)</f>
        <v>250</v>
      </c>
      <c r="G699" s="10"/>
    </row>
    <row r="700" spans="3:8" x14ac:dyDescent="0.3">
      <c r="D700" s="5" t="s">
        <v>241</v>
      </c>
      <c r="E700" s="11">
        <v>5</v>
      </c>
      <c r="F700" s="6">
        <f>(E700*50)</f>
        <v>250</v>
      </c>
      <c r="G700" s="10"/>
    </row>
    <row r="701" spans="3:8" x14ac:dyDescent="0.3">
      <c r="D701" s="5" t="s">
        <v>642</v>
      </c>
      <c r="E701" s="11">
        <v>3</v>
      </c>
      <c r="F701" s="6">
        <f>(E701*50)</f>
        <v>150</v>
      </c>
      <c r="G701" s="10"/>
    </row>
    <row r="702" spans="3:8" x14ac:dyDescent="0.3">
      <c r="D702" s="5" t="s">
        <v>661</v>
      </c>
      <c r="E702" s="11">
        <v>10</v>
      </c>
      <c r="F702" s="6">
        <f>(E702*50)</f>
        <v>500</v>
      </c>
      <c r="G702" s="10"/>
    </row>
    <row r="703" spans="3:8" x14ac:dyDescent="0.3">
      <c r="D703" s="5" t="s">
        <v>672</v>
      </c>
      <c r="E703" s="11">
        <v>10</v>
      </c>
      <c r="F703" s="6">
        <f>(E703*50)</f>
        <v>500</v>
      </c>
      <c r="G703" s="10"/>
    </row>
    <row r="704" spans="3:8" x14ac:dyDescent="0.3">
      <c r="D704" s="5" t="s">
        <v>673</v>
      </c>
      <c r="E704" s="11">
        <v>5</v>
      </c>
      <c r="F704" s="6">
        <f>(E704*50)</f>
        <v>250</v>
      </c>
      <c r="G704" s="10"/>
    </row>
    <row r="705" spans="3:8" x14ac:dyDescent="0.3">
      <c r="D705" s="24" t="s">
        <v>659</v>
      </c>
      <c r="E705" s="11">
        <v>0.5</v>
      </c>
      <c r="F705" s="6">
        <f>(E705*50)</f>
        <v>25</v>
      </c>
      <c r="G705" s="10"/>
    </row>
    <row r="706" spans="3:8" x14ac:dyDescent="0.3">
      <c r="D706" s="24" t="s">
        <v>163</v>
      </c>
      <c r="E706" s="11">
        <v>30</v>
      </c>
      <c r="F706" s="6">
        <f>(E706*50)</f>
        <v>1500</v>
      </c>
      <c r="G706" s="10"/>
    </row>
    <row r="707" spans="3:8" x14ac:dyDescent="0.3">
      <c r="D707" s="5" t="s">
        <v>59</v>
      </c>
      <c r="E707" s="11">
        <v>20</v>
      </c>
      <c r="F707" s="6">
        <f>(E707*50)</f>
        <v>1000</v>
      </c>
      <c r="G707" s="10" t="s">
        <v>7</v>
      </c>
    </row>
    <row r="708" spans="3:8" x14ac:dyDescent="0.3">
      <c r="D708" s="5" t="s">
        <v>60</v>
      </c>
      <c r="E708" s="11">
        <v>10</v>
      </c>
      <c r="F708" s="6">
        <f>(E708*50)</f>
        <v>500</v>
      </c>
      <c r="G708" s="10"/>
      <c r="H708" t="s">
        <v>680</v>
      </c>
    </row>
    <row r="709" spans="3:8" x14ac:dyDescent="0.3">
      <c r="D709" s="5" t="s">
        <v>474</v>
      </c>
      <c r="E709" s="11">
        <v>0.5</v>
      </c>
      <c r="F709" s="6">
        <f>(E709*50)</f>
        <v>25</v>
      </c>
      <c r="G709" s="10"/>
      <c r="H709">
        <v>50</v>
      </c>
    </row>
    <row r="710" spans="3:8" x14ac:dyDescent="0.3">
      <c r="D710" s="133" t="s">
        <v>174</v>
      </c>
      <c r="E710" s="98">
        <v>2</v>
      </c>
      <c r="F710" s="97">
        <f>(E710*50)</f>
        <v>100</v>
      </c>
      <c r="G710" s="10"/>
    </row>
    <row r="711" spans="3:8" x14ac:dyDescent="0.3">
      <c r="D711" s="133" t="s">
        <v>674</v>
      </c>
      <c r="E711" s="98">
        <v>0.5</v>
      </c>
      <c r="F711" s="97">
        <f>(E711*50)</f>
        <v>25</v>
      </c>
      <c r="G711" s="10"/>
    </row>
    <row r="712" spans="3:8" x14ac:dyDescent="0.3">
      <c r="D712" s="27"/>
      <c r="E712" s="19">
        <f>SUM(E698:E711)</f>
        <v>998</v>
      </c>
      <c r="F712" s="154">
        <f>SUM(F698:F711)</f>
        <v>49900</v>
      </c>
      <c r="G712" s="17"/>
    </row>
    <row r="715" spans="3:8" ht="23.4" x14ac:dyDescent="0.45">
      <c r="D715" s="172" t="s">
        <v>682</v>
      </c>
      <c r="E715" s="173"/>
      <c r="F715" s="173"/>
      <c r="G715" s="174"/>
    </row>
    <row r="716" spans="3:8" ht="46.8" x14ac:dyDescent="0.3">
      <c r="C716" s="1">
        <v>4</v>
      </c>
      <c r="D716" s="2" t="s">
        <v>0</v>
      </c>
      <c r="E716" s="3" t="s">
        <v>1</v>
      </c>
      <c r="F716" s="3" t="s">
        <v>408</v>
      </c>
      <c r="G716" s="4"/>
    </row>
    <row r="717" spans="3:8" x14ac:dyDescent="0.3">
      <c r="D717" s="5" t="s">
        <v>675</v>
      </c>
      <c r="E717" s="11">
        <v>880</v>
      </c>
      <c r="F717" s="6">
        <f>(E717*50)</f>
        <v>44000</v>
      </c>
      <c r="G717" s="10"/>
    </row>
    <row r="718" spans="3:8" x14ac:dyDescent="0.3">
      <c r="D718" s="5" t="s">
        <v>676</v>
      </c>
      <c r="E718" s="11">
        <v>20</v>
      </c>
      <c r="F718" s="6">
        <f>(E718*50)</f>
        <v>1000</v>
      </c>
      <c r="G718" s="10"/>
    </row>
    <row r="719" spans="3:8" x14ac:dyDescent="0.3">
      <c r="D719" s="5" t="s">
        <v>340</v>
      </c>
      <c r="E719" s="11">
        <v>20</v>
      </c>
      <c r="F719" s="6">
        <f>(E719*50)</f>
        <v>1000</v>
      </c>
      <c r="G719" s="10"/>
    </row>
    <row r="720" spans="3:8" x14ac:dyDescent="0.3">
      <c r="D720" s="5" t="s">
        <v>677</v>
      </c>
      <c r="E720" s="11">
        <v>20</v>
      </c>
      <c r="F720" s="6">
        <f>(E720*50)</f>
        <v>1000</v>
      </c>
      <c r="G720" s="10"/>
    </row>
    <row r="721" spans="3:9" x14ac:dyDescent="0.3">
      <c r="D721" s="5" t="s">
        <v>678</v>
      </c>
      <c r="E721" s="11">
        <v>50</v>
      </c>
      <c r="F721" s="6">
        <f>(E721*50)</f>
        <v>2500</v>
      </c>
      <c r="G721" s="10"/>
    </row>
    <row r="722" spans="3:9" x14ac:dyDescent="0.3">
      <c r="D722" s="5" t="s">
        <v>363</v>
      </c>
      <c r="E722" s="11">
        <v>5</v>
      </c>
      <c r="F722" s="6">
        <f>(E722*50)</f>
        <v>250</v>
      </c>
      <c r="G722" s="10"/>
      <c r="H722" t="s">
        <v>680</v>
      </c>
      <c r="I722" t="s">
        <v>681</v>
      </c>
    </row>
    <row r="723" spans="3:9" x14ac:dyDescent="0.3">
      <c r="D723" s="5" t="s">
        <v>679</v>
      </c>
      <c r="E723" s="11">
        <v>1</v>
      </c>
      <c r="F723" s="6">
        <f>(E723*50)</f>
        <v>50</v>
      </c>
      <c r="G723" s="10"/>
      <c r="H723">
        <v>85</v>
      </c>
      <c r="I723">
        <v>60</v>
      </c>
    </row>
    <row r="724" spans="3:9" x14ac:dyDescent="0.3">
      <c r="D724" s="24" t="s">
        <v>240</v>
      </c>
      <c r="E724" s="11">
        <v>2</v>
      </c>
      <c r="F724" s="6">
        <f>(E724*50)</f>
        <v>100</v>
      </c>
      <c r="G724" s="10"/>
      <c r="H724">
        <v>90</v>
      </c>
    </row>
    <row r="725" spans="3:9" x14ac:dyDescent="0.3">
      <c r="D725" s="27"/>
      <c r="E725" s="19">
        <f>SUM(E717:E724)</f>
        <v>998</v>
      </c>
      <c r="F725" s="154">
        <f>SUM(F717:F724)</f>
        <v>49900</v>
      </c>
      <c r="G725" s="17"/>
    </row>
    <row r="728" spans="3:9" ht="23.4" x14ac:dyDescent="0.45">
      <c r="D728" s="176" t="s">
        <v>624</v>
      </c>
      <c r="E728" s="177"/>
      <c r="F728" s="177"/>
      <c r="G728" s="177"/>
    </row>
    <row r="729" spans="3:9" ht="46.8" x14ac:dyDescent="0.3">
      <c r="C729" s="1">
        <v>4</v>
      </c>
      <c r="D729" s="2" t="s">
        <v>0</v>
      </c>
      <c r="E729" s="3" t="s">
        <v>1</v>
      </c>
      <c r="F729" s="3" t="s">
        <v>408</v>
      </c>
      <c r="G729" s="4"/>
    </row>
    <row r="730" spans="3:9" x14ac:dyDescent="0.3">
      <c r="D730" s="5" t="s">
        <v>573</v>
      </c>
      <c r="E730" s="11">
        <v>961</v>
      </c>
      <c r="F730" s="6">
        <f>(E730*50)</f>
        <v>48050</v>
      </c>
      <c r="G730" s="10"/>
    </row>
    <row r="731" spans="3:9" x14ac:dyDescent="0.3">
      <c r="D731" s="5" t="s">
        <v>574</v>
      </c>
      <c r="E731" s="11">
        <v>30</v>
      </c>
      <c r="F731" s="6">
        <f>(E731*50)</f>
        <v>1500</v>
      </c>
      <c r="G731" s="10"/>
    </row>
    <row r="732" spans="3:9" x14ac:dyDescent="0.3">
      <c r="D732" s="5" t="s">
        <v>484</v>
      </c>
      <c r="E732" s="6">
        <v>1</v>
      </c>
      <c r="F732" s="6">
        <f>(E732*50)</f>
        <v>50</v>
      </c>
      <c r="G732" s="10"/>
    </row>
    <row r="733" spans="3:9" x14ac:dyDescent="0.3">
      <c r="D733" s="5" t="s">
        <v>520</v>
      </c>
      <c r="E733" s="6">
        <v>2</v>
      </c>
      <c r="F733" s="6">
        <f>(E733*50)</f>
        <v>100</v>
      </c>
      <c r="G733" s="10"/>
    </row>
    <row r="734" spans="3:9" x14ac:dyDescent="0.3">
      <c r="D734" s="5" t="s">
        <v>625</v>
      </c>
      <c r="E734" s="6">
        <v>2</v>
      </c>
      <c r="F734" s="6">
        <f>(E734*50)</f>
        <v>100</v>
      </c>
      <c r="G734" s="10"/>
    </row>
    <row r="735" spans="3:9" x14ac:dyDescent="0.3">
      <c r="D735" s="5" t="s">
        <v>626</v>
      </c>
      <c r="E735" s="6">
        <v>2</v>
      </c>
      <c r="F735" s="6">
        <f>(E735*50)</f>
        <v>100</v>
      </c>
      <c r="G735" s="10"/>
    </row>
    <row r="736" spans="3:9" x14ac:dyDescent="0.3">
      <c r="D736" s="5" t="s">
        <v>627</v>
      </c>
      <c r="E736" s="6">
        <v>2</v>
      </c>
      <c r="F736" s="6">
        <f>(E736*50)</f>
        <v>100</v>
      </c>
      <c r="G736" s="10"/>
    </row>
    <row r="737" spans="3:7" x14ac:dyDescent="0.3">
      <c r="D737" s="27"/>
      <c r="E737" s="19">
        <f>SUM(E730:E736)</f>
        <v>1000</v>
      </c>
      <c r="F737" s="154">
        <f>SUM(F730:F736)</f>
        <v>50000</v>
      </c>
      <c r="G737" s="17"/>
    </row>
    <row r="741" spans="3:7" ht="23.4" x14ac:dyDescent="0.45">
      <c r="D741" s="175" t="s">
        <v>687</v>
      </c>
      <c r="E741" s="175"/>
      <c r="F741" s="175"/>
      <c r="G741" s="175"/>
    </row>
    <row r="742" spans="3:7" ht="46.8" x14ac:dyDescent="0.3">
      <c r="C742" s="1">
        <v>13</v>
      </c>
      <c r="D742" s="2" t="s">
        <v>0</v>
      </c>
      <c r="E742" s="3" t="s">
        <v>1</v>
      </c>
      <c r="F742" s="3" t="s">
        <v>689</v>
      </c>
      <c r="G742" s="4"/>
    </row>
    <row r="743" spans="3:7" x14ac:dyDescent="0.3">
      <c r="C743">
        <v>5</v>
      </c>
      <c r="D743" s="24" t="s">
        <v>143</v>
      </c>
      <c r="E743" s="6">
        <v>620</v>
      </c>
      <c r="F743" s="26">
        <f>(E743*10)</f>
        <v>6200</v>
      </c>
      <c r="G743" s="10" t="s">
        <v>7</v>
      </c>
    </row>
    <row r="744" spans="3:7" x14ac:dyDescent="0.3">
      <c r="C744">
        <v>6</v>
      </c>
      <c r="D744" s="24" t="s">
        <v>59</v>
      </c>
      <c r="E744" s="6">
        <v>80</v>
      </c>
      <c r="F744" s="26">
        <f>(E744*10)</f>
        <v>800</v>
      </c>
      <c r="G744" s="10" t="s">
        <v>7</v>
      </c>
    </row>
    <row r="745" spans="3:7" x14ac:dyDescent="0.3">
      <c r="C745">
        <v>4</v>
      </c>
      <c r="D745" s="24" t="s">
        <v>159</v>
      </c>
      <c r="E745" s="6">
        <v>2</v>
      </c>
      <c r="F745" s="26">
        <f>(E745*10)</f>
        <v>20</v>
      </c>
      <c r="G745" s="10" t="s">
        <v>7</v>
      </c>
    </row>
    <row r="746" spans="3:7" x14ac:dyDescent="0.3">
      <c r="C746">
        <v>3</v>
      </c>
      <c r="D746" s="24" t="s">
        <v>160</v>
      </c>
      <c r="E746" s="6">
        <v>2</v>
      </c>
      <c r="F746" s="26">
        <f>(E746*10)</f>
        <v>20</v>
      </c>
      <c r="G746" s="10" t="s">
        <v>7</v>
      </c>
    </row>
    <row r="747" spans="3:7" x14ac:dyDescent="0.3">
      <c r="C747">
        <v>2</v>
      </c>
      <c r="D747" s="24" t="s">
        <v>161</v>
      </c>
      <c r="E747" s="6">
        <v>2</v>
      </c>
      <c r="F747" s="26">
        <f>(E747*10)</f>
        <v>20</v>
      </c>
      <c r="G747" s="10" t="s">
        <v>7</v>
      </c>
    </row>
    <row r="748" spans="3:7" x14ac:dyDescent="0.3">
      <c r="C748">
        <v>1</v>
      </c>
      <c r="D748" s="24" t="s">
        <v>688</v>
      </c>
      <c r="E748" s="6">
        <v>150</v>
      </c>
      <c r="F748" s="26">
        <f>(E748*10)</f>
        <v>1500</v>
      </c>
      <c r="G748" s="10" t="s">
        <v>7</v>
      </c>
    </row>
    <row r="749" spans="3:7" x14ac:dyDescent="0.3">
      <c r="C749">
        <v>7</v>
      </c>
      <c r="D749" s="24" t="s">
        <v>55</v>
      </c>
      <c r="E749" s="6">
        <v>144</v>
      </c>
      <c r="F749" s="26">
        <f>(E749*10)</f>
        <v>1440</v>
      </c>
      <c r="G749" s="10" t="s">
        <v>7</v>
      </c>
    </row>
    <row r="750" spans="3:7" x14ac:dyDescent="0.3">
      <c r="D750" s="27"/>
      <c r="E750" s="13">
        <f ca="1">SUM(E743:E752)</f>
        <v>1000</v>
      </c>
      <c r="F750" s="84">
        <f>SUM(F743:F749)</f>
        <v>10000</v>
      </c>
      <c r="G750" s="10" t="s">
        <v>7</v>
      </c>
    </row>
    <row r="754" spans="2:7" ht="23.4" x14ac:dyDescent="0.45">
      <c r="D754" s="175" t="s">
        <v>699</v>
      </c>
      <c r="E754" s="175"/>
      <c r="F754" s="175"/>
      <c r="G754" s="175"/>
    </row>
    <row r="755" spans="2:7" ht="46.8" x14ac:dyDescent="0.3">
      <c r="C755" s="1">
        <v>13</v>
      </c>
      <c r="D755" s="2" t="s">
        <v>0</v>
      </c>
      <c r="E755" s="3" t="s">
        <v>1</v>
      </c>
      <c r="F755" s="3" t="s">
        <v>689</v>
      </c>
      <c r="G755" s="4"/>
    </row>
    <row r="756" spans="2:7" x14ac:dyDescent="0.3">
      <c r="C756">
        <v>5</v>
      </c>
      <c r="D756" s="24" t="s">
        <v>232</v>
      </c>
      <c r="E756" s="6">
        <v>716</v>
      </c>
      <c r="F756" s="26">
        <f>(E756*10)</f>
        <v>7160</v>
      </c>
      <c r="G756" s="10" t="s">
        <v>7</v>
      </c>
    </row>
    <row r="757" spans="2:7" x14ac:dyDescent="0.3">
      <c r="C757">
        <v>6</v>
      </c>
      <c r="D757" s="24" t="s">
        <v>696</v>
      </c>
      <c r="E757" s="6">
        <v>100</v>
      </c>
      <c r="F757" s="26">
        <f>(E757*10)</f>
        <v>1000</v>
      </c>
      <c r="G757" s="10" t="s">
        <v>7</v>
      </c>
    </row>
    <row r="758" spans="2:7" x14ac:dyDescent="0.3">
      <c r="D758" s="24" t="s">
        <v>59</v>
      </c>
      <c r="E758" s="6">
        <v>40</v>
      </c>
      <c r="F758" s="26">
        <f>(E758*10)</f>
        <v>400</v>
      </c>
      <c r="G758" s="10"/>
    </row>
    <row r="759" spans="2:7" x14ac:dyDescent="0.3">
      <c r="D759" s="24" t="s">
        <v>504</v>
      </c>
      <c r="E759" s="6">
        <v>2</v>
      </c>
      <c r="F759" s="26">
        <f>(E759*10)</f>
        <v>20</v>
      </c>
      <c r="G759" s="10"/>
    </row>
    <row r="760" spans="2:7" x14ac:dyDescent="0.3">
      <c r="D760" s="24" t="s">
        <v>368</v>
      </c>
      <c r="E760" s="6">
        <v>50</v>
      </c>
      <c r="F760" s="26">
        <f>(E760*10)</f>
        <v>500</v>
      </c>
      <c r="G760" s="10"/>
    </row>
    <row r="761" spans="2:7" x14ac:dyDescent="0.3">
      <c r="C761">
        <v>4</v>
      </c>
      <c r="D761" s="24" t="s">
        <v>171</v>
      </c>
      <c r="E761" s="6">
        <v>15</v>
      </c>
      <c r="F761" s="26">
        <f>(E761*10)</f>
        <v>150</v>
      </c>
      <c r="G761" s="10" t="s">
        <v>7</v>
      </c>
    </row>
    <row r="762" spans="2:7" x14ac:dyDescent="0.3">
      <c r="B762" t="e">
        <f>+#REF!/5</f>
        <v>#REF!</v>
      </c>
      <c r="C762">
        <v>3</v>
      </c>
      <c r="D762" s="24" t="s">
        <v>697</v>
      </c>
      <c r="E762" s="6">
        <v>20</v>
      </c>
      <c r="F762" s="26">
        <f>(E762*10)</f>
        <v>200</v>
      </c>
      <c r="G762" s="10" t="s">
        <v>7</v>
      </c>
    </row>
    <row r="763" spans="2:7" x14ac:dyDescent="0.3">
      <c r="C763">
        <v>2</v>
      </c>
      <c r="D763" s="24" t="s">
        <v>479</v>
      </c>
      <c r="E763" s="6">
        <v>30</v>
      </c>
      <c r="F763" s="26">
        <f>(E763*10)</f>
        <v>300</v>
      </c>
      <c r="G763" s="10" t="s">
        <v>7</v>
      </c>
    </row>
    <row r="764" spans="2:7" x14ac:dyDescent="0.3">
      <c r="D764" s="24" t="s">
        <v>389</v>
      </c>
      <c r="E764" s="6">
        <v>10</v>
      </c>
      <c r="F764" s="26">
        <f>(E764*10)</f>
        <v>100</v>
      </c>
      <c r="G764" s="10"/>
    </row>
    <row r="765" spans="2:7" x14ac:dyDescent="0.3">
      <c r="D765" s="24" t="s">
        <v>698</v>
      </c>
      <c r="E765" s="6">
        <v>3</v>
      </c>
      <c r="F765" s="26">
        <f>(E765*10)</f>
        <v>30</v>
      </c>
      <c r="G765" s="10"/>
    </row>
    <row r="766" spans="2:7" x14ac:dyDescent="0.3">
      <c r="D766" s="24" t="s">
        <v>484</v>
      </c>
      <c r="E766" s="6">
        <v>2</v>
      </c>
      <c r="F766" s="26">
        <f>(E766*10)</f>
        <v>20</v>
      </c>
      <c r="G766" s="10"/>
    </row>
    <row r="767" spans="2:7" x14ac:dyDescent="0.3">
      <c r="D767" s="24" t="s">
        <v>28</v>
      </c>
      <c r="E767" s="6">
        <v>4</v>
      </c>
      <c r="F767" s="26">
        <f>(E767*10)</f>
        <v>40</v>
      </c>
      <c r="G767" s="10"/>
    </row>
    <row r="768" spans="2:7" x14ac:dyDescent="0.3">
      <c r="C768">
        <v>1</v>
      </c>
      <c r="D768" s="24" t="s">
        <v>231</v>
      </c>
      <c r="E768" s="6">
        <v>2</v>
      </c>
      <c r="F768" s="26">
        <f>(E768*10)</f>
        <v>20</v>
      </c>
      <c r="G768" s="10" t="s">
        <v>7</v>
      </c>
    </row>
    <row r="769" spans="3:7" x14ac:dyDescent="0.3">
      <c r="D769" s="27"/>
      <c r="E769" s="13">
        <f ca="1">SUM(E756:E771)</f>
        <v>1000</v>
      </c>
      <c r="F769" s="84">
        <f>SUM(F756:F768)</f>
        <v>9940</v>
      </c>
      <c r="G769" s="10" t="s">
        <v>7</v>
      </c>
    </row>
    <row r="773" spans="3:7" ht="23.4" x14ac:dyDescent="0.45">
      <c r="D773" s="175" t="s">
        <v>728</v>
      </c>
      <c r="E773" s="175"/>
      <c r="F773" s="175"/>
      <c r="G773" s="175"/>
    </row>
    <row r="774" spans="3:7" ht="46.8" x14ac:dyDescent="0.3">
      <c r="C774" s="1">
        <v>13</v>
      </c>
      <c r="D774" s="2" t="s">
        <v>0</v>
      </c>
      <c r="E774" s="3" t="s">
        <v>1</v>
      </c>
      <c r="F774" s="3" t="s">
        <v>689</v>
      </c>
      <c r="G774" s="4"/>
    </row>
    <row r="775" spans="3:7" x14ac:dyDescent="0.3">
      <c r="C775">
        <v>5</v>
      </c>
      <c r="D775" s="24" t="s">
        <v>675</v>
      </c>
      <c r="E775" s="6">
        <v>883</v>
      </c>
      <c r="F775" s="26">
        <f>(E775*10)</f>
        <v>8830</v>
      </c>
      <c r="G775" s="10" t="s">
        <v>7</v>
      </c>
    </row>
    <row r="776" spans="3:7" x14ac:dyDescent="0.3">
      <c r="C776">
        <v>6</v>
      </c>
      <c r="D776" s="24" t="s">
        <v>729</v>
      </c>
      <c r="E776" s="6">
        <v>50</v>
      </c>
      <c r="F776" s="26">
        <f>(E776*10)</f>
        <v>500</v>
      </c>
      <c r="G776" s="10" t="s">
        <v>7</v>
      </c>
    </row>
    <row r="777" spans="3:7" x14ac:dyDescent="0.3">
      <c r="D777" s="24" t="s">
        <v>340</v>
      </c>
      <c r="E777" s="6">
        <v>35</v>
      </c>
      <c r="F777" s="26">
        <f>(E777*10)</f>
        <v>350</v>
      </c>
      <c r="G777" s="10"/>
    </row>
    <row r="778" spans="3:7" x14ac:dyDescent="0.3">
      <c r="D778" s="24" t="s">
        <v>730</v>
      </c>
      <c r="E778" s="6">
        <v>20</v>
      </c>
      <c r="F778" s="26">
        <f>(E778*10)</f>
        <v>200</v>
      </c>
      <c r="G778" s="10"/>
    </row>
    <row r="779" spans="3:7" x14ac:dyDescent="0.3">
      <c r="D779" s="24" t="s">
        <v>484</v>
      </c>
      <c r="E779" s="6">
        <v>5</v>
      </c>
      <c r="F779" s="26">
        <f>(E779*10)</f>
        <v>50</v>
      </c>
      <c r="G779" s="10"/>
    </row>
    <row r="780" spans="3:7" x14ac:dyDescent="0.3">
      <c r="C780">
        <v>4</v>
      </c>
      <c r="D780" s="24" t="s">
        <v>522</v>
      </c>
      <c r="E780" s="6">
        <v>7</v>
      </c>
      <c r="F780" s="26">
        <f>(E780*10)</f>
        <v>70</v>
      </c>
      <c r="G780" s="10" t="s">
        <v>7</v>
      </c>
    </row>
    <row r="781" spans="3:7" x14ac:dyDescent="0.3">
      <c r="D781" s="27"/>
      <c r="E781" s="13">
        <f>SUM(E775:E780)</f>
        <v>1000</v>
      </c>
      <c r="F781" s="84">
        <f>SUM(F775:F780)</f>
        <v>10000</v>
      </c>
      <c r="G781" s="10" t="s">
        <v>7</v>
      </c>
    </row>
    <row r="785" spans="3:7" ht="23.4" x14ac:dyDescent="0.45">
      <c r="D785" s="175" t="s">
        <v>733</v>
      </c>
      <c r="E785" s="175"/>
      <c r="F785" s="175"/>
      <c r="G785" s="175"/>
    </row>
    <row r="786" spans="3:7" ht="46.8" x14ac:dyDescent="0.3">
      <c r="C786" s="1">
        <v>13</v>
      </c>
      <c r="D786" s="2" t="s">
        <v>0</v>
      </c>
      <c r="E786" s="3" t="s">
        <v>1</v>
      </c>
      <c r="F786" s="3" t="s">
        <v>689</v>
      </c>
      <c r="G786" s="4"/>
    </row>
    <row r="787" spans="3:7" x14ac:dyDescent="0.3">
      <c r="D787" s="24" t="s">
        <v>103</v>
      </c>
      <c r="E787" s="6">
        <v>790</v>
      </c>
      <c r="F787" s="26"/>
      <c r="G787" s="10"/>
    </row>
    <row r="788" spans="3:7" x14ac:dyDescent="0.3">
      <c r="D788" s="24" t="s">
        <v>718</v>
      </c>
      <c r="E788" s="6">
        <v>120</v>
      </c>
      <c r="F788" s="26"/>
      <c r="G788" s="10"/>
    </row>
    <row r="789" spans="3:7" x14ac:dyDescent="0.3">
      <c r="C789">
        <v>6</v>
      </c>
      <c r="D789" s="24" t="s">
        <v>712</v>
      </c>
      <c r="E789" s="6">
        <v>10</v>
      </c>
      <c r="F789" s="26">
        <f>(E789*10)</f>
        <v>100</v>
      </c>
      <c r="G789" s="10" t="s">
        <v>7</v>
      </c>
    </row>
    <row r="790" spans="3:7" x14ac:dyDescent="0.3">
      <c r="D790" s="24" t="s">
        <v>667</v>
      </c>
      <c r="E790" s="6">
        <v>80</v>
      </c>
      <c r="F790" s="26">
        <f>(E790*10)</f>
        <v>800</v>
      </c>
      <c r="G790" s="10"/>
    </row>
    <row r="791" spans="3:7" x14ac:dyDescent="0.3">
      <c r="D791" s="24" t="s">
        <v>484</v>
      </c>
      <c r="E791" s="6">
        <v>10</v>
      </c>
      <c r="F791" s="26">
        <f>(E791*10)</f>
        <v>100</v>
      </c>
      <c r="G791" s="10"/>
    </row>
    <row r="792" spans="3:7" x14ac:dyDescent="0.3">
      <c r="D792" s="27" t="s">
        <v>43</v>
      </c>
      <c r="E792" s="6">
        <v>2</v>
      </c>
      <c r="F792" s="26"/>
      <c r="G792" s="10"/>
    </row>
    <row r="793" spans="3:7" x14ac:dyDescent="0.3">
      <c r="D793" s="27"/>
      <c r="E793" s="13">
        <f>SUM(E787:E792)</f>
        <v>1012</v>
      </c>
      <c r="F793" s="84">
        <f>SUM(F787:F791)</f>
        <v>1000</v>
      </c>
      <c r="G793" s="10" t="s">
        <v>7</v>
      </c>
    </row>
    <row r="796" spans="3:7" ht="23.4" x14ac:dyDescent="0.45">
      <c r="D796" s="175" t="s">
        <v>757</v>
      </c>
      <c r="E796" s="175"/>
      <c r="F796" s="175"/>
      <c r="G796" s="175"/>
    </row>
    <row r="797" spans="3:7" ht="46.8" x14ac:dyDescent="0.3">
      <c r="C797" s="1">
        <v>13</v>
      </c>
      <c r="D797" s="2" t="s">
        <v>0</v>
      </c>
      <c r="E797" s="3" t="s">
        <v>1</v>
      </c>
      <c r="F797" s="3" t="s">
        <v>689</v>
      </c>
      <c r="G797" s="4"/>
    </row>
    <row r="798" spans="3:7" x14ac:dyDescent="0.3">
      <c r="C798">
        <v>5</v>
      </c>
      <c r="D798" s="24" t="s">
        <v>517</v>
      </c>
      <c r="E798" s="6">
        <v>20</v>
      </c>
      <c r="F798" s="26">
        <f>(E798*10)</f>
        <v>200</v>
      </c>
      <c r="G798" s="10" t="s">
        <v>7</v>
      </c>
    </row>
    <row r="799" spans="3:7" x14ac:dyDescent="0.3">
      <c r="C799">
        <v>6</v>
      </c>
      <c r="D799" s="24" t="s">
        <v>758</v>
      </c>
      <c r="E799" s="6">
        <v>10</v>
      </c>
      <c r="F799" s="26">
        <f>(E799*10)</f>
        <v>100</v>
      </c>
      <c r="G799" s="10" t="s">
        <v>7</v>
      </c>
    </row>
    <row r="800" spans="3:7" x14ac:dyDescent="0.3">
      <c r="D800" s="24" t="s">
        <v>759</v>
      </c>
      <c r="E800" s="6">
        <v>20</v>
      </c>
      <c r="F800" s="26">
        <f>(E800*10)</f>
        <v>200</v>
      </c>
      <c r="G800" s="10"/>
    </row>
    <row r="801" spans="3:7" x14ac:dyDescent="0.3">
      <c r="D801" s="24" t="s">
        <v>171</v>
      </c>
      <c r="E801" s="6">
        <v>70</v>
      </c>
      <c r="F801" s="26">
        <f>(E801*10)</f>
        <v>700</v>
      </c>
      <c r="G801" s="10"/>
    </row>
    <row r="802" spans="3:7" x14ac:dyDescent="0.3">
      <c r="D802" s="24" t="s">
        <v>372</v>
      </c>
      <c r="E802" s="6">
        <v>70</v>
      </c>
      <c r="F802" s="26">
        <f>(E802*10)</f>
        <v>700</v>
      </c>
      <c r="G802" s="10"/>
    </row>
    <row r="803" spans="3:7" x14ac:dyDescent="0.3">
      <c r="C803">
        <v>4</v>
      </c>
      <c r="D803" s="24" t="s">
        <v>760</v>
      </c>
      <c r="E803" s="6">
        <v>67</v>
      </c>
      <c r="F803" s="26">
        <f>(E803*10)</f>
        <v>670</v>
      </c>
      <c r="G803" s="10" t="s">
        <v>7</v>
      </c>
    </row>
    <row r="804" spans="3:7" x14ac:dyDescent="0.3">
      <c r="C804">
        <v>3</v>
      </c>
      <c r="D804" s="24" t="s">
        <v>9</v>
      </c>
      <c r="E804" s="6">
        <v>67</v>
      </c>
      <c r="F804" s="26">
        <f>(E804*10)</f>
        <v>670</v>
      </c>
      <c r="G804" s="10" t="s">
        <v>7</v>
      </c>
    </row>
    <row r="805" spans="3:7" x14ac:dyDescent="0.3">
      <c r="C805">
        <v>2</v>
      </c>
      <c r="D805" s="24" t="s">
        <v>59</v>
      </c>
      <c r="E805" s="6">
        <v>30</v>
      </c>
      <c r="F805" s="26">
        <f>(E805*10)</f>
        <v>300</v>
      </c>
      <c r="G805" s="10" t="s">
        <v>7</v>
      </c>
    </row>
    <row r="806" spans="3:7" x14ac:dyDescent="0.3">
      <c r="D806" s="24" t="s">
        <v>646</v>
      </c>
      <c r="E806" s="6">
        <v>8</v>
      </c>
      <c r="F806" s="26">
        <f>(E806*10)</f>
        <v>80</v>
      </c>
      <c r="G806" s="10"/>
    </row>
    <row r="807" spans="3:7" x14ac:dyDescent="0.3">
      <c r="D807" s="24" t="s">
        <v>751</v>
      </c>
      <c r="E807" s="11">
        <v>0.5</v>
      </c>
      <c r="F807" s="26">
        <f>(E807*10)</f>
        <v>5</v>
      </c>
      <c r="G807" s="10"/>
    </row>
    <row r="808" spans="3:7" x14ac:dyDescent="0.3">
      <c r="D808" s="24" t="s">
        <v>16</v>
      </c>
      <c r="E808" s="6">
        <v>678</v>
      </c>
      <c r="F808" s="26">
        <f>(E808*10)</f>
        <v>6780</v>
      </c>
      <c r="G808" s="10"/>
    </row>
    <row r="809" spans="3:7" x14ac:dyDescent="0.3">
      <c r="D809" s="27"/>
      <c r="E809" s="13">
        <f ca="1">SUM(E798:E811)</f>
        <v>1000</v>
      </c>
      <c r="F809" s="84">
        <f>SUM(F798:F808)</f>
        <v>10405</v>
      </c>
      <c r="G809" s="10" t="s">
        <v>7</v>
      </c>
    </row>
    <row r="812" spans="3:7" ht="23.4" x14ac:dyDescent="0.45">
      <c r="D812" s="175" t="s">
        <v>762</v>
      </c>
      <c r="E812" s="175"/>
      <c r="F812" s="175"/>
      <c r="G812" s="175"/>
    </row>
    <row r="813" spans="3:7" ht="46.8" x14ac:dyDescent="0.3">
      <c r="C813" s="1">
        <v>13</v>
      </c>
      <c r="D813" s="2" t="s">
        <v>0</v>
      </c>
      <c r="E813" s="3" t="s">
        <v>1</v>
      </c>
      <c r="F813" s="3" t="s">
        <v>689</v>
      </c>
      <c r="G813" s="4"/>
    </row>
    <row r="814" spans="3:7" x14ac:dyDescent="0.3">
      <c r="C814">
        <v>5</v>
      </c>
      <c r="D814" s="24" t="s">
        <v>103</v>
      </c>
      <c r="E814" s="6">
        <v>550</v>
      </c>
      <c r="F814" s="26">
        <f>(E814*10)</f>
        <v>5500</v>
      </c>
      <c r="G814" s="10" t="s">
        <v>7</v>
      </c>
    </row>
    <row r="815" spans="3:7" x14ac:dyDescent="0.3">
      <c r="C815">
        <v>6</v>
      </c>
      <c r="D815" s="24" t="s">
        <v>763</v>
      </c>
      <c r="E815" s="6">
        <v>250</v>
      </c>
      <c r="F815" s="26">
        <f>(E815*10)</f>
        <v>2500</v>
      </c>
      <c r="G815" s="10" t="s">
        <v>7</v>
      </c>
    </row>
    <row r="816" spans="3:7" x14ac:dyDescent="0.3">
      <c r="D816" s="24" t="s">
        <v>764</v>
      </c>
      <c r="E816" s="6">
        <v>150</v>
      </c>
      <c r="F816" s="26">
        <f>(E816*10)</f>
        <v>1500</v>
      </c>
      <c r="G816" s="10"/>
    </row>
    <row r="817" spans="3:8" x14ac:dyDescent="0.3">
      <c r="D817" s="24" t="s">
        <v>468</v>
      </c>
      <c r="E817" s="6">
        <v>15</v>
      </c>
      <c r="F817" s="26">
        <f>(E817*10)</f>
        <v>150</v>
      </c>
      <c r="G817" s="10"/>
    </row>
    <row r="818" spans="3:8" x14ac:dyDescent="0.3">
      <c r="D818" s="24" t="s">
        <v>765</v>
      </c>
      <c r="E818" s="6">
        <v>10</v>
      </c>
      <c r="F818" s="26">
        <f>(E818*10)</f>
        <v>100</v>
      </c>
      <c r="G818" s="10"/>
    </row>
    <row r="819" spans="3:8" x14ac:dyDescent="0.3">
      <c r="C819">
        <v>4</v>
      </c>
      <c r="D819" s="24" t="s">
        <v>766</v>
      </c>
      <c r="E819" s="6">
        <v>10</v>
      </c>
      <c r="F819" s="26">
        <f>(E819*10)</f>
        <v>100</v>
      </c>
      <c r="G819" s="10" t="s">
        <v>7</v>
      </c>
    </row>
    <row r="820" spans="3:8" x14ac:dyDescent="0.3">
      <c r="C820">
        <v>3</v>
      </c>
      <c r="D820" s="24" t="s">
        <v>767</v>
      </c>
      <c r="E820" s="6">
        <v>5</v>
      </c>
      <c r="F820" s="26">
        <f>(E820*10)</f>
        <v>50</v>
      </c>
      <c r="G820" s="10" t="s">
        <v>7</v>
      </c>
    </row>
    <row r="821" spans="3:8" x14ac:dyDescent="0.3">
      <c r="C821">
        <v>2</v>
      </c>
      <c r="D821" s="24" t="s">
        <v>484</v>
      </c>
      <c r="E821" s="6">
        <v>10</v>
      </c>
      <c r="F821" s="26">
        <f>(E821*10)</f>
        <v>100</v>
      </c>
      <c r="G821" s="10" t="s">
        <v>7</v>
      </c>
    </row>
    <row r="822" spans="3:8" x14ac:dyDescent="0.3">
      <c r="D822" s="27"/>
      <c r="E822" s="13">
        <f>SUM(E814:E821)</f>
        <v>1000</v>
      </c>
      <c r="F822" s="84">
        <f>SUM(F814:F821)</f>
        <v>10000</v>
      </c>
      <c r="G822" s="10" t="s">
        <v>7</v>
      </c>
    </row>
    <row r="826" spans="3:8" ht="23.4" x14ac:dyDescent="0.45">
      <c r="D826" s="172" t="s">
        <v>773</v>
      </c>
      <c r="E826" s="173"/>
      <c r="F826" s="173"/>
      <c r="G826" s="173"/>
      <c r="H826" s="174"/>
    </row>
    <row r="827" spans="3:8" ht="46.8" x14ac:dyDescent="0.3">
      <c r="C827" s="1">
        <v>2</v>
      </c>
      <c r="D827" s="36" t="s">
        <v>0</v>
      </c>
      <c r="E827" s="4" t="s">
        <v>1</v>
      </c>
      <c r="F827" s="4" t="s">
        <v>408</v>
      </c>
      <c r="G827" s="4" t="s">
        <v>279</v>
      </c>
      <c r="H827" s="4" t="s">
        <v>76</v>
      </c>
    </row>
    <row r="828" spans="3:8" x14ac:dyDescent="0.3">
      <c r="C828" s="14">
        <v>1</v>
      </c>
      <c r="D828" s="143" t="s">
        <v>16</v>
      </c>
      <c r="E828" s="9">
        <v>808</v>
      </c>
      <c r="F828" s="9">
        <f>(E828*50)</f>
        <v>40400</v>
      </c>
      <c r="G828" s="9">
        <f>(E828*35)</f>
        <v>28280</v>
      </c>
      <c r="H828" s="9">
        <f>(E828*50)</f>
        <v>40400</v>
      </c>
    </row>
    <row r="829" spans="3:8" x14ac:dyDescent="0.3">
      <c r="C829" s="14">
        <v>4</v>
      </c>
      <c r="D829" s="143" t="s">
        <v>275</v>
      </c>
      <c r="E829" s="9">
        <v>70</v>
      </c>
      <c r="F829" s="9">
        <f>(E829*50)</f>
        <v>3500</v>
      </c>
      <c r="G829" s="9">
        <f>(E829*35)</f>
        <v>2450</v>
      </c>
      <c r="H829" s="9">
        <f>(E829*50)</f>
        <v>3500</v>
      </c>
    </row>
    <row r="830" spans="3:8" x14ac:dyDescent="0.3">
      <c r="C830" s="14">
        <v>5</v>
      </c>
      <c r="D830" s="143" t="s">
        <v>276</v>
      </c>
      <c r="E830" s="9">
        <v>70</v>
      </c>
      <c r="F830" s="9">
        <f>(E830*50)</f>
        <v>3500</v>
      </c>
      <c r="G830" s="9">
        <f>(E830*35)</f>
        <v>2450</v>
      </c>
      <c r="H830" s="9">
        <f>(E830*50)</f>
        <v>3500</v>
      </c>
    </row>
    <row r="831" spans="3:8" x14ac:dyDescent="0.3">
      <c r="C831" s="14">
        <v>6</v>
      </c>
      <c r="D831" s="143" t="s">
        <v>415</v>
      </c>
      <c r="E831" s="9">
        <v>10</v>
      </c>
      <c r="F831" s="9">
        <f>(E831*50)</f>
        <v>500</v>
      </c>
      <c r="G831" s="9">
        <f>(E831*35)</f>
        <v>350</v>
      </c>
      <c r="H831" s="9">
        <f>(E831*50)</f>
        <v>500</v>
      </c>
    </row>
    <row r="832" spans="3:8" x14ac:dyDescent="0.3">
      <c r="C832" s="14">
        <v>7</v>
      </c>
      <c r="D832" s="143" t="s">
        <v>163</v>
      </c>
      <c r="E832" s="9">
        <v>20</v>
      </c>
      <c r="F832" s="9">
        <f>(E832*50)</f>
        <v>1000</v>
      </c>
      <c r="G832" s="9">
        <f>(E832*35)</f>
        <v>700</v>
      </c>
      <c r="H832" s="9">
        <f>(E832*50)</f>
        <v>1000</v>
      </c>
    </row>
    <row r="833" spans="3:8" x14ac:dyDescent="0.3">
      <c r="C833" s="14">
        <v>9</v>
      </c>
      <c r="D833" s="143" t="s">
        <v>59</v>
      </c>
      <c r="E833" s="9">
        <v>20</v>
      </c>
      <c r="F833" s="9">
        <f>(E833*50)</f>
        <v>1000</v>
      </c>
      <c r="G833" s="9">
        <f>(E833*35)</f>
        <v>700</v>
      </c>
      <c r="H833" s="9">
        <f>(E833*50)</f>
        <v>1000</v>
      </c>
    </row>
    <row r="834" spans="3:8" x14ac:dyDescent="0.3">
      <c r="C834" s="14">
        <v>3</v>
      </c>
      <c r="D834" s="143" t="s">
        <v>60</v>
      </c>
      <c r="E834" s="139">
        <v>2.5</v>
      </c>
      <c r="F834" s="9">
        <f>(E834*50)</f>
        <v>125</v>
      </c>
      <c r="G834" s="9">
        <f>(E834*35)</f>
        <v>87.5</v>
      </c>
      <c r="H834" s="9">
        <f>(E834*50)</f>
        <v>125</v>
      </c>
    </row>
    <row r="835" spans="3:8" x14ac:dyDescent="0.3">
      <c r="C835" s="58">
        <v>9</v>
      </c>
      <c r="D835" s="171" t="s">
        <v>771</v>
      </c>
      <c r="E835" s="139">
        <v>400</v>
      </c>
      <c r="F835" s="9">
        <f>(E835*50)</f>
        <v>20000</v>
      </c>
      <c r="G835" s="9">
        <f>(E835*35)</f>
        <v>14000</v>
      </c>
      <c r="H835" s="9">
        <f>(E835*50)</f>
        <v>20000</v>
      </c>
    </row>
    <row r="836" spans="3:8" x14ac:dyDescent="0.3">
      <c r="E836" s="13">
        <f>SUM(E828:E835)</f>
        <v>1400.5</v>
      </c>
      <c r="F836" s="39">
        <f>SUM(F828:F834)</f>
        <v>50025</v>
      </c>
      <c r="G836" s="13">
        <f>SUM(G828:G835)</f>
        <v>49017.5</v>
      </c>
      <c r="H836" s="84">
        <f>SUM(H828:H835)</f>
        <v>70025</v>
      </c>
    </row>
    <row r="839" spans="3:8" ht="23.4" x14ac:dyDescent="0.45">
      <c r="D839" s="172" t="s">
        <v>783</v>
      </c>
      <c r="E839" s="173"/>
      <c r="F839" s="173"/>
      <c r="G839" s="173"/>
      <c r="H839" s="174"/>
    </row>
    <row r="840" spans="3:8" ht="46.8" x14ac:dyDescent="0.3">
      <c r="C840" s="1">
        <v>2</v>
      </c>
      <c r="D840" s="36" t="s">
        <v>0</v>
      </c>
      <c r="E840" s="4" t="s">
        <v>1</v>
      </c>
      <c r="F840" s="4" t="s">
        <v>408</v>
      </c>
      <c r="G840" s="4" t="s">
        <v>279</v>
      </c>
      <c r="H840" s="4"/>
    </row>
    <row r="841" spans="3:8" x14ac:dyDescent="0.3">
      <c r="C841" s="14">
        <v>4</v>
      </c>
      <c r="D841" s="143" t="s">
        <v>59</v>
      </c>
      <c r="E841" s="9">
        <v>60</v>
      </c>
      <c r="F841" s="9">
        <f>(E841*50)</f>
        <v>3000</v>
      </c>
      <c r="G841" s="9">
        <f>(E841*35)</f>
        <v>2100</v>
      </c>
      <c r="H841" s="9"/>
    </row>
    <row r="842" spans="3:8" x14ac:dyDescent="0.3">
      <c r="C842" s="14">
        <v>1</v>
      </c>
      <c r="D842" s="143" t="s">
        <v>120</v>
      </c>
      <c r="E842" s="9">
        <v>60</v>
      </c>
      <c r="F842" s="9">
        <f>(E842*50)</f>
        <v>3000</v>
      </c>
      <c r="G842" s="9">
        <f>(E842*35)</f>
        <v>2100</v>
      </c>
      <c r="H842" s="9"/>
    </row>
    <row r="843" spans="3:8" x14ac:dyDescent="0.3">
      <c r="C843" s="14">
        <v>2</v>
      </c>
      <c r="D843" s="143" t="s">
        <v>784</v>
      </c>
      <c r="E843" s="9">
        <v>60</v>
      </c>
      <c r="F843" s="9">
        <f>(E843*50)</f>
        <v>3000</v>
      </c>
      <c r="G843" s="9">
        <f>(E843*35)</f>
        <v>2100</v>
      </c>
      <c r="H843" s="9"/>
    </row>
    <row r="844" spans="3:8" x14ac:dyDescent="0.3">
      <c r="C844" s="14">
        <v>5</v>
      </c>
      <c r="D844" s="143" t="s">
        <v>785</v>
      </c>
      <c r="E844" s="9">
        <v>2</v>
      </c>
      <c r="F844" s="9">
        <f>(E844*50)</f>
        <v>100</v>
      </c>
      <c r="G844" s="9">
        <f>(E844*35)</f>
        <v>70</v>
      </c>
      <c r="H844" s="9"/>
    </row>
    <row r="845" spans="3:8" x14ac:dyDescent="0.3">
      <c r="C845" s="14">
        <v>6</v>
      </c>
      <c r="D845" s="143" t="s">
        <v>16</v>
      </c>
      <c r="E845" s="9">
        <v>100</v>
      </c>
      <c r="F845" s="9">
        <f>(E845*50)</f>
        <v>5000</v>
      </c>
      <c r="G845" s="9">
        <f>(E845*35)</f>
        <v>3500</v>
      </c>
      <c r="H845" s="9"/>
    </row>
    <row r="846" spans="3:8" x14ac:dyDescent="0.3">
      <c r="C846" s="14">
        <v>7</v>
      </c>
      <c r="D846" s="143" t="s">
        <v>786</v>
      </c>
      <c r="E846" s="9">
        <v>712</v>
      </c>
      <c r="F846" s="9">
        <f>(E846*50)</f>
        <v>35600</v>
      </c>
      <c r="G846" s="9">
        <f>(E846*35)</f>
        <v>24920</v>
      </c>
      <c r="H846" s="9"/>
    </row>
    <row r="847" spans="3:8" x14ac:dyDescent="0.3">
      <c r="C847" s="14">
        <v>9</v>
      </c>
      <c r="D847" s="143" t="s">
        <v>787</v>
      </c>
      <c r="E847" s="139">
        <v>2.5</v>
      </c>
      <c r="F847" s="9">
        <f>(E847*50)</f>
        <v>125</v>
      </c>
      <c r="G847" s="9">
        <f>(E847*35)</f>
        <v>87.5</v>
      </c>
      <c r="H847" s="9"/>
    </row>
    <row r="848" spans="3:8" x14ac:dyDescent="0.3">
      <c r="C848" s="14">
        <v>3</v>
      </c>
      <c r="D848" s="143" t="s">
        <v>240</v>
      </c>
      <c r="E848" s="9">
        <v>2</v>
      </c>
      <c r="F848" s="9">
        <f>(E848*50)</f>
        <v>100</v>
      </c>
      <c r="G848" s="9">
        <f>(E848*35)</f>
        <v>70</v>
      </c>
      <c r="H848" s="9"/>
    </row>
    <row r="849" spans="3:8" x14ac:dyDescent="0.3">
      <c r="E849" s="13">
        <f>SUM(E841:E848)</f>
        <v>998.5</v>
      </c>
      <c r="F849" s="128">
        <f>SUM(F841:F848)</f>
        <v>49925</v>
      </c>
      <c r="G849" s="13">
        <f>SUM(G841:G848)</f>
        <v>34947.5</v>
      </c>
      <c r="H849" s="84"/>
    </row>
    <row r="852" spans="3:8" ht="23.4" x14ac:dyDescent="0.45">
      <c r="D852" s="172" t="s">
        <v>795</v>
      </c>
      <c r="E852" s="173"/>
      <c r="F852" s="173"/>
      <c r="G852" s="173"/>
      <c r="H852" s="174"/>
    </row>
    <row r="853" spans="3:8" ht="46.8" x14ac:dyDescent="0.3">
      <c r="C853" s="1">
        <v>2</v>
      </c>
      <c r="D853" s="36" t="s">
        <v>0</v>
      </c>
      <c r="E853" s="4" t="s">
        <v>1</v>
      </c>
      <c r="F853" s="4" t="s">
        <v>408</v>
      </c>
      <c r="G853" s="4" t="s">
        <v>279</v>
      </c>
      <c r="H853" s="4"/>
    </row>
    <row r="854" spans="3:8" x14ac:dyDescent="0.3">
      <c r="C854" s="14">
        <v>4</v>
      </c>
      <c r="D854" s="143" t="s">
        <v>21</v>
      </c>
      <c r="E854" s="9">
        <v>100</v>
      </c>
      <c r="F854" s="9">
        <f>(E854*50)</f>
        <v>5000</v>
      </c>
      <c r="G854" s="9">
        <f>(E854*35)</f>
        <v>3500</v>
      </c>
      <c r="H854" s="9"/>
    </row>
    <row r="855" spans="3:8" x14ac:dyDescent="0.3">
      <c r="C855" s="14">
        <v>1</v>
      </c>
      <c r="D855" s="143" t="s">
        <v>796</v>
      </c>
      <c r="E855" s="9">
        <v>800</v>
      </c>
      <c r="F855" s="9">
        <f>(E855*50)</f>
        <v>40000</v>
      </c>
      <c r="G855" s="9">
        <f>(E855*35)</f>
        <v>28000</v>
      </c>
      <c r="H855" s="9"/>
    </row>
    <row r="856" spans="3:8" x14ac:dyDescent="0.3">
      <c r="C856" s="14">
        <v>2</v>
      </c>
      <c r="D856" s="143" t="s">
        <v>797</v>
      </c>
      <c r="E856" s="9">
        <v>100</v>
      </c>
      <c r="F856" s="9">
        <f>(E856*50)</f>
        <v>5000</v>
      </c>
      <c r="G856" s="9">
        <f>(E856*35)</f>
        <v>3500</v>
      </c>
      <c r="H856" s="9"/>
    </row>
    <row r="857" spans="3:8" x14ac:dyDescent="0.3">
      <c r="E857" s="13">
        <f>SUM(E854:E856)</f>
        <v>1000</v>
      </c>
      <c r="F857" s="128">
        <f>SUM(F854:F856)</f>
        <v>50000</v>
      </c>
      <c r="G857" s="13">
        <f>SUM(G854:G856)</f>
        <v>35000</v>
      </c>
      <c r="H857" s="84"/>
    </row>
    <row r="860" spans="3:8" ht="23.4" x14ac:dyDescent="0.45">
      <c r="D860" s="172" t="s">
        <v>798</v>
      </c>
      <c r="E860" s="173"/>
      <c r="F860" s="173"/>
      <c r="G860" s="173"/>
      <c r="H860" s="174"/>
    </row>
    <row r="861" spans="3:8" ht="46.8" x14ac:dyDescent="0.3">
      <c r="C861" s="1">
        <v>2</v>
      </c>
      <c r="D861" s="36" t="s">
        <v>0</v>
      </c>
      <c r="E861" s="4" t="s">
        <v>1</v>
      </c>
      <c r="F861" s="4" t="s">
        <v>408</v>
      </c>
      <c r="G861" s="4" t="s">
        <v>279</v>
      </c>
      <c r="H861" s="4"/>
    </row>
    <row r="862" spans="3:8" x14ac:dyDescent="0.3">
      <c r="C862" s="14">
        <v>4</v>
      </c>
      <c r="D862" s="143" t="s">
        <v>799</v>
      </c>
      <c r="E862" s="9">
        <v>70</v>
      </c>
      <c r="F862" s="9">
        <f>(E862*50)</f>
        <v>3500</v>
      </c>
      <c r="G862" s="9">
        <f>(E862*35)</f>
        <v>2450</v>
      </c>
      <c r="H862" s="9"/>
    </row>
    <row r="863" spans="3:8" x14ac:dyDescent="0.3">
      <c r="C863" s="14">
        <v>1</v>
      </c>
      <c r="D863" s="143" t="s">
        <v>587</v>
      </c>
      <c r="E863" s="9">
        <v>60</v>
      </c>
      <c r="F863" s="9">
        <f>(E863*50)</f>
        <v>3000</v>
      </c>
      <c r="G863" s="9">
        <f>(E863*35)</f>
        <v>2100</v>
      </c>
      <c r="H863" s="9"/>
    </row>
    <row r="864" spans="3:8" x14ac:dyDescent="0.3">
      <c r="C864" s="14">
        <v>2</v>
      </c>
      <c r="D864" s="143" t="s">
        <v>800</v>
      </c>
      <c r="E864" s="9">
        <v>50</v>
      </c>
      <c r="F864" s="9">
        <f>(E864*50)</f>
        <v>2500</v>
      </c>
      <c r="G864" s="9">
        <f>(E864*35)</f>
        <v>1750</v>
      </c>
      <c r="H864" s="9"/>
    </row>
    <row r="865" spans="3:8" x14ac:dyDescent="0.3">
      <c r="C865" s="14">
        <v>5</v>
      </c>
      <c r="D865" s="143" t="s">
        <v>801</v>
      </c>
      <c r="E865" s="9">
        <v>820</v>
      </c>
      <c r="F865" s="9">
        <f>(E865*50)</f>
        <v>41000</v>
      </c>
      <c r="G865" s="9">
        <f>(E865*35)</f>
        <v>28700</v>
      </c>
      <c r="H865" s="9"/>
    </row>
    <row r="866" spans="3:8" x14ac:dyDescent="0.3">
      <c r="C866" s="14">
        <v>7</v>
      </c>
      <c r="D866" s="143" t="s">
        <v>751</v>
      </c>
      <c r="E866" s="9">
        <v>1</v>
      </c>
      <c r="F866" s="9">
        <f>(E866*50)</f>
        <v>50</v>
      </c>
      <c r="G866" s="9">
        <f>(E866*35)</f>
        <v>35</v>
      </c>
      <c r="H866" s="9"/>
    </row>
    <row r="867" spans="3:8" x14ac:dyDescent="0.3">
      <c r="E867" s="13">
        <f>SUM(E862:E866)</f>
        <v>1001</v>
      </c>
      <c r="F867" s="128">
        <f>SUM(F862:F866)</f>
        <v>50050</v>
      </c>
      <c r="G867" s="13">
        <f>SUM(G862:G866)</f>
        <v>35035</v>
      </c>
      <c r="H867" s="84"/>
    </row>
    <row r="869" spans="3:8" ht="23.4" x14ac:dyDescent="0.45">
      <c r="D869" s="172" t="s">
        <v>811</v>
      </c>
      <c r="E869" s="173"/>
      <c r="F869" s="173"/>
      <c r="G869" s="173"/>
      <c r="H869" s="174"/>
    </row>
    <row r="870" spans="3:8" ht="46.8" x14ac:dyDescent="0.3">
      <c r="C870" s="1">
        <v>2</v>
      </c>
      <c r="D870" s="36" t="s">
        <v>0</v>
      </c>
      <c r="E870" s="4" t="s">
        <v>1</v>
      </c>
      <c r="F870" s="4" t="s">
        <v>408</v>
      </c>
      <c r="G870" s="4" t="s">
        <v>279</v>
      </c>
      <c r="H870" s="4" t="s">
        <v>76</v>
      </c>
    </row>
    <row r="871" spans="3:8" x14ac:dyDescent="0.3">
      <c r="C871" s="14">
        <v>1</v>
      </c>
      <c r="D871" s="143" t="s">
        <v>16</v>
      </c>
      <c r="E871" s="9">
        <v>808</v>
      </c>
      <c r="F871" s="9">
        <f>(E871*50)</f>
        <v>40400</v>
      </c>
      <c r="G871" s="9">
        <f>(E871*35)</f>
        <v>28280</v>
      </c>
      <c r="H871" s="9">
        <f>(E871*50)</f>
        <v>40400</v>
      </c>
    </row>
    <row r="872" spans="3:8" x14ac:dyDescent="0.3">
      <c r="C872" s="14">
        <v>4</v>
      </c>
      <c r="D872" s="143" t="s">
        <v>275</v>
      </c>
      <c r="E872" s="9">
        <v>70</v>
      </c>
      <c r="F872" s="9">
        <f>(E872*50)</f>
        <v>3500</v>
      </c>
      <c r="G872" s="9">
        <f>(E872*35)</f>
        <v>2450</v>
      </c>
      <c r="H872" s="9">
        <f>(E872*50)</f>
        <v>3500</v>
      </c>
    </row>
    <row r="873" spans="3:8" x14ac:dyDescent="0.3">
      <c r="C873" s="14">
        <v>5</v>
      </c>
      <c r="D873" s="143" t="s">
        <v>276</v>
      </c>
      <c r="E873" s="9">
        <v>70</v>
      </c>
      <c r="F873" s="9">
        <f>(E873*50)</f>
        <v>3500</v>
      </c>
      <c r="G873" s="9">
        <f>(E873*35)</f>
        <v>2450</v>
      </c>
      <c r="H873" s="9">
        <f>(E873*50)</f>
        <v>3500</v>
      </c>
    </row>
    <row r="874" spans="3:8" x14ac:dyDescent="0.3">
      <c r="C874" s="14">
        <v>6</v>
      </c>
      <c r="D874" s="143" t="s">
        <v>59</v>
      </c>
      <c r="E874" s="9">
        <v>10</v>
      </c>
      <c r="F874" s="9">
        <f>(E874*50)</f>
        <v>500</v>
      </c>
      <c r="G874" s="9">
        <f>(E874*35)</f>
        <v>350</v>
      </c>
      <c r="H874" s="9">
        <f>(E874*50)</f>
        <v>500</v>
      </c>
    </row>
    <row r="875" spans="3:8" x14ac:dyDescent="0.3">
      <c r="C875" s="14">
        <v>7</v>
      </c>
      <c r="D875" s="143" t="s">
        <v>163</v>
      </c>
      <c r="E875" s="9">
        <v>20</v>
      </c>
      <c r="F875" s="9">
        <f>(E875*50)</f>
        <v>1000</v>
      </c>
      <c r="G875" s="9">
        <f>(E875*35)</f>
        <v>700</v>
      </c>
      <c r="H875" s="9">
        <f>(E875*50)</f>
        <v>1000</v>
      </c>
    </row>
    <row r="876" spans="3:8" x14ac:dyDescent="0.3">
      <c r="C876" s="14">
        <v>9</v>
      </c>
      <c r="D876" s="143" t="s">
        <v>479</v>
      </c>
      <c r="E876" s="9">
        <v>20</v>
      </c>
      <c r="F876" s="9">
        <f>(E876*50)</f>
        <v>1000</v>
      </c>
      <c r="G876" s="9">
        <f>(E876*35)</f>
        <v>700</v>
      </c>
      <c r="H876" s="9">
        <f>(E876*50)</f>
        <v>1000</v>
      </c>
    </row>
    <row r="877" spans="3:8" x14ac:dyDescent="0.3">
      <c r="C877" s="14"/>
      <c r="D877" s="143" t="s">
        <v>812</v>
      </c>
      <c r="E877" s="9"/>
      <c r="F877" s="9"/>
      <c r="G877" s="9"/>
      <c r="H877" s="9"/>
    </row>
    <row r="878" spans="3:8" x14ac:dyDescent="0.3">
      <c r="C878" s="14"/>
      <c r="D878" s="143" t="s">
        <v>504</v>
      </c>
      <c r="E878" s="9"/>
      <c r="F878" s="9"/>
      <c r="G878" s="9"/>
      <c r="H878" s="9"/>
    </row>
    <row r="879" spans="3:8" x14ac:dyDescent="0.3">
      <c r="C879" s="14"/>
      <c r="D879" s="143" t="s">
        <v>384</v>
      </c>
      <c r="E879" s="9"/>
      <c r="F879" s="9"/>
      <c r="G879" s="9"/>
      <c r="H879" s="9"/>
    </row>
    <row r="880" spans="3:8" x14ac:dyDescent="0.3">
      <c r="C880" s="14">
        <v>3</v>
      </c>
      <c r="D880" s="143" t="s">
        <v>387</v>
      </c>
      <c r="E880" s="139">
        <v>2.5</v>
      </c>
      <c r="F880" s="9">
        <f>(E880*50)</f>
        <v>125</v>
      </c>
      <c r="G880" s="9">
        <f>(E880*35)</f>
        <v>87.5</v>
      </c>
      <c r="H880" s="9">
        <f>(E880*50)</f>
        <v>125</v>
      </c>
    </row>
    <row r="881" spans="3:8" x14ac:dyDescent="0.3">
      <c r="C881" s="14">
        <v>8</v>
      </c>
      <c r="D881" s="143" t="s">
        <v>386</v>
      </c>
      <c r="E881" s="139">
        <v>2.5</v>
      </c>
      <c r="F881" s="9">
        <f>(E881*50)</f>
        <v>125</v>
      </c>
      <c r="G881" s="9">
        <f>(E881*35)</f>
        <v>87.5</v>
      </c>
      <c r="H881" s="9">
        <f>(E881*50)</f>
        <v>125</v>
      </c>
    </row>
    <row r="882" spans="3:8" x14ac:dyDescent="0.3">
      <c r="C882" s="58">
        <v>9</v>
      </c>
      <c r="D882" s="171" t="s">
        <v>60</v>
      </c>
      <c r="E882" s="139">
        <v>400</v>
      </c>
      <c r="F882" s="9">
        <f>(E882*50)</f>
        <v>20000</v>
      </c>
      <c r="G882" s="9">
        <f>(E882*35)</f>
        <v>14000</v>
      </c>
      <c r="H882" s="9">
        <f>(E882*50)</f>
        <v>20000</v>
      </c>
    </row>
    <row r="883" spans="3:8" x14ac:dyDescent="0.3">
      <c r="E883" s="13">
        <f>SUM(E871:E882)</f>
        <v>1403</v>
      </c>
      <c r="F883" s="39">
        <f>SUM(F871:F881)</f>
        <v>50150</v>
      </c>
      <c r="G883" s="13">
        <f>SUM(G871:G882)</f>
        <v>49105</v>
      </c>
      <c r="H883" s="84">
        <f>SUM(H871:H882)</f>
        <v>70150</v>
      </c>
    </row>
    <row r="886" spans="3:8" ht="23.4" x14ac:dyDescent="0.45">
      <c r="D886" s="172" t="s">
        <v>296</v>
      </c>
      <c r="E886" s="173"/>
      <c r="F886" s="173"/>
      <c r="G886" s="174"/>
    </row>
    <row r="887" spans="3:8" ht="46.8" x14ac:dyDescent="0.3">
      <c r="C887" s="1">
        <v>6</v>
      </c>
      <c r="D887" s="2" t="s">
        <v>0</v>
      </c>
      <c r="E887" s="3" t="s">
        <v>1</v>
      </c>
      <c r="F887" s="3" t="s">
        <v>251</v>
      </c>
      <c r="G887" s="3"/>
    </row>
    <row r="888" spans="3:8" x14ac:dyDescent="0.3">
      <c r="C888" s="202" t="s">
        <v>300</v>
      </c>
      <c r="D888" s="100" t="s">
        <v>132</v>
      </c>
      <c r="E888" s="101">
        <v>770</v>
      </c>
      <c r="F888" s="101">
        <f>(E888*20)</f>
        <v>15400</v>
      </c>
      <c r="G888" s="104" t="s">
        <v>7</v>
      </c>
    </row>
    <row r="889" spans="3:8" x14ac:dyDescent="0.3">
      <c r="C889" s="203"/>
      <c r="D889" s="5" t="s">
        <v>297</v>
      </c>
      <c r="E889" s="6">
        <v>100</v>
      </c>
      <c r="F889" s="101">
        <f>(E889*20)</f>
        <v>2000</v>
      </c>
      <c r="G889" s="105" t="s">
        <v>7</v>
      </c>
    </row>
    <row r="890" spans="3:8" x14ac:dyDescent="0.3">
      <c r="C890" s="203"/>
      <c r="D890" s="5" t="s">
        <v>298</v>
      </c>
      <c r="E890" s="6">
        <v>9</v>
      </c>
      <c r="F890" s="101">
        <f>(E890*20)</f>
        <v>180</v>
      </c>
      <c r="G890" s="105" t="s">
        <v>7</v>
      </c>
    </row>
    <row r="891" spans="3:8" x14ac:dyDescent="0.3">
      <c r="C891" s="203"/>
      <c r="D891" s="5" t="s">
        <v>53</v>
      </c>
      <c r="E891" s="6">
        <v>9</v>
      </c>
      <c r="F891" s="101">
        <f>(E891*20)</f>
        <v>180</v>
      </c>
      <c r="G891" s="105" t="s">
        <v>7</v>
      </c>
    </row>
    <row r="892" spans="3:8" x14ac:dyDescent="0.3">
      <c r="C892" s="204"/>
      <c r="D892" s="106" t="s">
        <v>59</v>
      </c>
      <c r="E892" s="107">
        <v>30</v>
      </c>
      <c r="F892" s="101">
        <f>(E892*20)</f>
        <v>600</v>
      </c>
      <c r="G892" s="111" t="s">
        <v>7</v>
      </c>
    </row>
    <row r="893" spans="3:8" x14ac:dyDescent="0.3">
      <c r="C893" s="205" t="s">
        <v>304</v>
      </c>
      <c r="D893" s="34" t="s">
        <v>301</v>
      </c>
      <c r="E893" s="97">
        <v>20</v>
      </c>
      <c r="F893" s="101">
        <f>(E893*20)</f>
        <v>400</v>
      </c>
      <c r="G893" s="122"/>
    </row>
    <row r="894" spans="3:8" x14ac:dyDescent="0.3">
      <c r="C894" s="206"/>
      <c r="D894" s="5" t="s">
        <v>302</v>
      </c>
      <c r="E894" s="6">
        <v>20</v>
      </c>
      <c r="F894" s="101">
        <f>(E894*20)</f>
        <v>400</v>
      </c>
      <c r="G894" s="116"/>
    </row>
    <row r="895" spans="3:8" x14ac:dyDescent="0.3">
      <c r="C895" s="206"/>
      <c r="D895" s="5" t="s">
        <v>262</v>
      </c>
      <c r="E895" s="6">
        <v>20</v>
      </c>
      <c r="F895" s="101">
        <f>(E895*20)</f>
        <v>400</v>
      </c>
      <c r="G895" s="116"/>
    </row>
    <row r="896" spans="3:8" x14ac:dyDescent="0.3">
      <c r="C896" s="207"/>
      <c r="D896" s="93" t="s">
        <v>303</v>
      </c>
      <c r="E896" s="25">
        <v>20</v>
      </c>
      <c r="F896" s="101">
        <f>(E896*20)</f>
        <v>400</v>
      </c>
      <c r="G896" s="123"/>
    </row>
    <row r="897" spans="3:7" x14ac:dyDescent="0.3">
      <c r="C897" s="208" t="s">
        <v>305</v>
      </c>
      <c r="D897" s="112" t="s">
        <v>131</v>
      </c>
      <c r="E897" s="113">
        <v>0.125</v>
      </c>
      <c r="F897" s="101">
        <f>(E897*20)</f>
        <v>2.5</v>
      </c>
      <c r="G897" s="115"/>
    </row>
    <row r="898" spans="3:7" x14ac:dyDescent="0.3">
      <c r="C898" s="209"/>
      <c r="D898" s="5" t="s">
        <v>56</v>
      </c>
      <c r="E898" s="6">
        <v>1</v>
      </c>
      <c r="F898" s="101">
        <f>(E898*20)</f>
        <v>20</v>
      </c>
      <c r="G898" s="116"/>
    </row>
    <row r="899" spans="3:7" x14ac:dyDescent="0.3">
      <c r="C899" s="209"/>
      <c r="D899" s="5" t="s">
        <v>231</v>
      </c>
      <c r="E899" s="11">
        <v>0.5</v>
      </c>
      <c r="F899" s="101">
        <f>(E899*20)</f>
        <v>10</v>
      </c>
      <c r="G899" s="124" t="s">
        <v>7</v>
      </c>
    </row>
    <row r="900" spans="3:7" x14ac:dyDescent="0.3">
      <c r="C900" s="210"/>
      <c r="D900" s="117" t="s">
        <v>174</v>
      </c>
      <c r="E900" s="119">
        <v>0.3</v>
      </c>
      <c r="F900" s="101">
        <f>(E900*20)</f>
        <v>6</v>
      </c>
      <c r="G900" s="125" t="s">
        <v>7</v>
      </c>
    </row>
    <row r="901" spans="3:7" x14ac:dyDescent="0.3">
      <c r="D901" s="27"/>
      <c r="E901" s="19">
        <f>SUM(E888:E900)</f>
        <v>999.92499999999995</v>
      </c>
      <c r="F901" s="23"/>
      <c r="G901" s="23"/>
    </row>
    <row r="904" spans="3:7" ht="23.4" x14ac:dyDescent="0.45">
      <c r="D904" s="221" t="s">
        <v>834</v>
      </c>
      <c r="E904" s="222"/>
      <c r="F904" s="222"/>
      <c r="G904" s="223"/>
    </row>
    <row r="905" spans="3:7" ht="46.8" x14ac:dyDescent="0.3">
      <c r="C905" s="224">
        <v>4</v>
      </c>
      <c r="D905" s="225" t="s">
        <v>0</v>
      </c>
      <c r="E905" s="226" t="s">
        <v>1</v>
      </c>
      <c r="F905" s="226" t="s">
        <v>408</v>
      </c>
      <c r="G905" s="227"/>
    </row>
    <row r="906" spans="3:7" x14ac:dyDescent="0.3">
      <c r="D906" s="228" t="s">
        <v>12</v>
      </c>
      <c r="E906" s="230">
        <v>2.5</v>
      </c>
      <c r="F906" s="229"/>
      <c r="G906" s="232" t="s">
        <v>7</v>
      </c>
    </row>
    <row r="907" spans="3:7" x14ac:dyDescent="0.3">
      <c r="D907" s="228" t="s">
        <v>642</v>
      </c>
      <c r="E907" s="229">
        <v>5</v>
      </c>
      <c r="F907" s="229"/>
      <c r="G907" s="232"/>
    </row>
    <row r="908" spans="3:7" x14ac:dyDescent="0.3">
      <c r="D908" s="228" t="s">
        <v>166</v>
      </c>
      <c r="E908" s="229">
        <v>50</v>
      </c>
      <c r="F908" s="229"/>
      <c r="G908" s="232"/>
    </row>
    <row r="909" spans="3:7" x14ac:dyDescent="0.3">
      <c r="D909" s="228" t="s">
        <v>163</v>
      </c>
      <c r="E909" s="229">
        <v>30</v>
      </c>
      <c r="F909" s="229"/>
      <c r="G909" s="232"/>
    </row>
    <row r="910" spans="3:7" x14ac:dyDescent="0.3">
      <c r="D910" s="228" t="s">
        <v>286</v>
      </c>
      <c r="E910" s="229">
        <v>8</v>
      </c>
      <c r="F910" s="229"/>
      <c r="G910" s="232"/>
    </row>
    <row r="911" spans="3:7" x14ac:dyDescent="0.3">
      <c r="D911" s="228" t="s">
        <v>168</v>
      </c>
      <c r="E911" s="229">
        <v>8</v>
      </c>
      <c r="F911" s="229"/>
      <c r="G911" s="232"/>
    </row>
    <row r="912" spans="3:7" x14ac:dyDescent="0.3">
      <c r="D912" s="228" t="s">
        <v>174</v>
      </c>
      <c r="E912" s="229">
        <v>3</v>
      </c>
      <c r="F912" s="229"/>
      <c r="G912" s="232"/>
    </row>
    <row r="913" spans="3:7" x14ac:dyDescent="0.3">
      <c r="D913" s="228" t="s">
        <v>56</v>
      </c>
      <c r="E913" s="230">
        <v>1</v>
      </c>
      <c r="F913" s="229"/>
      <c r="G913" s="232"/>
    </row>
    <row r="914" spans="3:7" x14ac:dyDescent="0.3">
      <c r="D914" s="228" t="s">
        <v>231</v>
      </c>
      <c r="E914" s="229">
        <v>0.5</v>
      </c>
      <c r="F914" s="229"/>
      <c r="G914" s="232"/>
    </row>
    <row r="915" spans="3:7" x14ac:dyDescent="0.3">
      <c r="D915" s="228" t="s">
        <v>55</v>
      </c>
      <c r="E915" s="229">
        <v>892</v>
      </c>
      <c r="F915" s="229"/>
      <c r="G915" s="232"/>
    </row>
    <row r="916" spans="3:7" x14ac:dyDescent="0.3">
      <c r="D916" s="235"/>
      <c r="E916" s="253">
        <f>SUM(E906:E915)</f>
        <v>1000</v>
      </c>
      <c r="F916" s="258">
        <f t="shared" ref="F916" si="1">SUM(F906:F914)</f>
        <v>0</v>
      </c>
      <c r="G916" s="257"/>
    </row>
    <row r="919" spans="3:7" ht="23.4" x14ac:dyDescent="0.45">
      <c r="D919" s="221" t="s">
        <v>839</v>
      </c>
      <c r="E919" s="222"/>
      <c r="F919" s="222"/>
      <c r="G919" s="223"/>
    </row>
    <row r="920" spans="3:7" ht="46.8" x14ac:dyDescent="0.3">
      <c r="C920" s="224">
        <v>3</v>
      </c>
      <c r="D920" s="225" t="s">
        <v>0</v>
      </c>
      <c r="E920" s="226" t="s">
        <v>1</v>
      </c>
      <c r="F920" s="226" t="s">
        <v>408</v>
      </c>
      <c r="G920" s="227"/>
    </row>
    <row r="921" spans="3:7" x14ac:dyDescent="0.3">
      <c r="D921" s="228" t="s">
        <v>55</v>
      </c>
      <c r="E921" s="230">
        <v>867</v>
      </c>
      <c r="F921" s="229"/>
      <c r="G921" s="232" t="s">
        <v>7</v>
      </c>
    </row>
    <row r="922" spans="3:7" x14ac:dyDescent="0.3">
      <c r="D922" s="233" t="s">
        <v>59</v>
      </c>
      <c r="E922" s="229">
        <v>40</v>
      </c>
      <c r="F922" s="229"/>
      <c r="G922" s="232"/>
    </row>
    <row r="923" spans="3:7" x14ac:dyDescent="0.3">
      <c r="D923" s="228" t="s">
        <v>9</v>
      </c>
      <c r="E923" s="229">
        <v>30</v>
      </c>
      <c r="F923" s="229"/>
      <c r="G923" s="232" t="s">
        <v>7</v>
      </c>
    </row>
    <row r="924" spans="3:7" x14ac:dyDescent="0.3">
      <c r="D924" s="228" t="s">
        <v>822</v>
      </c>
      <c r="E924" s="229">
        <v>20</v>
      </c>
      <c r="F924" s="229"/>
      <c r="G924" s="232"/>
    </row>
    <row r="925" spans="3:7" x14ac:dyDescent="0.3">
      <c r="D925" s="228" t="s">
        <v>166</v>
      </c>
      <c r="E925" s="229">
        <v>10</v>
      </c>
      <c r="F925" s="229"/>
      <c r="G925" s="232"/>
    </row>
    <row r="926" spans="3:7" x14ac:dyDescent="0.3">
      <c r="D926" s="228" t="s">
        <v>479</v>
      </c>
      <c r="E926" s="229">
        <v>20</v>
      </c>
      <c r="F926" s="229"/>
      <c r="G926" s="232"/>
    </row>
    <row r="927" spans="3:7" x14ac:dyDescent="0.3">
      <c r="D927" s="228" t="s">
        <v>521</v>
      </c>
      <c r="E927" s="229">
        <v>1</v>
      </c>
      <c r="F927" s="229"/>
      <c r="G927" s="232"/>
    </row>
    <row r="928" spans="3:7" x14ac:dyDescent="0.3">
      <c r="D928" s="228" t="s">
        <v>504</v>
      </c>
      <c r="E928" s="229">
        <v>3</v>
      </c>
      <c r="F928" s="229"/>
      <c r="G928" s="232"/>
    </row>
    <row r="929" spans="3:7" x14ac:dyDescent="0.3">
      <c r="D929" s="228" t="s">
        <v>286</v>
      </c>
      <c r="E929" s="229">
        <v>8</v>
      </c>
      <c r="F929" s="229"/>
      <c r="G929" s="232" t="s">
        <v>7</v>
      </c>
    </row>
    <row r="930" spans="3:7" x14ac:dyDescent="0.3">
      <c r="D930" s="228" t="s">
        <v>56</v>
      </c>
      <c r="E930" s="234">
        <v>1</v>
      </c>
      <c r="F930" s="229"/>
      <c r="G930" s="228"/>
    </row>
    <row r="931" spans="3:7" x14ac:dyDescent="0.3">
      <c r="D931" s="228" t="s">
        <v>231</v>
      </c>
      <c r="E931" s="242">
        <v>0.5</v>
      </c>
      <c r="F931" s="229"/>
      <c r="G931" s="228"/>
    </row>
    <row r="932" spans="3:7" x14ac:dyDescent="0.3">
      <c r="D932" s="241" t="s">
        <v>174</v>
      </c>
      <c r="E932" s="242">
        <v>2</v>
      </c>
      <c r="F932" s="229"/>
      <c r="G932" s="228"/>
    </row>
    <row r="933" spans="3:7" x14ac:dyDescent="0.3">
      <c r="D933" s="241" t="s">
        <v>384</v>
      </c>
      <c r="E933" s="234">
        <v>2</v>
      </c>
      <c r="F933" s="229"/>
      <c r="G933" s="228"/>
    </row>
    <row r="934" spans="3:7" x14ac:dyDescent="0.3">
      <c r="D934" s="241" t="s">
        <v>387</v>
      </c>
      <c r="E934" s="234">
        <v>2</v>
      </c>
      <c r="F934" s="229"/>
      <c r="G934" s="228"/>
    </row>
    <row r="935" spans="3:7" x14ac:dyDescent="0.3">
      <c r="D935" s="235"/>
      <c r="E935" s="236">
        <f>SUM(E921:E934)</f>
        <v>1006.5</v>
      </c>
      <c r="F935" s="239">
        <f t="shared" ref="F935" si="2">SUM(F921:F931)</f>
        <v>0</v>
      </c>
      <c r="G935" s="240"/>
    </row>
    <row r="938" spans="3:7" ht="23.4" x14ac:dyDescent="0.45">
      <c r="D938" s="221" t="s">
        <v>840</v>
      </c>
      <c r="E938" s="222"/>
      <c r="F938" s="222"/>
      <c r="G938" s="223"/>
    </row>
    <row r="939" spans="3:7" ht="46.8" x14ac:dyDescent="0.3">
      <c r="C939" s="224">
        <v>3</v>
      </c>
      <c r="D939" s="225" t="s">
        <v>0</v>
      </c>
      <c r="E939" s="226" t="s">
        <v>1</v>
      </c>
      <c r="F939" s="226" t="s">
        <v>408</v>
      </c>
      <c r="G939" s="227"/>
    </row>
    <row r="940" spans="3:7" x14ac:dyDescent="0.3">
      <c r="D940" s="228" t="s">
        <v>55</v>
      </c>
      <c r="E940" s="229">
        <v>975</v>
      </c>
      <c r="F940" s="229"/>
      <c r="G940" s="232" t="s">
        <v>7</v>
      </c>
    </row>
    <row r="941" spans="3:7" x14ac:dyDescent="0.3">
      <c r="D941" s="233" t="s">
        <v>59</v>
      </c>
      <c r="E941" s="229">
        <v>3</v>
      </c>
      <c r="F941" s="229"/>
      <c r="G941" s="232"/>
    </row>
    <row r="942" spans="3:7" x14ac:dyDescent="0.3">
      <c r="D942" s="228" t="s">
        <v>419</v>
      </c>
      <c r="E942" s="229">
        <v>2</v>
      </c>
      <c r="F942" s="229"/>
      <c r="G942" s="232" t="s">
        <v>7</v>
      </c>
    </row>
    <row r="943" spans="3:7" x14ac:dyDescent="0.3">
      <c r="D943" s="228" t="s">
        <v>286</v>
      </c>
      <c r="E943" s="229">
        <v>9</v>
      </c>
      <c r="F943" s="229"/>
      <c r="G943" s="232"/>
    </row>
    <row r="944" spans="3:7" x14ac:dyDescent="0.3">
      <c r="D944" s="228" t="s">
        <v>20</v>
      </c>
      <c r="E944" s="229">
        <v>2</v>
      </c>
      <c r="F944" s="229"/>
      <c r="G944" s="232"/>
    </row>
    <row r="945" spans="3:7" x14ac:dyDescent="0.3">
      <c r="D945" s="228" t="s">
        <v>374</v>
      </c>
      <c r="E945" s="229">
        <v>5</v>
      </c>
      <c r="F945" s="229"/>
      <c r="G945" s="232"/>
    </row>
    <row r="946" spans="3:7" x14ac:dyDescent="0.3">
      <c r="D946" s="228" t="s">
        <v>841</v>
      </c>
      <c r="E946" s="229">
        <v>1</v>
      </c>
      <c r="F946" s="229"/>
      <c r="G946" s="232"/>
    </row>
    <row r="947" spans="3:7" x14ac:dyDescent="0.3">
      <c r="D947" s="228" t="s">
        <v>521</v>
      </c>
      <c r="E947" s="229">
        <v>1</v>
      </c>
      <c r="F947" s="229"/>
      <c r="G947" s="232"/>
    </row>
    <row r="948" spans="3:7" x14ac:dyDescent="0.3">
      <c r="D948" s="228" t="s">
        <v>240</v>
      </c>
      <c r="E948" s="230">
        <v>0.5</v>
      </c>
      <c r="F948" s="229"/>
      <c r="G948" s="232" t="s">
        <v>7</v>
      </c>
    </row>
    <row r="949" spans="3:7" x14ac:dyDescent="0.3">
      <c r="D949" s="228" t="s">
        <v>56</v>
      </c>
      <c r="E949" s="234">
        <v>1</v>
      </c>
      <c r="F949" s="229"/>
      <c r="G949" s="228"/>
    </row>
    <row r="950" spans="3:7" x14ac:dyDescent="0.3">
      <c r="D950" s="228" t="s">
        <v>231</v>
      </c>
      <c r="E950" s="242">
        <v>0.5</v>
      </c>
      <c r="F950" s="229"/>
      <c r="G950" s="228"/>
    </row>
    <row r="951" spans="3:7" x14ac:dyDescent="0.3">
      <c r="D951" s="235"/>
      <c r="E951" s="236">
        <f>SUM(E940:E950)</f>
        <v>1000</v>
      </c>
      <c r="F951" s="239">
        <f t="shared" ref="F951" si="3">SUM(F940:F950)</f>
        <v>0</v>
      </c>
      <c r="G951" s="240"/>
    </row>
    <row r="954" spans="3:7" ht="23.4" x14ac:dyDescent="0.45">
      <c r="D954" s="221" t="s">
        <v>845</v>
      </c>
      <c r="E954" s="222"/>
      <c r="F954" s="222"/>
      <c r="G954" s="223"/>
    </row>
    <row r="955" spans="3:7" ht="46.8" x14ac:dyDescent="0.3">
      <c r="C955" s="224">
        <v>4</v>
      </c>
      <c r="D955" s="225" t="s">
        <v>0</v>
      </c>
      <c r="E955" s="226" t="s">
        <v>1</v>
      </c>
      <c r="F955" s="226" t="s">
        <v>408</v>
      </c>
      <c r="G955" s="227"/>
    </row>
    <row r="956" spans="3:7" x14ac:dyDescent="0.3">
      <c r="D956" s="228" t="s">
        <v>12</v>
      </c>
      <c r="E956" s="229">
        <v>20</v>
      </c>
      <c r="F956" s="229"/>
      <c r="G956" s="232" t="s">
        <v>7</v>
      </c>
    </row>
    <row r="957" spans="3:7" x14ac:dyDescent="0.3">
      <c r="D957" s="228" t="s">
        <v>846</v>
      </c>
      <c r="E957" s="229">
        <v>10</v>
      </c>
      <c r="F957" s="229"/>
      <c r="G957" s="232"/>
    </row>
    <row r="958" spans="3:7" x14ac:dyDescent="0.3">
      <c r="D958" s="228" t="s">
        <v>847</v>
      </c>
      <c r="E958" s="229">
        <v>50</v>
      </c>
      <c r="F958" s="229"/>
      <c r="G958" s="232"/>
    </row>
    <row r="959" spans="3:7" x14ac:dyDescent="0.3">
      <c r="D959" s="228" t="s">
        <v>59</v>
      </c>
      <c r="E959" s="229">
        <v>20</v>
      </c>
      <c r="F959" s="229"/>
      <c r="G959" s="232"/>
    </row>
    <row r="960" spans="3:7" x14ac:dyDescent="0.3">
      <c r="D960" s="228" t="s">
        <v>9</v>
      </c>
      <c r="E960" s="229">
        <v>50</v>
      </c>
      <c r="F960" s="229"/>
      <c r="G960" s="232"/>
    </row>
    <row r="961" spans="3:7" x14ac:dyDescent="0.3">
      <c r="D961" s="228" t="s">
        <v>286</v>
      </c>
      <c r="E961" s="229">
        <v>9</v>
      </c>
      <c r="F961" s="229"/>
      <c r="G961" s="232"/>
    </row>
    <row r="962" spans="3:7" x14ac:dyDescent="0.3">
      <c r="D962" s="233" t="s">
        <v>28</v>
      </c>
      <c r="E962" s="229">
        <v>1</v>
      </c>
      <c r="F962" s="229"/>
      <c r="G962" s="232"/>
    </row>
    <row r="963" spans="3:7" x14ac:dyDescent="0.3">
      <c r="D963" s="228" t="s">
        <v>29</v>
      </c>
      <c r="E963" s="230">
        <v>0.5</v>
      </c>
      <c r="F963" s="229"/>
      <c r="G963" s="232" t="s">
        <v>7</v>
      </c>
    </row>
    <row r="964" spans="3:7" x14ac:dyDescent="0.3">
      <c r="D964" s="228" t="s">
        <v>232</v>
      </c>
      <c r="E964" s="230">
        <v>843.5</v>
      </c>
      <c r="F964" s="229"/>
      <c r="G964" s="232"/>
    </row>
    <row r="965" spans="3:7" x14ac:dyDescent="0.3">
      <c r="D965" s="235"/>
      <c r="E965" s="236">
        <f>SUM(E956:E964)</f>
        <v>1004</v>
      </c>
      <c r="F965" s="239">
        <f t="shared" ref="F965" si="4">SUM(F956:F964)</f>
        <v>0</v>
      </c>
      <c r="G965" s="240"/>
    </row>
    <row r="968" spans="3:7" ht="23.4" x14ac:dyDescent="0.45">
      <c r="D968" s="221" t="s">
        <v>851</v>
      </c>
      <c r="E968" s="222"/>
      <c r="F968" s="222"/>
      <c r="G968" s="223"/>
    </row>
    <row r="969" spans="3:7" ht="46.8" x14ac:dyDescent="0.3">
      <c r="C969" s="224">
        <v>2</v>
      </c>
      <c r="D969" s="225" t="s">
        <v>0</v>
      </c>
      <c r="E969" s="226" t="s">
        <v>1</v>
      </c>
      <c r="F969" s="226" t="s">
        <v>408</v>
      </c>
      <c r="G969" s="227"/>
    </row>
    <row r="970" spans="3:7" x14ac:dyDescent="0.3">
      <c r="D970" s="228" t="s">
        <v>55</v>
      </c>
      <c r="E970" s="230">
        <v>807</v>
      </c>
      <c r="F970" s="229"/>
      <c r="G970" s="232" t="s">
        <v>7</v>
      </c>
    </row>
    <row r="971" spans="3:7" x14ac:dyDescent="0.3">
      <c r="D971" s="228" t="s">
        <v>59</v>
      </c>
      <c r="E971" s="230">
        <v>100</v>
      </c>
      <c r="F971" s="229"/>
      <c r="G971" s="232"/>
    </row>
    <row r="972" spans="3:7" x14ac:dyDescent="0.3">
      <c r="D972" s="228" t="s">
        <v>286</v>
      </c>
      <c r="E972" s="230">
        <v>12</v>
      </c>
      <c r="F972" s="229"/>
      <c r="G972" s="232"/>
    </row>
    <row r="973" spans="3:7" x14ac:dyDescent="0.3">
      <c r="D973" s="228" t="s">
        <v>805</v>
      </c>
      <c r="E973" s="230">
        <v>2</v>
      </c>
      <c r="F973" s="229"/>
      <c r="G973" s="232"/>
    </row>
    <row r="974" spans="3:7" x14ac:dyDescent="0.3">
      <c r="D974" s="228" t="s">
        <v>20</v>
      </c>
      <c r="E974" s="229">
        <v>2.5</v>
      </c>
      <c r="F974" s="229"/>
      <c r="G974" s="232"/>
    </row>
    <row r="975" spans="3:7" x14ac:dyDescent="0.3">
      <c r="D975" s="228" t="s">
        <v>166</v>
      </c>
      <c r="E975" s="230">
        <v>30</v>
      </c>
      <c r="F975" s="229"/>
      <c r="G975" s="232"/>
    </row>
    <row r="976" spans="3:7" x14ac:dyDescent="0.3">
      <c r="D976" s="228" t="s">
        <v>668</v>
      </c>
      <c r="E976" s="229">
        <v>20</v>
      </c>
      <c r="F976" s="229"/>
      <c r="G976" s="232"/>
    </row>
    <row r="977" spans="3:7" x14ac:dyDescent="0.3">
      <c r="D977" s="228" t="s">
        <v>850</v>
      </c>
      <c r="E977" s="229">
        <v>20</v>
      </c>
      <c r="F977" s="229"/>
      <c r="G977" s="232"/>
    </row>
    <row r="978" spans="3:7" x14ac:dyDescent="0.3">
      <c r="D978" s="228" t="s">
        <v>384</v>
      </c>
      <c r="E978" s="229">
        <v>0.1</v>
      </c>
      <c r="F978" s="229"/>
      <c r="G978" s="232"/>
    </row>
    <row r="979" spans="3:7" x14ac:dyDescent="0.3">
      <c r="D979" s="228" t="s">
        <v>56</v>
      </c>
      <c r="E979" s="229">
        <v>3</v>
      </c>
      <c r="F979" s="229"/>
      <c r="G979" s="232"/>
    </row>
    <row r="980" spans="3:7" x14ac:dyDescent="0.3">
      <c r="D980" s="228" t="s">
        <v>231</v>
      </c>
      <c r="E980" s="229">
        <v>2</v>
      </c>
      <c r="F980" s="229"/>
      <c r="G980" s="232"/>
    </row>
    <row r="981" spans="3:7" x14ac:dyDescent="0.3">
      <c r="D981" s="228" t="s">
        <v>174</v>
      </c>
      <c r="E981" s="268">
        <v>1.5</v>
      </c>
      <c r="F981" s="229"/>
      <c r="G981" s="232"/>
    </row>
    <row r="982" spans="3:7" x14ac:dyDescent="0.3">
      <c r="D982" s="235"/>
      <c r="E982" s="253">
        <f>SUM(E970:E981)</f>
        <v>1000.1</v>
      </c>
      <c r="F982" s="258">
        <f>SUM(F970:F981)</f>
        <v>0</v>
      </c>
      <c r="G982" s="257"/>
    </row>
    <row r="985" spans="3:7" ht="23.4" x14ac:dyDescent="0.45">
      <c r="D985" s="269" t="s">
        <v>859</v>
      </c>
      <c r="E985" s="270"/>
      <c r="F985" s="270"/>
      <c r="G985" s="270"/>
    </row>
    <row r="986" spans="3:7" ht="46.8" x14ac:dyDescent="0.3">
      <c r="C986" s="224">
        <v>5</v>
      </c>
      <c r="D986" s="225" t="s">
        <v>0</v>
      </c>
      <c r="E986" s="226" t="s">
        <v>1</v>
      </c>
      <c r="F986" s="227"/>
      <c r="G986" s="227"/>
    </row>
    <row r="987" spans="3:7" x14ac:dyDescent="0.3">
      <c r="D987" s="233" t="s">
        <v>59</v>
      </c>
      <c r="E987" s="229">
        <v>30</v>
      </c>
      <c r="F987" s="228"/>
      <c r="G987" s="228"/>
    </row>
    <row r="988" spans="3:7" x14ac:dyDescent="0.3">
      <c r="D988" s="233" t="s">
        <v>860</v>
      </c>
      <c r="E988" s="229">
        <v>1</v>
      </c>
      <c r="F988" s="228"/>
      <c r="G988" s="228"/>
    </row>
    <row r="989" spans="3:7" x14ac:dyDescent="0.3">
      <c r="D989" s="233" t="s">
        <v>861</v>
      </c>
      <c r="E989" s="229">
        <v>9</v>
      </c>
      <c r="F989" s="228"/>
      <c r="G989" s="228"/>
    </row>
    <row r="990" spans="3:7" x14ac:dyDescent="0.3">
      <c r="D990" s="233" t="s">
        <v>56</v>
      </c>
      <c r="E990" s="229">
        <v>3</v>
      </c>
      <c r="F990" s="228"/>
      <c r="G990" s="228"/>
    </row>
    <row r="991" spans="3:7" x14ac:dyDescent="0.3">
      <c r="D991" s="233" t="s">
        <v>642</v>
      </c>
      <c r="E991" s="234">
        <v>20</v>
      </c>
      <c r="F991" s="228"/>
      <c r="G991" s="228"/>
    </row>
    <row r="992" spans="3:7" x14ac:dyDescent="0.3">
      <c r="D992" s="233" t="s">
        <v>521</v>
      </c>
      <c r="E992" s="234">
        <v>5</v>
      </c>
      <c r="F992" s="228"/>
      <c r="G992" s="228"/>
    </row>
    <row r="993" spans="3:7" x14ac:dyDescent="0.3">
      <c r="D993" s="233" t="s">
        <v>203</v>
      </c>
      <c r="E993" s="234">
        <v>150</v>
      </c>
      <c r="F993" s="228"/>
      <c r="G993" s="228"/>
    </row>
    <row r="994" spans="3:7" x14ac:dyDescent="0.3">
      <c r="D994" s="233" t="s">
        <v>27</v>
      </c>
      <c r="E994" s="234">
        <v>788</v>
      </c>
      <c r="F994" s="228"/>
      <c r="G994" s="228"/>
    </row>
    <row r="995" spans="3:7" x14ac:dyDescent="0.3">
      <c r="D995" s="233" t="s">
        <v>168</v>
      </c>
      <c r="E995" s="234">
        <v>5</v>
      </c>
      <c r="F995" s="228"/>
      <c r="G995" s="228"/>
    </row>
    <row r="996" spans="3:7" x14ac:dyDescent="0.3">
      <c r="E996" s="236">
        <f>SUM(E987:E995)</f>
        <v>1011</v>
      </c>
      <c r="F996" s="232"/>
      <c r="G996" s="232"/>
    </row>
    <row r="999" spans="3:7" ht="23.4" x14ac:dyDescent="0.45">
      <c r="D999" s="221" t="s">
        <v>867</v>
      </c>
      <c r="E999" s="222"/>
      <c r="F999" s="222"/>
    </row>
    <row r="1000" spans="3:7" ht="46.8" x14ac:dyDescent="0.3">
      <c r="C1000" s="224">
        <v>7</v>
      </c>
      <c r="D1000" s="225" t="s">
        <v>0</v>
      </c>
      <c r="E1000" s="226" t="s">
        <v>1</v>
      </c>
      <c r="F1000" s="226" t="s">
        <v>408</v>
      </c>
    </row>
    <row r="1001" spans="3:7" x14ac:dyDescent="0.3">
      <c r="D1001" s="228" t="s">
        <v>440</v>
      </c>
      <c r="E1001" s="230">
        <v>33.299999999999997</v>
      </c>
      <c r="F1001" s="229"/>
    </row>
    <row r="1002" spans="3:7" x14ac:dyDescent="0.3">
      <c r="D1002" s="233" t="s">
        <v>443</v>
      </c>
      <c r="E1002" s="230">
        <v>20</v>
      </c>
      <c r="F1002" s="229"/>
    </row>
    <row r="1003" spans="3:7" x14ac:dyDescent="0.3">
      <c r="D1003" s="228" t="s">
        <v>12</v>
      </c>
      <c r="E1003" s="229">
        <v>10</v>
      </c>
      <c r="F1003" s="229"/>
    </row>
    <row r="1004" spans="3:7" x14ac:dyDescent="0.3">
      <c r="D1004" s="228" t="s">
        <v>171</v>
      </c>
      <c r="E1004" s="229">
        <v>70</v>
      </c>
      <c r="F1004" s="229"/>
    </row>
    <row r="1005" spans="3:7" x14ac:dyDescent="0.3">
      <c r="D1005" s="228" t="s">
        <v>372</v>
      </c>
      <c r="E1005" s="229">
        <v>70</v>
      </c>
      <c r="F1005" s="229"/>
    </row>
    <row r="1006" spans="3:7" x14ac:dyDescent="0.3">
      <c r="D1006" s="228" t="s">
        <v>389</v>
      </c>
      <c r="E1006" s="229">
        <v>10</v>
      </c>
      <c r="F1006" s="229"/>
    </row>
    <row r="1007" spans="3:7" x14ac:dyDescent="0.3">
      <c r="D1007" s="228" t="s">
        <v>441</v>
      </c>
      <c r="E1007" s="229">
        <v>1</v>
      </c>
      <c r="F1007" s="229"/>
    </row>
    <row r="1008" spans="3:7" x14ac:dyDescent="0.3">
      <c r="D1008" s="228" t="s">
        <v>442</v>
      </c>
      <c r="E1008" s="229">
        <v>50</v>
      </c>
      <c r="F1008" s="229"/>
    </row>
    <row r="1009" spans="3:8" x14ac:dyDescent="0.3">
      <c r="D1009" s="233" t="s">
        <v>56</v>
      </c>
      <c r="E1009" s="234">
        <v>2</v>
      </c>
      <c r="F1009" s="229"/>
    </row>
    <row r="1010" spans="3:8" x14ac:dyDescent="0.3">
      <c r="D1010" s="233" t="s">
        <v>231</v>
      </c>
      <c r="E1010" s="229">
        <v>1</v>
      </c>
      <c r="F1010" s="229"/>
    </row>
    <row r="1011" spans="3:8" x14ac:dyDescent="0.3">
      <c r="D1011" s="233" t="s">
        <v>268</v>
      </c>
      <c r="E1011" s="229">
        <v>733</v>
      </c>
      <c r="F1011" s="229"/>
    </row>
    <row r="1012" spans="3:8" x14ac:dyDescent="0.3">
      <c r="D1012" s="235"/>
      <c r="E1012" s="253">
        <f>SUM(E1001:E1011)</f>
        <v>1000.3</v>
      </c>
      <c r="F1012" s="258">
        <f t="shared" ref="F1012" si="5">SUM(F1001:F1011)</f>
        <v>0</v>
      </c>
    </row>
    <row r="1015" spans="3:8" ht="23.4" x14ac:dyDescent="0.45">
      <c r="D1015" s="221" t="s">
        <v>868</v>
      </c>
      <c r="E1015" s="270"/>
      <c r="F1015" s="270"/>
      <c r="G1015" s="270"/>
      <c r="H1015" s="270"/>
    </row>
    <row r="1016" spans="3:8" ht="46.8" x14ac:dyDescent="0.3">
      <c r="C1016" s="224">
        <v>8</v>
      </c>
      <c r="D1016" s="225" t="s">
        <v>0</v>
      </c>
      <c r="E1016" s="226" t="s">
        <v>1</v>
      </c>
      <c r="F1016" s="226" t="s">
        <v>407</v>
      </c>
      <c r="G1016" s="226" t="s">
        <v>126</v>
      </c>
      <c r="H1016" s="226" t="s">
        <v>408</v>
      </c>
    </row>
    <row r="1017" spans="3:8" x14ac:dyDescent="0.3">
      <c r="D1017" s="233" t="s">
        <v>869</v>
      </c>
      <c r="E1017" s="229">
        <v>50</v>
      </c>
      <c r="F1017" s="229"/>
      <c r="G1017" s="229"/>
      <c r="H1017" s="229"/>
    </row>
    <row r="1018" spans="3:8" x14ac:dyDescent="0.3">
      <c r="D1018" s="233" t="s">
        <v>642</v>
      </c>
      <c r="E1018" s="229">
        <v>5</v>
      </c>
      <c r="F1018" s="229"/>
      <c r="G1018" s="229"/>
      <c r="H1018" s="229"/>
    </row>
    <row r="1019" spans="3:8" x14ac:dyDescent="0.3">
      <c r="D1019" s="233" t="s">
        <v>559</v>
      </c>
      <c r="E1019" s="229">
        <v>50</v>
      </c>
      <c r="F1019" s="229"/>
      <c r="G1019" s="229"/>
      <c r="H1019" s="229"/>
    </row>
    <row r="1020" spans="3:8" x14ac:dyDescent="0.3">
      <c r="D1020" s="233" t="s">
        <v>171</v>
      </c>
      <c r="E1020" s="229">
        <v>70</v>
      </c>
      <c r="F1020" s="229"/>
      <c r="G1020" s="229"/>
      <c r="H1020" s="229"/>
    </row>
    <row r="1021" spans="3:8" x14ac:dyDescent="0.3">
      <c r="D1021" s="233" t="s">
        <v>870</v>
      </c>
      <c r="E1021" s="229">
        <v>70</v>
      </c>
      <c r="F1021" s="229"/>
      <c r="G1021" s="229"/>
      <c r="H1021" s="229"/>
    </row>
    <row r="1022" spans="3:8" x14ac:dyDescent="0.3">
      <c r="D1022" s="233" t="s">
        <v>174</v>
      </c>
      <c r="E1022" s="229">
        <v>3</v>
      </c>
      <c r="F1022" s="229"/>
      <c r="G1022" s="229"/>
      <c r="H1022" s="229"/>
    </row>
    <row r="1023" spans="3:8" x14ac:dyDescent="0.3">
      <c r="D1023" s="233" t="s">
        <v>646</v>
      </c>
      <c r="E1023" s="230">
        <v>2.5</v>
      </c>
      <c r="F1023" s="229"/>
      <c r="G1023" s="229"/>
      <c r="H1023" s="229"/>
    </row>
    <row r="1024" spans="3:8" x14ac:dyDescent="0.3">
      <c r="D1024" s="233" t="s">
        <v>27</v>
      </c>
      <c r="E1024" s="229">
        <v>750</v>
      </c>
      <c r="F1024" s="229"/>
      <c r="G1024" s="229"/>
      <c r="H1024" s="229"/>
    </row>
    <row r="1025" spans="3:8" x14ac:dyDescent="0.3">
      <c r="D1025" s="235"/>
      <c r="E1025" s="253">
        <f>SUM(E1017:E1024)</f>
        <v>1000.5</v>
      </c>
      <c r="F1025" s="253">
        <f t="shared" ref="F1025:H1025" si="6">SUM(F1017:F1024)</f>
        <v>0</v>
      </c>
      <c r="G1025" s="258">
        <f t="shared" si="6"/>
        <v>0</v>
      </c>
      <c r="H1025" s="258">
        <f t="shared" si="6"/>
        <v>0</v>
      </c>
    </row>
    <row r="1029" spans="3:8" ht="23.4" x14ac:dyDescent="0.45">
      <c r="D1029" s="221" t="s">
        <v>878</v>
      </c>
      <c r="E1029" s="222"/>
      <c r="F1029" s="222"/>
      <c r="G1029" s="222"/>
      <c r="H1029" s="222"/>
    </row>
    <row r="1030" spans="3:8" ht="46.8" x14ac:dyDescent="0.3">
      <c r="C1030" s="224">
        <v>11</v>
      </c>
      <c r="D1030" s="225" t="s">
        <v>0</v>
      </c>
      <c r="E1030" s="226" t="s">
        <v>1</v>
      </c>
      <c r="F1030" s="226" t="s">
        <v>407</v>
      </c>
      <c r="G1030" s="226" t="s">
        <v>126</v>
      </c>
      <c r="H1030" s="226" t="s">
        <v>408</v>
      </c>
    </row>
    <row r="1031" spans="3:8" ht="15.6" x14ac:dyDescent="0.3">
      <c r="D1031" s="289" t="s">
        <v>67</v>
      </c>
      <c r="E1031" s="229">
        <v>60</v>
      </c>
      <c r="F1031" s="229"/>
      <c r="G1031" s="229"/>
      <c r="H1031" s="229"/>
    </row>
    <row r="1032" spans="3:8" ht="15.6" x14ac:dyDescent="0.3">
      <c r="D1032" s="289" t="s">
        <v>68</v>
      </c>
      <c r="E1032" s="229">
        <v>60</v>
      </c>
      <c r="F1032" s="229"/>
      <c r="G1032" s="229"/>
      <c r="H1032" s="229"/>
    </row>
    <row r="1033" spans="3:8" ht="15.6" x14ac:dyDescent="0.3">
      <c r="D1033" s="289" t="s">
        <v>12</v>
      </c>
      <c r="E1033" s="229">
        <v>50</v>
      </c>
      <c r="F1033" s="229"/>
      <c r="G1033" s="229"/>
      <c r="H1033" s="229"/>
    </row>
    <row r="1034" spans="3:8" ht="15.6" x14ac:dyDescent="0.3">
      <c r="D1034" s="289" t="s">
        <v>726</v>
      </c>
      <c r="E1034" s="229">
        <v>15</v>
      </c>
      <c r="F1034" s="229"/>
      <c r="G1034" s="229"/>
      <c r="H1034" s="229"/>
    </row>
    <row r="1035" spans="3:8" ht="15.6" x14ac:dyDescent="0.3">
      <c r="D1035" s="289" t="s">
        <v>879</v>
      </c>
      <c r="E1035" s="230">
        <v>2</v>
      </c>
      <c r="F1035" s="229"/>
      <c r="G1035" s="229"/>
      <c r="H1035" s="229"/>
    </row>
    <row r="1036" spans="3:8" ht="15.6" x14ac:dyDescent="0.3">
      <c r="D1036" s="289" t="s">
        <v>19</v>
      </c>
      <c r="E1036" s="229">
        <v>34</v>
      </c>
      <c r="F1036" s="229"/>
      <c r="G1036" s="229"/>
      <c r="H1036" s="229"/>
    </row>
    <row r="1037" spans="3:8" ht="15.6" x14ac:dyDescent="0.3">
      <c r="D1037" s="289" t="s">
        <v>16</v>
      </c>
      <c r="E1037" s="229">
        <v>771</v>
      </c>
      <c r="F1037" s="229"/>
      <c r="G1037" s="229"/>
      <c r="H1037" s="229"/>
    </row>
    <row r="1038" spans="3:8" ht="15.6" x14ac:dyDescent="0.3">
      <c r="D1038" s="289" t="s">
        <v>60</v>
      </c>
      <c r="E1038" s="230">
        <v>2.5</v>
      </c>
      <c r="F1038" s="229"/>
      <c r="G1038" s="229"/>
      <c r="H1038" s="229"/>
    </row>
    <row r="1039" spans="3:8" ht="15.6" x14ac:dyDescent="0.3">
      <c r="D1039" s="290" t="s">
        <v>880</v>
      </c>
      <c r="E1039" s="262">
        <v>5</v>
      </c>
      <c r="F1039" s="262"/>
      <c r="G1039" s="262"/>
      <c r="H1039" s="262"/>
    </row>
    <row r="1042" spans="3:8" ht="23.4" x14ac:dyDescent="0.45">
      <c r="D1042" s="221" t="s">
        <v>881</v>
      </c>
      <c r="E1042" s="222"/>
      <c r="F1042" s="222"/>
      <c r="G1042" s="222"/>
      <c r="H1042" s="222"/>
    </row>
    <row r="1043" spans="3:8" ht="46.8" x14ac:dyDescent="0.3">
      <c r="C1043" s="224">
        <v>11</v>
      </c>
      <c r="D1043" s="225" t="s">
        <v>0</v>
      </c>
      <c r="E1043" s="226" t="s">
        <v>1</v>
      </c>
      <c r="F1043" s="226" t="s">
        <v>407</v>
      </c>
      <c r="G1043" s="226" t="s">
        <v>126</v>
      </c>
      <c r="H1043" s="226" t="s">
        <v>408</v>
      </c>
    </row>
    <row r="1044" spans="3:8" ht="15.6" x14ac:dyDescent="0.3">
      <c r="D1044" s="289" t="s">
        <v>67</v>
      </c>
      <c r="E1044" s="229">
        <v>70</v>
      </c>
      <c r="F1044" s="229"/>
      <c r="G1044" s="229"/>
      <c r="H1044" s="229"/>
    </row>
    <row r="1045" spans="3:8" ht="15.6" x14ac:dyDescent="0.3">
      <c r="D1045" s="289" t="s">
        <v>68</v>
      </c>
      <c r="E1045" s="229">
        <v>70</v>
      </c>
      <c r="F1045" s="229"/>
      <c r="G1045" s="229"/>
      <c r="H1045" s="229"/>
    </row>
    <row r="1046" spans="3:8" ht="15.6" x14ac:dyDescent="0.3">
      <c r="D1046" s="289" t="s">
        <v>244</v>
      </c>
      <c r="E1046" s="229">
        <v>20</v>
      </c>
      <c r="F1046" s="229"/>
      <c r="G1046" s="229"/>
      <c r="H1046" s="229"/>
    </row>
    <row r="1047" spans="3:8" ht="15.6" x14ac:dyDescent="0.3">
      <c r="D1047" s="289" t="s">
        <v>125</v>
      </c>
      <c r="E1047" s="229">
        <v>10</v>
      </c>
      <c r="F1047" s="229"/>
      <c r="G1047" s="229"/>
      <c r="H1047" s="229"/>
    </row>
    <row r="1048" spans="3:8" ht="15.6" x14ac:dyDescent="0.3">
      <c r="D1048" s="289" t="s">
        <v>872</v>
      </c>
      <c r="E1048" s="229">
        <v>15</v>
      </c>
      <c r="F1048" s="229"/>
      <c r="G1048" s="229"/>
      <c r="H1048" s="229"/>
    </row>
    <row r="1049" spans="3:8" ht="15.6" x14ac:dyDescent="0.3">
      <c r="D1049" s="289" t="s">
        <v>882</v>
      </c>
      <c r="E1049" s="229">
        <v>10</v>
      </c>
      <c r="F1049" s="229"/>
      <c r="G1049" s="229"/>
      <c r="H1049" s="229"/>
    </row>
    <row r="1050" spans="3:8" ht="15.6" x14ac:dyDescent="0.3">
      <c r="D1050" s="289" t="s">
        <v>19</v>
      </c>
      <c r="E1050" s="229">
        <v>30</v>
      </c>
      <c r="F1050" s="229"/>
      <c r="G1050" s="229"/>
      <c r="H1050" s="229"/>
    </row>
    <row r="1051" spans="3:8" ht="15.6" x14ac:dyDescent="0.3">
      <c r="D1051" s="289" t="s">
        <v>69</v>
      </c>
      <c r="E1051" s="229">
        <v>20</v>
      </c>
      <c r="F1051" s="229"/>
      <c r="G1051" s="229"/>
      <c r="H1051" s="229"/>
    </row>
    <row r="1052" spans="3:8" ht="15.6" x14ac:dyDescent="0.3">
      <c r="D1052" s="289" t="s">
        <v>16</v>
      </c>
      <c r="E1052" s="229">
        <v>752</v>
      </c>
      <c r="F1052" s="229"/>
      <c r="G1052" s="229"/>
      <c r="H1052" s="229"/>
    </row>
    <row r="1053" spans="3:8" ht="15.6" x14ac:dyDescent="0.3">
      <c r="D1053" s="289" t="s">
        <v>60</v>
      </c>
      <c r="E1053" s="230">
        <v>2.5</v>
      </c>
      <c r="F1053" s="229"/>
      <c r="G1053" s="229"/>
      <c r="H1053" s="229"/>
    </row>
    <row r="1054" spans="3:8" x14ac:dyDescent="0.3">
      <c r="D1054" s="235"/>
      <c r="E1054" s="291">
        <f>SUM(E1044:E1053)</f>
        <v>999.5</v>
      </c>
      <c r="F1054" s="291">
        <f>SUM(F1044:F1053)</f>
        <v>0</v>
      </c>
      <c r="G1054" s="294">
        <f>SUM(G1044:G1053)</f>
        <v>0</v>
      </c>
      <c r="H1054" s="294">
        <f>SUM(H1044:H1053)</f>
        <v>0</v>
      </c>
    </row>
    <row r="1055" spans="3:8" x14ac:dyDescent="0.3">
      <c r="D1055" s="295" t="s">
        <v>883</v>
      </c>
      <c r="E1055" s="222"/>
      <c r="F1055" s="222"/>
      <c r="G1055" s="222"/>
      <c r="H1055" s="223"/>
    </row>
    <row r="1059" spans="3:8" ht="23.4" x14ac:dyDescent="0.45">
      <c r="D1059" s="221" t="s">
        <v>888</v>
      </c>
      <c r="E1059" s="222"/>
      <c r="F1059" s="222"/>
      <c r="G1059" s="222"/>
      <c r="H1059" s="222"/>
    </row>
    <row r="1060" spans="3:8" ht="46.8" x14ac:dyDescent="0.3">
      <c r="C1060" s="224">
        <v>11</v>
      </c>
      <c r="D1060" s="225" t="s">
        <v>0</v>
      </c>
      <c r="E1060" s="226" t="s">
        <v>1</v>
      </c>
      <c r="F1060" s="226" t="s">
        <v>407</v>
      </c>
      <c r="G1060" s="226" t="s">
        <v>126</v>
      </c>
      <c r="H1060" s="226" t="s">
        <v>408</v>
      </c>
    </row>
    <row r="1061" spans="3:8" ht="15.6" x14ac:dyDescent="0.3">
      <c r="D1061" s="289" t="s">
        <v>16</v>
      </c>
      <c r="E1061" s="229">
        <v>717</v>
      </c>
      <c r="F1061" s="229"/>
      <c r="G1061" s="229"/>
      <c r="H1061" s="229"/>
    </row>
    <row r="1062" spans="3:8" ht="15.6" x14ac:dyDescent="0.3">
      <c r="D1062" s="289" t="s">
        <v>19</v>
      </c>
      <c r="E1062" s="229">
        <v>30</v>
      </c>
      <c r="F1062" s="229"/>
      <c r="G1062" s="229"/>
      <c r="H1062" s="229"/>
    </row>
    <row r="1063" spans="3:8" ht="15.6" x14ac:dyDescent="0.3">
      <c r="D1063" s="289" t="s">
        <v>125</v>
      </c>
      <c r="E1063" s="229">
        <v>10</v>
      </c>
      <c r="F1063" s="229"/>
      <c r="G1063" s="229"/>
      <c r="H1063" s="229"/>
    </row>
    <row r="1064" spans="3:8" ht="15.6" x14ac:dyDescent="0.3">
      <c r="D1064" s="289" t="s">
        <v>419</v>
      </c>
      <c r="E1064" s="229">
        <v>1</v>
      </c>
      <c r="F1064" s="229"/>
      <c r="G1064" s="229"/>
      <c r="H1064" s="229"/>
    </row>
    <row r="1065" spans="3:8" ht="15.6" x14ac:dyDescent="0.3">
      <c r="D1065" s="289" t="s">
        <v>493</v>
      </c>
      <c r="E1065" s="229">
        <v>3</v>
      </c>
      <c r="F1065" s="229"/>
      <c r="G1065" s="229"/>
      <c r="H1065" s="229"/>
    </row>
    <row r="1066" spans="3:8" ht="15.6" x14ac:dyDescent="0.3">
      <c r="D1066" s="289" t="s">
        <v>240</v>
      </c>
      <c r="E1066" s="229">
        <v>2</v>
      </c>
      <c r="F1066" s="229"/>
      <c r="G1066" s="229"/>
      <c r="H1066" s="229"/>
    </row>
    <row r="1067" spans="3:8" ht="15.6" x14ac:dyDescent="0.3">
      <c r="D1067" s="289" t="s">
        <v>889</v>
      </c>
      <c r="E1067" s="229">
        <v>10</v>
      </c>
      <c r="F1067" s="229"/>
      <c r="G1067" s="229"/>
      <c r="H1067" s="229"/>
    </row>
    <row r="1068" spans="3:8" ht="15.6" x14ac:dyDescent="0.3">
      <c r="D1068" s="289" t="s">
        <v>890</v>
      </c>
      <c r="E1068" s="229">
        <v>5</v>
      </c>
      <c r="F1068" s="229"/>
      <c r="G1068" s="229"/>
      <c r="H1068" s="229"/>
    </row>
    <row r="1069" spans="3:8" ht="15.6" x14ac:dyDescent="0.3">
      <c r="D1069" s="289" t="s">
        <v>891</v>
      </c>
      <c r="E1069" s="229">
        <v>10</v>
      </c>
      <c r="F1069" s="229"/>
      <c r="G1069" s="229"/>
      <c r="H1069" s="229"/>
    </row>
    <row r="1070" spans="3:8" ht="15.6" x14ac:dyDescent="0.3">
      <c r="D1070" s="289" t="s">
        <v>892</v>
      </c>
      <c r="E1070" s="229">
        <v>10</v>
      </c>
      <c r="F1070" s="229"/>
      <c r="G1070" s="229"/>
      <c r="H1070" s="229"/>
    </row>
    <row r="1071" spans="3:8" ht="15.6" x14ac:dyDescent="0.3">
      <c r="D1071" s="289" t="s">
        <v>60</v>
      </c>
      <c r="E1071" s="229">
        <v>2.5</v>
      </c>
      <c r="F1071" s="229"/>
      <c r="G1071" s="229"/>
      <c r="H1071" s="229"/>
    </row>
    <row r="1072" spans="3:8" ht="15.6" x14ac:dyDescent="0.3">
      <c r="D1072" s="289" t="s">
        <v>893</v>
      </c>
      <c r="E1072" s="229">
        <v>70</v>
      </c>
      <c r="F1072" s="229"/>
      <c r="G1072" s="229"/>
      <c r="H1072" s="229"/>
    </row>
    <row r="1073" spans="3:8" ht="15.6" x14ac:dyDescent="0.3">
      <c r="D1073" s="289" t="s">
        <v>372</v>
      </c>
      <c r="E1073" s="230">
        <v>70</v>
      </c>
      <c r="F1073" s="229"/>
      <c r="G1073" s="229"/>
      <c r="H1073" s="229"/>
    </row>
    <row r="1074" spans="3:8" x14ac:dyDescent="0.3">
      <c r="D1074" s="235"/>
      <c r="E1074" s="291">
        <f>SUM(E1061:E1073)</f>
        <v>940.5</v>
      </c>
      <c r="F1074" s="291">
        <f>SUM(F1061:F1073)</f>
        <v>0</v>
      </c>
      <c r="G1074" s="294">
        <f>SUM(G1061:G1073)</f>
        <v>0</v>
      </c>
      <c r="H1074" s="294">
        <f>SUM(H1061:H1073)</f>
        <v>0</v>
      </c>
    </row>
    <row r="1075" spans="3:8" x14ac:dyDescent="0.3">
      <c r="D1075" s="295" t="s">
        <v>883</v>
      </c>
      <c r="E1075" s="222"/>
      <c r="F1075" s="222"/>
      <c r="G1075" s="222"/>
      <c r="H1075" s="223"/>
    </row>
    <row r="1078" spans="3:8" ht="23.4" x14ac:dyDescent="0.45">
      <c r="D1078" s="221" t="s">
        <v>894</v>
      </c>
      <c r="E1078" s="222"/>
      <c r="F1078" s="222"/>
      <c r="G1078" s="222"/>
      <c r="H1078" s="222"/>
    </row>
    <row r="1079" spans="3:8" ht="46.8" x14ac:dyDescent="0.3">
      <c r="C1079" s="224">
        <v>11</v>
      </c>
      <c r="D1079" s="225" t="s">
        <v>0</v>
      </c>
      <c r="E1079" s="226" t="s">
        <v>1</v>
      </c>
      <c r="F1079" s="226" t="s">
        <v>407</v>
      </c>
      <c r="G1079" s="226" t="s">
        <v>126</v>
      </c>
      <c r="H1079" s="226" t="s">
        <v>408</v>
      </c>
    </row>
    <row r="1080" spans="3:8" ht="15.6" x14ac:dyDescent="0.3">
      <c r="D1080" s="289" t="s">
        <v>67</v>
      </c>
      <c r="E1080" s="229">
        <v>70</v>
      </c>
      <c r="F1080" s="229"/>
      <c r="G1080" s="229"/>
      <c r="H1080" s="229"/>
    </row>
    <row r="1081" spans="3:8" ht="15.6" x14ac:dyDescent="0.3">
      <c r="D1081" s="289" t="s">
        <v>68</v>
      </c>
      <c r="E1081" s="229">
        <v>70</v>
      </c>
      <c r="F1081" s="229"/>
      <c r="G1081" s="229"/>
      <c r="H1081" s="229"/>
    </row>
    <row r="1082" spans="3:8" ht="15.6" x14ac:dyDescent="0.3">
      <c r="D1082" s="289" t="s">
        <v>891</v>
      </c>
      <c r="E1082" s="229">
        <v>10</v>
      </c>
      <c r="F1082" s="229"/>
      <c r="G1082" s="229"/>
      <c r="H1082" s="229"/>
    </row>
    <row r="1083" spans="3:8" ht="15.6" x14ac:dyDescent="0.3">
      <c r="D1083" s="289" t="s">
        <v>895</v>
      </c>
      <c r="E1083" s="229">
        <v>10</v>
      </c>
      <c r="F1083" s="229"/>
      <c r="G1083" s="229"/>
      <c r="H1083" s="229"/>
    </row>
    <row r="1084" spans="3:8" ht="15.6" x14ac:dyDescent="0.3">
      <c r="D1084" s="289" t="s">
        <v>239</v>
      </c>
      <c r="E1084" s="229">
        <v>15</v>
      </c>
      <c r="F1084" s="229"/>
      <c r="G1084" s="229"/>
      <c r="H1084" s="229"/>
    </row>
    <row r="1085" spans="3:8" ht="15.6" x14ac:dyDescent="0.3">
      <c r="D1085" s="289" t="s">
        <v>484</v>
      </c>
      <c r="E1085" s="229">
        <v>1</v>
      </c>
      <c r="F1085" s="229"/>
      <c r="G1085" s="229"/>
      <c r="H1085" s="229"/>
    </row>
    <row r="1086" spans="3:8" ht="15.6" x14ac:dyDescent="0.3">
      <c r="D1086" s="289" t="s">
        <v>521</v>
      </c>
      <c r="E1086" s="229">
        <v>1</v>
      </c>
      <c r="F1086" s="229"/>
      <c r="G1086" s="229"/>
      <c r="H1086" s="229"/>
    </row>
    <row r="1087" spans="3:8" ht="15.6" x14ac:dyDescent="0.3">
      <c r="D1087" s="289" t="s">
        <v>174</v>
      </c>
      <c r="E1087" s="229">
        <v>2</v>
      </c>
      <c r="F1087" s="229"/>
      <c r="G1087" s="229"/>
      <c r="H1087" s="229"/>
    </row>
    <row r="1088" spans="3:8" ht="15.6" x14ac:dyDescent="0.3">
      <c r="D1088" s="289" t="s">
        <v>646</v>
      </c>
      <c r="E1088" s="229">
        <v>2</v>
      </c>
      <c r="F1088" s="229"/>
      <c r="G1088" s="229"/>
      <c r="H1088" s="229"/>
    </row>
    <row r="1089" spans="3:8" ht="15.6" x14ac:dyDescent="0.3">
      <c r="D1089" s="289" t="s">
        <v>16</v>
      </c>
      <c r="E1089" s="229">
        <v>817</v>
      </c>
      <c r="F1089" s="229"/>
      <c r="G1089" s="229"/>
      <c r="H1089" s="229"/>
    </row>
    <row r="1090" spans="3:8" ht="15.6" x14ac:dyDescent="0.3">
      <c r="D1090" s="289" t="s">
        <v>60</v>
      </c>
      <c r="E1090" s="229">
        <v>2</v>
      </c>
      <c r="F1090" s="229"/>
      <c r="G1090" s="229"/>
      <c r="H1090" s="229"/>
    </row>
    <row r="1091" spans="3:8" x14ac:dyDescent="0.3">
      <c r="D1091" s="235"/>
      <c r="E1091" s="253">
        <f>SUM(E1080:E1090)</f>
        <v>1000</v>
      </c>
      <c r="F1091" s="253">
        <f>SUM(F1080:F1090)</f>
        <v>0</v>
      </c>
      <c r="G1091" s="258">
        <f>SUM(G1080:G1090)</f>
        <v>0</v>
      </c>
      <c r="H1091" s="258">
        <f>SUM(H1080:H1090)</f>
        <v>0</v>
      </c>
    </row>
    <row r="1094" spans="3:8" ht="23.4" x14ac:dyDescent="0.45">
      <c r="D1094" s="172" t="s">
        <v>899</v>
      </c>
      <c r="E1094" s="173"/>
      <c r="F1094" s="173"/>
      <c r="G1094" s="173"/>
      <c r="H1094" s="173"/>
    </row>
    <row r="1095" spans="3:8" ht="46.8" x14ac:dyDescent="0.3">
      <c r="C1095" s="1">
        <v>4</v>
      </c>
      <c r="D1095" s="2" t="s">
        <v>0</v>
      </c>
      <c r="E1095" s="3" t="s">
        <v>1</v>
      </c>
      <c r="F1095" s="3" t="s">
        <v>640</v>
      </c>
      <c r="G1095" s="3" t="s">
        <v>548</v>
      </c>
      <c r="H1095" s="3" t="s">
        <v>408</v>
      </c>
    </row>
    <row r="1096" spans="3:8" x14ac:dyDescent="0.3">
      <c r="D1096" s="300" t="s">
        <v>78</v>
      </c>
      <c r="E1096" s="11">
        <v>50</v>
      </c>
      <c r="F1096" s="6"/>
      <c r="G1096" s="6"/>
      <c r="H1096" s="6"/>
    </row>
    <row r="1097" spans="3:8" x14ac:dyDescent="0.3">
      <c r="D1097" s="300" t="s">
        <v>632</v>
      </c>
      <c r="E1097" s="11">
        <v>50</v>
      </c>
      <c r="F1097" s="6"/>
      <c r="G1097" s="6"/>
      <c r="H1097" s="6"/>
    </row>
    <row r="1098" spans="3:8" x14ac:dyDescent="0.3">
      <c r="D1098" s="300" t="s">
        <v>892</v>
      </c>
      <c r="E1098" s="11">
        <v>30</v>
      </c>
      <c r="F1098" s="6"/>
      <c r="G1098" s="6"/>
      <c r="H1098" s="6"/>
    </row>
    <row r="1099" spans="3:8" x14ac:dyDescent="0.3">
      <c r="D1099" s="300" t="s">
        <v>16</v>
      </c>
      <c r="E1099" s="11">
        <v>590</v>
      </c>
      <c r="F1099" s="6"/>
      <c r="G1099" s="6"/>
      <c r="H1099" s="6"/>
    </row>
    <row r="1100" spans="3:8" x14ac:dyDescent="0.3">
      <c r="D1100" s="300" t="s">
        <v>900</v>
      </c>
      <c r="E1100" s="11">
        <v>121</v>
      </c>
      <c r="F1100" s="6"/>
      <c r="G1100" s="6"/>
      <c r="H1100" s="6"/>
    </row>
    <row r="1101" spans="3:8" x14ac:dyDescent="0.3">
      <c r="D1101" s="300" t="s">
        <v>60</v>
      </c>
      <c r="E1101" s="11">
        <v>2</v>
      </c>
      <c r="F1101" s="6"/>
      <c r="G1101" s="6"/>
      <c r="H1101" s="6"/>
    </row>
    <row r="1102" spans="3:8" x14ac:dyDescent="0.3">
      <c r="D1102" s="24" t="s">
        <v>901</v>
      </c>
      <c r="E1102" s="11">
        <v>18</v>
      </c>
      <c r="F1102" s="6"/>
      <c r="G1102" s="6"/>
      <c r="H1102" s="6"/>
    </row>
    <row r="1103" spans="3:8" x14ac:dyDescent="0.3">
      <c r="D1103" s="24" t="s">
        <v>43</v>
      </c>
      <c r="E1103" s="11">
        <v>18</v>
      </c>
      <c r="F1103" s="6"/>
      <c r="G1103" s="6"/>
      <c r="H1103" s="6"/>
    </row>
    <row r="1104" spans="3:8" x14ac:dyDescent="0.3">
      <c r="D1104" s="300" t="s">
        <v>902</v>
      </c>
      <c r="E1104" s="6">
        <v>18</v>
      </c>
      <c r="F1104" s="6"/>
      <c r="G1104" s="6"/>
      <c r="H1104" s="6"/>
    </row>
    <row r="1105" spans="3:8" x14ac:dyDescent="0.3">
      <c r="D1105" s="300" t="s">
        <v>903</v>
      </c>
      <c r="E1105" s="11">
        <v>3.5</v>
      </c>
      <c r="F1105" s="6"/>
      <c r="G1105" s="6"/>
      <c r="H1105" s="6"/>
    </row>
    <row r="1106" spans="3:8" x14ac:dyDescent="0.3">
      <c r="D1106" s="300" t="s">
        <v>904</v>
      </c>
      <c r="E1106" s="98">
        <v>1.2</v>
      </c>
      <c r="F1106" s="97"/>
      <c r="G1106" s="97"/>
      <c r="H1106" s="97"/>
    </row>
    <row r="1107" spans="3:8" x14ac:dyDescent="0.3">
      <c r="D1107" s="300" t="s">
        <v>905</v>
      </c>
      <c r="E1107" s="98">
        <v>0.6</v>
      </c>
      <c r="F1107" s="97"/>
      <c r="G1107" s="97"/>
      <c r="H1107" s="97"/>
    </row>
    <row r="1108" spans="3:8" x14ac:dyDescent="0.3">
      <c r="D1108" s="300" t="s">
        <v>484</v>
      </c>
      <c r="E1108" s="98">
        <v>2</v>
      </c>
      <c r="F1108" s="97"/>
      <c r="G1108" s="97"/>
      <c r="H1108" s="97"/>
    </row>
    <row r="1109" spans="3:8" x14ac:dyDescent="0.3">
      <c r="D1109" s="300" t="s">
        <v>638</v>
      </c>
      <c r="E1109" s="98">
        <v>38.5</v>
      </c>
      <c r="F1109" s="97"/>
      <c r="G1109" s="97"/>
      <c r="H1109" s="97"/>
    </row>
    <row r="1110" spans="3:8" x14ac:dyDescent="0.3">
      <c r="D1110" s="27"/>
      <c r="E1110" s="19">
        <f>SUM(E1096:E1109)</f>
        <v>942.80000000000007</v>
      </c>
      <c r="F1110" s="19"/>
      <c r="G1110" s="153"/>
      <c r="H1110" s="154"/>
    </row>
    <row r="1113" spans="3:8" ht="23.4" x14ac:dyDescent="0.45">
      <c r="D1113" s="266" t="s">
        <v>582</v>
      </c>
      <c r="E1113" s="222"/>
      <c r="F1113" s="222"/>
      <c r="G1113" s="222"/>
      <c r="H1113" s="222"/>
    </row>
    <row r="1114" spans="3:8" ht="46.8" x14ac:dyDescent="0.3">
      <c r="C1114" s="224">
        <v>11</v>
      </c>
      <c r="D1114" s="225" t="s">
        <v>0</v>
      </c>
      <c r="E1114" s="226" t="s">
        <v>1</v>
      </c>
      <c r="F1114" s="226" t="s">
        <v>407</v>
      </c>
      <c r="G1114" s="226" t="s">
        <v>126</v>
      </c>
      <c r="H1114" s="226" t="s">
        <v>408</v>
      </c>
    </row>
    <row r="1115" spans="3:8" ht="15.6" x14ac:dyDescent="0.3">
      <c r="D1115" s="289" t="s">
        <v>16</v>
      </c>
      <c r="E1115" s="229">
        <v>845</v>
      </c>
      <c r="F1115" s="229"/>
      <c r="G1115" s="229"/>
      <c r="H1115" s="229"/>
    </row>
    <row r="1116" spans="3:8" ht="15.6" x14ac:dyDescent="0.3">
      <c r="D1116" s="289" t="s">
        <v>67</v>
      </c>
      <c r="E1116" s="229">
        <v>70</v>
      </c>
      <c r="F1116" s="229"/>
      <c r="G1116" s="229"/>
      <c r="H1116" s="229"/>
    </row>
    <row r="1117" spans="3:8" ht="15.6" x14ac:dyDescent="0.3">
      <c r="D1117" s="289" t="s">
        <v>372</v>
      </c>
      <c r="E1117" s="229">
        <v>70</v>
      </c>
      <c r="F1117" s="229"/>
      <c r="G1117" s="229"/>
      <c r="H1117" s="229"/>
    </row>
    <row r="1118" spans="3:8" ht="15.6" x14ac:dyDescent="0.3">
      <c r="D1118" s="289" t="s">
        <v>536</v>
      </c>
      <c r="E1118" s="229">
        <v>10</v>
      </c>
      <c r="F1118" s="229"/>
      <c r="G1118" s="229"/>
      <c r="H1118" s="229"/>
    </row>
    <row r="1119" spans="3:8" ht="15.6" x14ac:dyDescent="0.3">
      <c r="D1119" s="289" t="s">
        <v>252</v>
      </c>
      <c r="E1119" s="229">
        <v>3</v>
      </c>
      <c r="F1119" s="229"/>
      <c r="G1119" s="229"/>
      <c r="H1119" s="229"/>
    </row>
    <row r="1120" spans="3:8" ht="15.6" x14ac:dyDescent="0.3">
      <c r="D1120" s="289" t="s">
        <v>909</v>
      </c>
      <c r="E1120" s="230">
        <v>0.5</v>
      </c>
      <c r="F1120" s="229"/>
      <c r="G1120" s="229"/>
      <c r="H1120" s="229"/>
    </row>
    <row r="1121" spans="3:8" ht="15.6" x14ac:dyDescent="0.3">
      <c r="D1121" s="289" t="s">
        <v>646</v>
      </c>
      <c r="E1121" s="230">
        <v>2.5</v>
      </c>
      <c r="F1121" s="229"/>
      <c r="G1121" s="229"/>
      <c r="H1121" s="229"/>
    </row>
    <row r="1122" spans="3:8" x14ac:dyDescent="0.3">
      <c r="D1122" s="235"/>
      <c r="E1122" s="253">
        <f>SUM(E1115:E1121)</f>
        <v>1001</v>
      </c>
      <c r="F1122" s="253">
        <f>SUM(F1115:F1121)</f>
        <v>0</v>
      </c>
      <c r="G1122" s="258">
        <f>SUM(G1115:G1121)</f>
        <v>0</v>
      </c>
      <c r="H1122" s="258">
        <f>SUM(H1115:H1121)</f>
        <v>0</v>
      </c>
    </row>
    <row r="1125" spans="3:8" ht="23.4" x14ac:dyDescent="0.45">
      <c r="D1125" s="266" t="s">
        <v>913</v>
      </c>
      <c r="E1125" s="222"/>
      <c r="F1125" s="222"/>
      <c r="G1125" s="222"/>
      <c r="H1125" s="222"/>
    </row>
    <row r="1126" spans="3:8" ht="46.8" x14ac:dyDescent="0.3">
      <c r="C1126" s="224">
        <v>11</v>
      </c>
      <c r="D1126" s="225" t="s">
        <v>0</v>
      </c>
      <c r="E1126" s="226" t="s">
        <v>1</v>
      </c>
      <c r="F1126" s="226" t="s">
        <v>407</v>
      </c>
      <c r="G1126" s="226" t="s">
        <v>126</v>
      </c>
      <c r="H1126" s="226" t="s">
        <v>408</v>
      </c>
    </row>
    <row r="1127" spans="3:8" ht="15.6" x14ac:dyDescent="0.3">
      <c r="D1127" s="302" t="s">
        <v>16</v>
      </c>
      <c r="E1127" s="35">
        <v>845</v>
      </c>
      <c r="F1127" s="229"/>
      <c r="G1127" s="229"/>
      <c r="H1127" s="229"/>
    </row>
    <row r="1128" spans="3:8" ht="15.6" x14ac:dyDescent="0.3">
      <c r="D1128" s="289" t="s">
        <v>67</v>
      </c>
      <c r="E1128" s="262">
        <v>70</v>
      </c>
      <c r="F1128" s="229"/>
      <c r="G1128" s="229"/>
      <c r="H1128" s="229"/>
    </row>
    <row r="1129" spans="3:8" ht="15.6" x14ac:dyDescent="0.3">
      <c r="D1129" s="289" t="s">
        <v>372</v>
      </c>
      <c r="E1129" s="229">
        <v>70</v>
      </c>
      <c r="F1129" s="229"/>
      <c r="G1129" s="229"/>
      <c r="H1129" s="229"/>
    </row>
    <row r="1130" spans="3:8" ht="15.6" x14ac:dyDescent="0.3">
      <c r="D1130" s="289" t="s">
        <v>914</v>
      </c>
      <c r="E1130" s="229">
        <v>10</v>
      </c>
      <c r="F1130" s="229"/>
      <c r="G1130" s="229"/>
      <c r="H1130" s="229"/>
    </row>
    <row r="1131" spans="3:8" ht="15.6" x14ac:dyDescent="0.3">
      <c r="D1131" s="289" t="s">
        <v>565</v>
      </c>
      <c r="E1131" s="304">
        <v>3</v>
      </c>
      <c r="F1131" s="229"/>
      <c r="G1131" s="229"/>
      <c r="H1131" s="229"/>
    </row>
    <row r="1132" spans="3:8" ht="15.6" x14ac:dyDescent="0.3">
      <c r="D1132" s="289" t="s">
        <v>909</v>
      </c>
      <c r="E1132" s="230">
        <v>0.5</v>
      </c>
      <c r="F1132" s="229"/>
      <c r="G1132" s="229"/>
      <c r="H1132" s="229"/>
    </row>
    <row r="1133" spans="3:8" ht="15.6" x14ac:dyDescent="0.3">
      <c r="D1133" s="289" t="s">
        <v>646</v>
      </c>
      <c r="E1133" s="230">
        <v>2.5</v>
      </c>
      <c r="F1133" s="229"/>
      <c r="G1133" s="229"/>
      <c r="H1133" s="229"/>
    </row>
    <row r="1134" spans="3:8" x14ac:dyDescent="0.3">
      <c r="D1134" s="235"/>
      <c r="E1134" s="253">
        <f>SUM(E1127:E1133)</f>
        <v>1001</v>
      </c>
      <c r="F1134" s="253">
        <f>SUM(F1127:F1133)</f>
        <v>0</v>
      </c>
      <c r="G1134" s="258">
        <f>SUM(G1127:G1133)</f>
        <v>0</v>
      </c>
      <c r="H1134" s="258">
        <f>SUM(H1127:H1133)</f>
        <v>0</v>
      </c>
    </row>
    <row r="1137" spans="3:9" ht="23.4" x14ac:dyDescent="0.45">
      <c r="D1137" s="266" t="s">
        <v>918</v>
      </c>
      <c r="E1137" s="222"/>
      <c r="F1137" s="222"/>
      <c r="G1137" s="222"/>
      <c r="H1137" s="222"/>
    </row>
    <row r="1138" spans="3:9" ht="46.8" x14ac:dyDescent="0.3">
      <c r="C1138" s="224">
        <v>11</v>
      </c>
      <c r="D1138" s="225" t="s">
        <v>0</v>
      </c>
      <c r="E1138" s="226" t="s">
        <v>1</v>
      </c>
      <c r="F1138" s="226" t="s">
        <v>407</v>
      </c>
      <c r="G1138" s="226" t="s">
        <v>126</v>
      </c>
      <c r="H1138" s="226" t="s">
        <v>408</v>
      </c>
    </row>
    <row r="1139" spans="3:9" ht="15.6" x14ac:dyDescent="0.3">
      <c r="D1139" s="302" t="s">
        <v>67</v>
      </c>
      <c r="E1139" s="35">
        <v>70</v>
      </c>
      <c r="F1139" s="229"/>
      <c r="G1139" s="229"/>
      <c r="H1139" s="229"/>
    </row>
    <row r="1140" spans="3:9" ht="15.6" x14ac:dyDescent="0.3">
      <c r="D1140" s="289" t="s">
        <v>372</v>
      </c>
      <c r="E1140" s="262">
        <v>70</v>
      </c>
      <c r="F1140" s="229"/>
      <c r="G1140" s="229"/>
      <c r="H1140" s="229"/>
    </row>
    <row r="1141" spans="3:9" ht="15.6" x14ac:dyDescent="0.3">
      <c r="D1141" s="289" t="s">
        <v>919</v>
      </c>
      <c r="E1141" s="229">
        <v>15</v>
      </c>
      <c r="F1141" s="229"/>
      <c r="G1141" s="229"/>
      <c r="H1141" s="229"/>
    </row>
    <row r="1142" spans="3:9" ht="15.6" x14ac:dyDescent="0.3">
      <c r="D1142" s="289" t="s">
        <v>70</v>
      </c>
      <c r="E1142" s="229">
        <v>10</v>
      </c>
      <c r="F1142" s="229"/>
      <c r="G1142" s="229"/>
      <c r="H1142" s="229"/>
    </row>
    <row r="1143" spans="3:9" ht="15.6" x14ac:dyDescent="0.3">
      <c r="D1143" s="289" t="s">
        <v>173</v>
      </c>
      <c r="E1143" s="304">
        <v>825</v>
      </c>
      <c r="F1143" s="229"/>
      <c r="G1143" s="229"/>
      <c r="H1143" s="229"/>
    </row>
    <row r="1144" spans="3:9" ht="15.6" x14ac:dyDescent="0.3">
      <c r="D1144" s="289" t="s">
        <v>6</v>
      </c>
      <c r="E1144" s="230">
        <v>5</v>
      </c>
      <c r="F1144" s="229"/>
      <c r="G1144" s="229"/>
      <c r="H1144" s="229"/>
    </row>
    <row r="1145" spans="3:9" ht="15.6" x14ac:dyDescent="0.3">
      <c r="D1145" s="289" t="s">
        <v>380</v>
      </c>
      <c r="E1145" s="230">
        <v>2</v>
      </c>
      <c r="F1145" s="229"/>
      <c r="G1145" s="229"/>
      <c r="H1145" s="229"/>
    </row>
    <row r="1146" spans="3:9" ht="15.6" x14ac:dyDescent="0.3">
      <c r="D1146" s="290" t="s">
        <v>635</v>
      </c>
      <c r="E1146" s="259">
        <v>2.5</v>
      </c>
      <c r="F1146" s="262"/>
      <c r="G1146" s="262"/>
      <c r="H1146" s="262"/>
    </row>
    <row r="1147" spans="3:9" x14ac:dyDescent="0.3">
      <c r="D1147" s="235"/>
      <c r="E1147" s="253">
        <f>SUM(E1139:E1146)</f>
        <v>999.5</v>
      </c>
      <c r="F1147" s="253">
        <f>SUM(F1139:F1145)</f>
        <v>0</v>
      </c>
      <c r="G1147" s="258">
        <f>SUM(G1139:G1145)</f>
        <v>0</v>
      </c>
      <c r="H1147" s="258">
        <f>SUM(H1139:H1145)</f>
        <v>0</v>
      </c>
    </row>
    <row r="1149" spans="3:9" ht="23.4" x14ac:dyDescent="0.45">
      <c r="D1149" s="172" t="s">
        <v>922</v>
      </c>
      <c r="E1149" s="173"/>
      <c r="F1149" s="173"/>
      <c r="G1149" s="173"/>
      <c r="H1149" s="173"/>
      <c r="I1149" s="174"/>
    </row>
    <row r="1150" spans="3:9" ht="46.8" x14ac:dyDescent="0.3">
      <c r="C1150" s="1"/>
      <c r="D1150" s="2" t="s">
        <v>0</v>
      </c>
      <c r="E1150" s="3" t="s">
        <v>1</v>
      </c>
      <c r="F1150" s="3" t="s">
        <v>747</v>
      </c>
      <c r="G1150" s="3" t="s">
        <v>46</v>
      </c>
      <c r="H1150" s="3" t="s">
        <v>581</v>
      </c>
      <c r="I1150" s="4"/>
    </row>
    <row r="1151" spans="3:9" x14ac:dyDescent="0.3">
      <c r="D1151" s="5" t="s">
        <v>864</v>
      </c>
      <c r="E1151" s="11">
        <v>650</v>
      </c>
      <c r="F1151" s="6"/>
      <c r="G1151" s="6"/>
      <c r="H1151" s="6"/>
      <c r="I1151" s="10" t="s">
        <v>7</v>
      </c>
    </row>
    <row r="1152" spans="3:9" x14ac:dyDescent="0.3">
      <c r="D1152" s="24" t="s">
        <v>442</v>
      </c>
      <c r="E1152" s="11">
        <v>50</v>
      </c>
      <c r="F1152" s="6"/>
      <c r="G1152" s="6"/>
      <c r="H1152" s="6"/>
      <c r="I1152" s="10"/>
    </row>
    <row r="1153" spans="3:9" x14ac:dyDescent="0.3">
      <c r="D1153" s="5" t="s">
        <v>9</v>
      </c>
      <c r="E1153" s="6">
        <v>30</v>
      </c>
      <c r="F1153" s="6"/>
      <c r="G1153" s="6"/>
      <c r="H1153" s="6"/>
      <c r="I1153" s="10" t="s">
        <v>7</v>
      </c>
    </row>
    <row r="1154" spans="3:9" x14ac:dyDescent="0.3">
      <c r="D1154" s="5" t="s">
        <v>760</v>
      </c>
      <c r="E1154" s="6">
        <v>80</v>
      </c>
      <c r="F1154" s="6"/>
      <c r="G1154" s="6"/>
      <c r="H1154" s="6"/>
      <c r="I1154" s="10"/>
    </row>
    <row r="1155" spans="3:9" x14ac:dyDescent="0.3">
      <c r="D1155" s="5" t="s">
        <v>675</v>
      </c>
      <c r="E1155" s="6">
        <v>60</v>
      </c>
      <c r="F1155" s="6"/>
      <c r="G1155" s="6"/>
      <c r="H1155" s="6"/>
      <c r="I1155" s="10"/>
    </row>
    <row r="1156" spans="3:9" x14ac:dyDescent="0.3">
      <c r="D1156" s="5" t="s">
        <v>368</v>
      </c>
      <c r="E1156" s="6">
        <v>50</v>
      </c>
      <c r="F1156" s="6"/>
      <c r="G1156" s="6"/>
      <c r="H1156" s="6"/>
      <c r="I1156" s="10"/>
    </row>
    <row r="1157" spans="3:9" x14ac:dyDescent="0.3">
      <c r="D1157" s="5" t="s">
        <v>67</v>
      </c>
      <c r="E1157" s="6">
        <v>70</v>
      </c>
      <c r="F1157" s="6"/>
      <c r="G1157" s="6"/>
      <c r="H1157" s="6"/>
      <c r="I1157" s="10"/>
    </row>
    <row r="1158" spans="3:9" x14ac:dyDescent="0.3">
      <c r="D1158" s="5" t="s">
        <v>241</v>
      </c>
      <c r="E1158" s="6">
        <v>20</v>
      </c>
      <c r="F1158" s="6"/>
      <c r="G1158" s="6"/>
      <c r="H1158" s="6"/>
      <c r="I1158" s="10" t="s">
        <v>7</v>
      </c>
    </row>
    <row r="1159" spans="3:9" x14ac:dyDescent="0.3">
      <c r="D1159" s="5" t="s">
        <v>923</v>
      </c>
      <c r="E1159" s="6">
        <v>20</v>
      </c>
      <c r="F1159" s="6"/>
      <c r="G1159" s="6"/>
      <c r="H1159" s="6"/>
      <c r="I1159" s="5" t="s">
        <v>7</v>
      </c>
    </row>
    <row r="1160" spans="3:9" x14ac:dyDescent="0.3">
      <c r="D1160" s="24" t="s">
        <v>60</v>
      </c>
      <c r="E1160" s="32">
        <v>2.5</v>
      </c>
      <c r="F1160" s="6"/>
      <c r="G1160" s="6"/>
      <c r="H1160" s="6"/>
      <c r="I1160" s="5"/>
    </row>
    <row r="1161" spans="3:9" x14ac:dyDescent="0.3">
      <c r="D1161" s="27"/>
      <c r="E1161" s="19">
        <f>SUM(E1151:E1160)</f>
        <v>1032.5</v>
      </c>
      <c r="F1161" s="13">
        <f>SUM(F1151:F1160)</f>
        <v>0</v>
      </c>
      <c r="G1161" s="128">
        <f>SUM(G1151:G1160)</f>
        <v>0</v>
      </c>
      <c r="H1161" s="84">
        <f>SUM(H1151:H1160)</f>
        <v>0</v>
      </c>
      <c r="I1161" s="17"/>
    </row>
    <row r="1164" spans="3:9" ht="23.4" x14ac:dyDescent="0.45">
      <c r="D1164" s="221" t="s">
        <v>925</v>
      </c>
      <c r="E1164" s="222"/>
      <c r="F1164" s="222"/>
      <c r="G1164" s="222"/>
      <c r="H1164" s="222"/>
      <c r="I1164" s="222"/>
    </row>
    <row r="1165" spans="3:9" ht="46.8" x14ac:dyDescent="0.3">
      <c r="C1165" s="224">
        <v>12</v>
      </c>
      <c r="D1165" s="225" t="s">
        <v>0</v>
      </c>
      <c r="E1165" s="226" t="s">
        <v>135</v>
      </c>
      <c r="F1165" s="226" t="s">
        <v>926</v>
      </c>
      <c r="G1165" s="226" t="s">
        <v>819</v>
      </c>
      <c r="H1165" s="226"/>
      <c r="I1165" s="226" t="s">
        <v>126</v>
      </c>
    </row>
    <row r="1166" spans="3:9" x14ac:dyDescent="0.3">
      <c r="D1166" s="228" t="s">
        <v>927</v>
      </c>
      <c r="E1166" s="229">
        <v>140</v>
      </c>
      <c r="F1166" s="230"/>
      <c r="G1166" s="231">
        <f>(F1166/1000)*E1166</f>
        <v>0</v>
      </c>
      <c r="H1166" s="229"/>
      <c r="I1166" s="229"/>
    </row>
    <row r="1167" spans="3:9" x14ac:dyDescent="0.3">
      <c r="D1167" s="228" t="s">
        <v>79</v>
      </c>
      <c r="E1167" s="229">
        <v>20</v>
      </c>
      <c r="F1167" s="230"/>
      <c r="G1167" s="231"/>
      <c r="H1167" s="229"/>
      <c r="I1167" s="229"/>
    </row>
    <row r="1168" spans="3:9" x14ac:dyDescent="0.3">
      <c r="D1168" s="228" t="s">
        <v>103</v>
      </c>
      <c r="E1168" s="229">
        <v>950</v>
      </c>
      <c r="F1168" s="230"/>
      <c r="G1168" s="231"/>
      <c r="H1168" s="229"/>
      <c r="I1168" s="229"/>
    </row>
    <row r="1169" spans="3:11" x14ac:dyDescent="0.3">
      <c r="D1169" s="228" t="s">
        <v>240</v>
      </c>
      <c r="E1169" s="229">
        <v>10</v>
      </c>
      <c r="F1169" s="230"/>
      <c r="G1169" s="231"/>
      <c r="H1169" s="229"/>
      <c r="I1169" s="229"/>
    </row>
    <row r="1170" spans="3:11" x14ac:dyDescent="0.3">
      <c r="D1170" s="235"/>
      <c r="E1170" s="253">
        <f>SUM(E1166:E1169)</f>
        <v>1120</v>
      </c>
      <c r="F1170" s="254"/>
      <c r="G1170" s="255">
        <f>SUM(G1166:G1169)</f>
        <v>0</v>
      </c>
      <c r="H1170" s="253">
        <f>SUM(H1166:H1169)</f>
        <v>0</v>
      </c>
      <c r="I1170" s="258">
        <f>SUM(I1166:I1169)</f>
        <v>0</v>
      </c>
    </row>
    <row r="1175" spans="3:11" ht="23.4" x14ac:dyDescent="0.45">
      <c r="D1175" s="221" t="s">
        <v>928</v>
      </c>
      <c r="E1175" s="222"/>
      <c r="F1175" s="222"/>
      <c r="G1175" s="222"/>
      <c r="H1175" s="222"/>
      <c r="I1175" s="222"/>
      <c r="J1175" s="222"/>
      <c r="K1175" s="223"/>
    </row>
    <row r="1176" spans="3:11" ht="46.8" x14ac:dyDescent="0.3">
      <c r="C1176" s="224">
        <v>12</v>
      </c>
      <c r="D1176" s="225" t="s">
        <v>0</v>
      </c>
      <c r="E1176" s="226" t="s">
        <v>135</v>
      </c>
      <c r="F1176" s="226" t="s">
        <v>926</v>
      </c>
      <c r="G1176" s="226" t="s">
        <v>819</v>
      </c>
      <c r="H1176" s="226"/>
      <c r="I1176" s="226" t="s">
        <v>126</v>
      </c>
      <c r="J1176" s="226" t="s">
        <v>408</v>
      </c>
      <c r="K1176" s="227"/>
    </row>
    <row r="1177" spans="3:11" x14ac:dyDescent="0.3">
      <c r="D1177" s="228" t="s">
        <v>78</v>
      </c>
      <c r="E1177" s="229">
        <v>130</v>
      </c>
      <c r="F1177" s="230"/>
      <c r="G1177" s="231">
        <f>(F1177/1000)*E1177</f>
        <v>0</v>
      </c>
      <c r="H1177" s="229"/>
      <c r="I1177" s="229"/>
      <c r="J1177" s="229"/>
      <c r="K1177" s="232" t="s">
        <v>7</v>
      </c>
    </row>
    <row r="1178" spans="3:11" x14ac:dyDescent="0.3">
      <c r="D1178" s="228" t="s">
        <v>929</v>
      </c>
      <c r="E1178" s="229">
        <v>40</v>
      </c>
      <c r="F1178" s="230"/>
      <c r="G1178" s="231"/>
      <c r="H1178" s="229"/>
      <c r="I1178" s="229"/>
      <c r="J1178" s="229"/>
      <c r="K1178" s="232"/>
    </row>
    <row r="1179" spans="3:11" x14ac:dyDescent="0.3">
      <c r="D1179" s="228" t="s">
        <v>275</v>
      </c>
      <c r="E1179" s="229">
        <v>50</v>
      </c>
      <c r="F1179" s="230"/>
      <c r="G1179" s="231"/>
      <c r="H1179" s="229"/>
      <c r="I1179" s="229"/>
      <c r="J1179" s="229"/>
      <c r="K1179" s="232"/>
    </row>
    <row r="1180" spans="3:11" x14ac:dyDescent="0.3">
      <c r="D1180" s="228" t="s">
        <v>930</v>
      </c>
      <c r="E1180" s="229">
        <v>150</v>
      </c>
      <c r="F1180" s="230"/>
      <c r="G1180" s="231"/>
      <c r="H1180" s="229"/>
      <c r="I1180" s="229"/>
      <c r="J1180" s="229"/>
      <c r="K1180" s="232"/>
    </row>
    <row r="1181" spans="3:11" x14ac:dyDescent="0.3">
      <c r="D1181" s="228" t="s">
        <v>340</v>
      </c>
      <c r="E1181" s="229">
        <v>15</v>
      </c>
      <c r="F1181" s="230"/>
      <c r="G1181" s="231"/>
      <c r="H1181" s="229"/>
      <c r="I1181" s="229"/>
      <c r="J1181" s="229"/>
      <c r="K1181" s="232"/>
    </row>
    <row r="1182" spans="3:11" x14ac:dyDescent="0.3">
      <c r="D1182" s="228" t="s">
        <v>729</v>
      </c>
      <c r="E1182" s="229">
        <v>15</v>
      </c>
      <c r="F1182" s="230"/>
      <c r="G1182" s="231"/>
      <c r="H1182" s="229"/>
      <c r="I1182" s="229"/>
      <c r="J1182" s="229"/>
      <c r="K1182" s="232"/>
    </row>
    <row r="1183" spans="3:11" x14ac:dyDescent="0.3">
      <c r="D1183" s="228" t="s">
        <v>240</v>
      </c>
      <c r="E1183" s="229">
        <v>2</v>
      </c>
      <c r="F1183" s="230"/>
      <c r="G1183" s="231"/>
      <c r="H1183" s="229"/>
      <c r="I1183" s="229"/>
      <c r="J1183" s="229"/>
      <c r="K1183" s="232"/>
    </row>
    <row r="1184" spans="3:11" x14ac:dyDescent="0.3">
      <c r="D1184" s="228" t="s">
        <v>537</v>
      </c>
      <c r="E1184" s="229">
        <v>1</v>
      </c>
      <c r="F1184" s="230"/>
      <c r="G1184" s="231"/>
      <c r="H1184" s="229"/>
      <c r="I1184" s="229"/>
      <c r="J1184" s="229"/>
      <c r="K1184" s="232"/>
    </row>
    <row r="1185" spans="3:11" x14ac:dyDescent="0.3">
      <c r="D1185" s="228" t="s">
        <v>813</v>
      </c>
      <c r="E1185" s="229">
        <v>597</v>
      </c>
      <c r="F1185" s="230"/>
      <c r="G1185" s="231"/>
      <c r="H1185" s="229"/>
      <c r="I1185" s="229"/>
      <c r="J1185" s="229"/>
      <c r="K1185" s="232"/>
    </row>
    <row r="1186" spans="3:11" x14ac:dyDescent="0.3">
      <c r="D1186" s="235"/>
      <c r="E1186" s="253">
        <f>SUM(E1177:E1185)</f>
        <v>1000</v>
      </c>
      <c r="F1186" s="254"/>
      <c r="G1186" s="255">
        <f>SUM(G1177:G1185)</f>
        <v>0</v>
      </c>
      <c r="H1186" s="253">
        <f>SUM(H1177:H1185)</f>
        <v>0</v>
      </c>
      <c r="I1186" s="258">
        <f>SUM(I1177:I1185)</f>
        <v>0</v>
      </c>
      <c r="J1186" s="258">
        <f>SUM(J1177:J1185)</f>
        <v>0</v>
      </c>
      <c r="K1186" s="257"/>
    </row>
    <row r="1189" spans="3:11" ht="23.4" x14ac:dyDescent="0.45">
      <c r="D1189" s="221" t="s">
        <v>934</v>
      </c>
      <c r="E1189" s="222"/>
      <c r="F1189" s="222"/>
      <c r="G1189" s="222"/>
      <c r="H1189" s="222"/>
      <c r="I1189" s="222"/>
      <c r="J1189" s="222"/>
      <c r="K1189" s="223"/>
    </row>
    <row r="1190" spans="3:11" ht="46.8" x14ac:dyDescent="0.3">
      <c r="C1190" s="224">
        <v>4</v>
      </c>
      <c r="D1190" s="225" t="s">
        <v>0</v>
      </c>
      <c r="E1190" s="226" t="s">
        <v>135</v>
      </c>
      <c r="F1190" s="226" t="s">
        <v>926</v>
      </c>
      <c r="G1190" s="226" t="s">
        <v>935</v>
      </c>
      <c r="H1190" s="226"/>
      <c r="I1190" s="226" t="s">
        <v>126</v>
      </c>
      <c r="J1190" s="226" t="s">
        <v>408</v>
      </c>
      <c r="K1190" s="227"/>
    </row>
    <row r="1191" spans="3:11" x14ac:dyDescent="0.3">
      <c r="D1191" s="228" t="s">
        <v>675</v>
      </c>
      <c r="E1191" s="229">
        <v>990</v>
      </c>
      <c r="F1191" s="230"/>
      <c r="G1191" s="231">
        <f>(F1191/1000)*E1191</f>
        <v>0</v>
      </c>
      <c r="H1191" s="229"/>
      <c r="I1191" s="229"/>
      <c r="J1191" s="229"/>
      <c r="K1191" s="232" t="s">
        <v>7</v>
      </c>
    </row>
    <row r="1192" spans="3:11" x14ac:dyDescent="0.3">
      <c r="D1192" s="228" t="s">
        <v>936</v>
      </c>
      <c r="E1192" s="229">
        <v>5</v>
      </c>
      <c r="F1192" s="230"/>
      <c r="G1192" s="231"/>
      <c r="H1192" s="229"/>
      <c r="I1192" s="229"/>
      <c r="J1192" s="229"/>
      <c r="K1192" s="232"/>
    </row>
    <row r="1193" spans="3:11" x14ac:dyDescent="0.3">
      <c r="D1193" s="228" t="s">
        <v>937</v>
      </c>
      <c r="E1193" s="229">
        <v>5</v>
      </c>
      <c r="F1193" s="230"/>
      <c r="G1193" s="231"/>
      <c r="H1193" s="229"/>
      <c r="I1193" s="229"/>
      <c r="J1193" s="229"/>
      <c r="K1193" s="232"/>
    </row>
    <row r="1194" spans="3:11" x14ac:dyDescent="0.3">
      <c r="D1194" s="235"/>
      <c r="E1194" s="253">
        <f>SUM(E1191:E1193)</f>
        <v>1000</v>
      </c>
      <c r="F1194" s="254"/>
      <c r="G1194" s="255">
        <f t="shared" ref="G1194:J1194" si="7">SUM(G1191:G1193)</f>
        <v>0</v>
      </c>
      <c r="H1194" s="253">
        <f t="shared" si="7"/>
        <v>0</v>
      </c>
      <c r="I1194" s="258">
        <f t="shared" si="7"/>
        <v>0</v>
      </c>
      <c r="J1194" s="258">
        <f t="shared" si="7"/>
        <v>0</v>
      </c>
      <c r="K1194" s="257"/>
    </row>
    <row r="1197" spans="3:11" ht="23.4" x14ac:dyDescent="0.45">
      <c r="D1197" s="221" t="s">
        <v>938</v>
      </c>
      <c r="E1197" s="222"/>
      <c r="F1197" s="222"/>
      <c r="G1197" s="222"/>
      <c r="H1197" s="222"/>
      <c r="I1197" s="222"/>
      <c r="J1197" s="222"/>
      <c r="K1197" s="223"/>
    </row>
    <row r="1198" spans="3:11" ht="46.8" x14ac:dyDescent="0.3">
      <c r="C1198" s="224">
        <v>4</v>
      </c>
      <c r="D1198" s="225" t="s">
        <v>0</v>
      </c>
      <c r="E1198" s="226" t="s">
        <v>135</v>
      </c>
      <c r="F1198" s="226" t="s">
        <v>926</v>
      </c>
      <c r="G1198" s="226" t="s">
        <v>935</v>
      </c>
      <c r="H1198" s="226"/>
      <c r="I1198" s="226" t="s">
        <v>126</v>
      </c>
      <c r="J1198" s="226" t="s">
        <v>408</v>
      </c>
      <c r="K1198" s="227"/>
    </row>
    <row r="1199" spans="3:11" x14ac:dyDescent="0.3">
      <c r="D1199" s="228" t="s">
        <v>675</v>
      </c>
      <c r="E1199" s="229">
        <v>983</v>
      </c>
      <c r="F1199" s="230"/>
      <c r="G1199" s="231">
        <f>(F1199/1000)*E1199</f>
        <v>0</v>
      </c>
      <c r="H1199" s="229"/>
      <c r="I1199" s="229"/>
      <c r="J1199" s="229"/>
      <c r="K1199" s="232" t="s">
        <v>7</v>
      </c>
    </row>
    <row r="1200" spans="3:11" x14ac:dyDescent="0.3">
      <c r="D1200" s="228" t="s">
        <v>939</v>
      </c>
      <c r="E1200" s="229">
        <v>15</v>
      </c>
      <c r="F1200" s="230"/>
      <c r="G1200" s="231"/>
      <c r="H1200" s="229"/>
      <c r="I1200" s="229"/>
      <c r="J1200" s="229"/>
      <c r="K1200" s="232"/>
    </row>
    <row r="1201" spans="3:11" x14ac:dyDescent="0.3">
      <c r="D1201" s="228" t="s">
        <v>484</v>
      </c>
      <c r="E1201" s="229">
        <v>2</v>
      </c>
      <c r="F1201" s="230"/>
      <c r="G1201" s="231"/>
      <c r="H1201" s="229"/>
      <c r="I1201" s="229"/>
      <c r="J1201" s="229"/>
      <c r="K1201" s="232"/>
    </row>
    <row r="1202" spans="3:11" x14ac:dyDescent="0.3">
      <c r="D1202" s="235"/>
      <c r="E1202" s="253">
        <f>SUM(E1199:E1201)</f>
        <v>1000</v>
      </c>
      <c r="F1202" s="254"/>
      <c r="G1202" s="255">
        <f>SUM(G1199:G1201)</f>
        <v>0</v>
      </c>
      <c r="H1202" s="253">
        <f>SUM(H1199:H1201)</f>
        <v>0</v>
      </c>
      <c r="I1202" s="258">
        <f>SUM(I1199:I1201)</f>
        <v>0</v>
      </c>
      <c r="J1202" s="258">
        <f>SUM(J1199:J1201)</f>
        <v>0</v>
      </c>
      <c r="K1202" s="257"/>
    </row>
    <row r="1205" spans="3:11" ht="23.4" x14ac:dyDescent="0.45">
      <c r="D1205" s="221" t="s">
        <v>940</v>
      </c>
      <c r="E1205" s="222"/>
      <c r="F1205" s="222"/>
      <c r="G1205" s="222"/>
      <c r="H1205" s="222"/>
      <c r="I1205" s="222"/>
      <c r="J1205" s="222"/>
      <c r="K1205" s="223"/>
    </row>
    <row r="1206" spans="3:11" ht="46.8" x14ac:dyDescent="0.3">
      <c r="C1206" s="224">
        <v>4</v>
      </c>
      <c r="D1206" s="225" t="s">
        <v>0</v>
      </c>
      <c r="E1206" s="226" t="s">
        <v>135</v>
      </c>
      <c r="F1206" s="226" t="s">
        <v>926</v>
      </c>
      <c r="G1206" s="226" t="s">
        <v>935</v>
      </c>
      <c r="H1206" s="226"/>
      <c r="I1206" s="226" t="s">
        <v>126</v>
      </c>
      <c r="J1206" s="226" t="s">
        <v>408</v>
      </c>
      <c r="K1206" s="227"/>
    </row>
    <row r="1207" spans="3:11" x14ac:dyDescent="0.3">
      <c r="D1207" s="228" t="s">
        <v>78</v>
      </c>
      <c r="E1207" s="229">
        <v>30</v>
      </c>
      <c r="F1207" s="230"/>
      <c r="G1207" s="231">
        <f>(F1207/1000)*E1207</f>
        <v>0</v>
      </c>
      <c r="H1207" s="229"/>
      <c r="I1207" s="229"/>
      <c r="J1207" s="229"/>
      <c r="K1207" s="232" t="s">
        <v>7</v>
      </c>
    </row>
    <row r="1208" spans="3:11" x14ac:dyDescent="0.3">
      <c r="D1208" s="228" t="s">
        <v>79</v>
      </c>
      <c r="E1208" s="229">
        <v>50</v>
      </c>
      <c r="F1208" s="230"/>
      <c r="G1208" s="231"/>
      <c r="H1208" s="229"/>
      <c r="I1208" s="229"/>
      <c r="J1208" s="229"/>
      <c r="K1208" s="232"/>
    </row>
    <row r="1209" spans="3:11" x14ac:dyDescent="0.3">
      <c r="D1209" s="228" t="s">
        <v>675</v>
      </c>
      <c r="E1209" s="229">
        <v>920</v>
      </c>
      <c r="F1209" s="230"/>
      <c r="G1209" s="231"/>
      <c r="H1209" s="229"/>
      <c r="I1209" s="229"/>
      <c r="J1209" s="229"/>
      <c r="K1209" s="232"/>
    </row>
    <row r="1210" spans="3:11" x14ac:dyDescent="0.3">
      <c r="D1210" s="235"/>
      <c r="E1210" s="253">
        <f>SUM(E1207:E1209)</f>
        <v>1000</v>
      </c>
      <c r="F1210" s="254"/>
      <c r="G1210" s="255">
        <f>SUM(G1207:G1209)</f>
        <v>0</v>
      </c>
      <c r="H1210" s="253">
        <f>SUM(H1207:H1209)</f>
        <v>0</v>
      </c>
      <c r="I1210" s="258">
        <f>SUM(I1207:I1209)</f>
        <v>0</v>
      </c>
      <c r="J1210" s="258">
        <f>SUM(J1207:J1209)</f>
        <v>0</v>
      </c>
      <c r="K1210" s="257"/>
    </row>
    <row r="1214" spans="3:11" ht="23.4" x14ac:dyDescent="0.45">
      <c r="D1214" s="269" t="s">
        <v>941</v>
      </c>
      <c r="E1214" s="270"/>
      <c r="F1214" s="270"/>
      <c r="G1214" s="270"/>
      <c r="H1214" s="270"/>
      <c r="I1214" s="270"/>
      <c r="J1214" s="270"/>
    </row>
    <row r="1215" spans="3:11" ht="46.8" x14ac:dyDescent="0.3">
      <c r="C1215" s="224">
        <v>4</v>
      </c>
      <c r="D1215" s="225" t="s">
        <v>0</v>
      </c>
      <c r="E1215" s="226" t="s">
        <v>1</v>
      </c>
      <c r="F1215" s="226"/>
      <c r="G1215" s="226"/>
      <c r="H1215" s="226" t="s">
        <v>577</v>
      </c>
      <c r="I1215" s="226" t="s">
        <v>576</v>
      </c>
      <c r="J1215" s="226" t="s">
        <v>408</v>
      </c>
    </row>
    <row r="1216" spans="3:11" x14ac:dyDescent="0.3">
      <c r="D1216" s="228" t="s">
        <v>573</v>
      </c>
      <c r="E1216" s="230">
        <v>650</v>
      </c>
      <c r="F1216" s="230"/>
      <c r="G1216" s="231"/>
      <c r="H1216" s="229">
        <f t="shared" ref="H1216:H1219" si="8">(F1216*50)</f>
        <v>0</v>
      </c>
      <c r="I1216" s="229">
        <f t="shared" ref="I1216:I1219" si="9">(F1216*50)</f>
        <v>0</v>
      </c>
      <c r="J1216" s="229">
        <f t="shared" ref="J1216:J1219" si="10">(F1216*50)</f>
        <v>0</v>
      </c>
    </row>
    <row r="1217" spans="3:11" x14ac:dyDescent="0.3">
      <c r="D1217" s="228" t="s">
        <v>574</v>
      </c>
      <c r="E1217" s="230">
        <v>250</v>
      </c>
      <c r="F1217" s="230"/>
      <c r="G1217" s="231"/>
      <c r="H1217" s="229">
        <f t="shared" si="8"/>
        <v>0</v>
      </c>
      <c r="I1217" s="229">
        <f t="shared" si="9"/>
        <v>0</v>
      </c>
      <c r="J1217" s="229">
        <f t="shared" si="10"/>
        <v>0</v>
      </c>
    </row>
    <row r="1218" spans="3:11" x14ac:dyDescent="0.3">
      <c r="D1218" s="233" t="s">
        <v>21</v>
      </c>
      <c r="E1218" s="230">
        <v>100</v>
      </c>
      <c r="F1218" s="230"/>
      <c r="G1218" s="231"/>
      <c r="H1218" s="229">
        <f t="shared" si="8"/>
        <v>0</v>
      </c>
      <c r="I1218" s="229">
        <f t="shared" si="9"/>
        <v>0</v>
      </c>
      <c r="J1218" s="229">
        <f t="shared" si="10"/>
        <v>0</v>
      </c>
    </row>
    <row r="1219" spans="3:11" x14ac:dyDescent="0.3">
      <c r="D1219" s="228" t="s">
        <v>484</v>
      </c>
      <c r="E1219" s="229">
        <v>5</v>
      </c>
      <c r="F1219" s="229"/>
      <c r="G1219" s="231"/>
      <c r="H1219" s="229">
        <f t="shared" si="8"/>
        <v>0</v>
      </c>
      <c r="I1219" s="229">
        <f t="shared" si="9"/>
        <v>0</v>
      </c>
      <c r="J1219" s="229">
        <f t="shared" si="10"/>
        <v>0</v>
      </c>
    </row>
    <row r="1220" spans="3:11" x14ac:dyDescent="0.3">
      <c r="D1220" s="235"/>
      <c r="E1220" s="253">
        <f>SUM(E1216:E1219)</f>
        <v>1005</v>
      </c>
      <c r="F1220" s="254"/>
      <c r="G1220" s="255"/>
      <c r="H1220" s="253">
        <f t="shared" ref="H1220:J1220" si="11">SUM(H1216:H1219)</f>
        <v>0</v>
      </c>
      <c r="I1220" s="258">
        <f t="shared" si="11"/>
        <v>0</v>
      </c>
      <c r="J1220" s="258">
        <f t="shared" si="11"/>
        <v>0</v>
      </c>
    </row>
    <row r="1223" spans="3:11" ht="23.4" x14ac:dyDescent="0.45">
      <c r="D1223" s="266" t="s">
        <v>955</v>
      </c>
      <c r="E1223" s="222"/>
      <c r="F1223" s="222"/>
      <c r="G1223" s="222"/>
      <c r="H1223" s="222"/>
      <c r="I1223" s="222"/>
      <c r="J1223" s="222"/>
      <c r="K1223" s="223"/>
    </row>
    <row r="1224" spans="3:11" ht="46.8" x14ac:dyDescent="0.3">
      <c r="C1224" s="224">
        <v>16</v>
      </c>
      <c r="D1224" s="225" t="s">
        <v>0</v>
      </c>
      <c r="E1224" s="226" t="s">
        <v>135</v>
      </c>
      <c r="F1224" s="226" t="s">
        <v>926</v>
      </c>
      <c r="G1224" s="226" t="s">
        <v>819</v>
      </c>
      <c r="H1224" s="226"/>
      <c r="I1224" s="226" t="s">
        <v>126</v>
      </c>
      <c r="J1224" s="226" t="s">
        <v>408</v>
      </c>
      <c r="K1224" s="227"/>
    </row>
    <row r="1225" spans="3:11" x14ac:dyDescent="0.3">
      <c r="D1225" s="228" t="s">
        <v>951</v>
      </c>
      <c r="E1225" s="229">
        <v>945</v>
      </c>
      <c r="F1225" s="230"/>
      <c r="G1225" s="231">
        <f>(F1225/1000)*E1225</f>
        <v>0</v>
      </c>
      <c r="H1225" s="229"/>
      <c r="I1225" s="229"/>
      <c r="J1225" s="229"/>
      <c r="K1225" s="232" t="s">
        <v>7</v>
      </c>
    </row>
    <row r="1226" spans="3:11" x14ac:dyDescent="0.3">
      <c r="D1226" s="228" t="s">
        <v>952</v>
      </c>
      <c r="E1226" s="229">
        <v>20</v>
      </c>
      <c r="F1226" s="230"/>
      <c r="G1226" s="231"/>
      <c r="H1226" s="229"/>
      <c r="I1226" s="229"/>
      <c r="J1226" s="229"/>
      <c r="K1226" s="232"/>
    </row>
    <row r="1227" spans="3:11" x14ac:dyDescent="0.3">
      <c r="D1227" s="228" t="s">
        <v>537</v>
      </c>
      <c r="E1227" s="229">
        <v>10</v>
      </c>
      <c r="F1227" s="230"/>
      <c r="G1227" s="231"/>
      <c r="H1227" s="229"/>
      <c r="I1227" s="229"/>
      <c r="J1227" s="229"/>
      <c r="K1227" s="232"/>
    </row>
    <row r="1228" spans="3:11" x14ac:dyDescent="0.3">
      <c r="D1228" s="228" t="s">
        <v>59</v>
      </c>
      <c r="E1228" s="229">
        <v>20</v>
      </c>
      <c r="F1228" s="230"/>
      <c r="G1228" s="231"/>
      <c r="H1228" s="229"/>
      <c r="I1228" s="229"/>
      <c r="J1228" s="229"/>
      <c r="K1228" s="232"/>
    </row>
    <row r="1229" spans="3:11" x14ac:dyDescent="0.3">
      <c r="D1229" s="228" t="s">
        <v>953</v>
      </c>
      <c r="E1229" s="229">
        <v>2</v>
      </c>
      <c r="F1229" s="230"/>
      <c r="G1229" s="231"/>
      <c r="H1229" s="229"/>
      <c r="I1229" s="229"/>
      <c r="J1229" s="229"/>
      <c r="K1229" s="232"/>
    </row>
    <row r="1230" spans="3:11" x14ac:dyDescent="0.3">
      <c r="D1230" s="235"/>
      <c r="E1230" s="253">
        <f>SUM(E1225:E1229)</f>
        <v>997</v>
      </c>
      <c r="F1230" s="254"/>
      <c r="G1230" s="255">
        <f>SUM(G1225:G1229)</f>
        <v>0</v>
      </c>
      <c r="H1230" s="253">
        <f>SUM(H1225:H1229)</f>
        <v>0</v>
      </c>
      <c r="I1230" s="258">
        <f>SUM(I1225:I1229)</f>
        <v>0</v>
      </c>
      <c r="J1230" s="258">
        <f>SUM(J1225:J1229)</f>
        <v>0</v>
      </c>
      <c r="K1230" s="257"/>
    </row>
    <row r="1234" spans="3:11" ht="23.4" x14ac:dyDescent="0.45">
      <c r="D1234" s="266" t="s">
        <v>956</v>
      </c>
      <c r="E1234" s="222"/>
      <c r="F1234" s="222"/>
      <c r="G1234" s="222"/>
      <c r="H1234" s="222"/>
      <c r="I1234" s="222"/>
      <c r="J1234" s="222"/>
      <c r="K1234" s="223"/>
    </row>
    <row r="1235" spans="3:11" ht="46.8" x14ac:dyDescent="0.3">
      <c r="C1235" s="224">
        <v>16</v>
      </c>
      <c r="D1235" s="225" t="s">
        <v>0</v>
      </c>
      <c r="E1235" s="226" t="s">
        <v>135</v>
      </c>
      <c r="F1235" s="226" t="s">
        <v>926</v>
      </c>
      <c r="G1235" s="226" t="s">
        <v>819</v>
      </c>
      <c r="H1235" s="226"/>
      <c r="I1235" s="226" t="s">
        <v>126</v>
      </c>
      <c r="J1235" s="226" t="s">
        <v>408</v>
      </c>
      <c r="K1235" s="227"/>
    </row>
    <row r="1236" spans="3:11" x14ac:dyDescent="0.3">
      <c r="D1236" s="228" t="s">
        <v>173</v>
      </c>
      <c r="E1236" s="229">
        <v>850</v>
      </c>
      <c r="F1236" s="230"/>
      <c r="G1236" s="231">
        <f>(F1236/1000)*E1236</f>
        <v>0</v>
      </c>
      <c r="H1236" s="229"/>
      <c r="I1236" s="229"/>
      <c r="J1236" s="229"/>
      <c r="K1236" s="232" t="s">
        <v>7</v>
      </c>
    </row>
    <row r="1237" spans="3:11" x14ac:dyDescent="0.3">
      <c r="D1237" s="228" t="s">
        <v>59</v>
      </c>
      <c r="E1237" s="229">
        <v>40</v>
      </c>
      <c r="F1237" s="230"/>
      <c r="G1237" s="231"/>
      <c r="H1237" s="229"/>
      <c r="I1237" s="229"/>
      <c r="J1237" s="229"/>
      <c r="K1237" s="232"/>
    </row>
    <row r="1238" spans="3:11" x14ac:dyDescent="0.3">
      <c r="D1238" s="228" t="s">
        <v>9</v>
      </c>
      <c r="E1238" s="229">
        <v>20</v>
      </c>
      <c r="F1238" s="230"/>
      <c r="G1238" s="231"/>
      <c r="H1238" s="229"/>
      <c r="I1238" s="229"/>
      <c r="J1238" s="229"/>
      <c r="K1238" s="232"/>
    </row>
    <row r="1239" spans="3:11" x14ac:dyDescent="0.3">
      <c r="D1239" s="228" t="s">
        <v>642</v>
      </c>
      <c r="E1239" s="229">
        <v>40</v>
      </c>
      <c r="F1239" s="230"/>
      <c r="G1239" s="231"/>
      <c r="H1239" s="229"/>
      <c r="I1239" s="229"/>
      <c r="J1239" s="229"/>
      <c r="K1239" s="232"/>
    </row>
    <row r="1240" spans="3:11" x14ac:dyDescent="0.3">
      <c r="D1240" s="228" t="s">
        <v>957</v>
      </c>
      <c r="E1240" s="229">
        <v>15</v>
      </c>
      <c r="F1240" s="230"/>
      <c r="G1240" s="231"/>
      <c r="H1240" s="229"/>
      <c r="I1240" s="229"/>
      <c r="J1240" s="229"/>
      <c r="K1240" s="232"/>
    </row>
    <row r="1241" spans="3:11" x14ac:dyDescent="0.3">
      <c r="D1241" s="228" t="s">
        <v>875</v>
      </c>
      <c r="E1241" s="229">
        <v>3</v>
      </c>
      <c r="F1241" s="230"/>
      <c r="G1241" s="231"/>
      <c r="H1241" s="229"/>
      <c r="I1241" s="229"/>
      <c r="J1241" s="229"/>
      <c r="K1241" s="232"/>
    </row>
    <row r="1242" spans="3:11" x14ac:dyDescent="0.3">
      <c r="D1242" s="228" t="s">
        <v>424</v>
      </c>
      <c r="E1242" s="229">
        <v>1</v>
      </c>
      <c r="F1242" s="230"/>
      <c r="G1242" s="231"/>
      <c r="H1242" s="229"/>
      <c r="I1242" s="229"/>
      <c r="J1242" s="229"/>
      <c r="K1242" s="232"/>
    </row>
    <row r="1243" spans="3:11" x14ac:dyDescent="0.3">
      <c r="D1243" s="228" t="s">
        <v>958</v>
      </c>
      <c r="E1243" s="229">
        <v>20</v>
      </c>
      <c r="F1243" s="230"/>
      <c r="G1243" s="231"/>
      <c r="H1243" s="229"/>
      <c r="I1243" s="229"/>
      <c r="J1243" s="229"/>
      <c r="K1243" s="232"/>
    </row>
    <row r="1244" spans="3:11" x14ac:dyDescent="0.3">
      <c r="D1244" s="228" t="s">
        <v>921</v>
      </c>
      <c r="E1244" s="229">
        <v>5</v>
      </c>
      <c r="F1244" s="230"/>
      <c r="G1244" s="231"/>
      <c r="H1244" s="229"/>
      <c r="I1244" s="229"/>
      <c r="J1244" s="229"/>
      <c r="K1244" s="232"/>
    </row>
    <row r="1245" spans="3:11" x14ac:dyDescent="0.3">
      <c r="D1245" s="228" t="s">
        <v>28</v>
      </c>
      <c r="E1245" s="229">
        <v>3</v>
      </c>
      <c r="F1245" s="230"/>
      <c r="G1245" s="231"/>
      <c r="H1245" s="229"/>
      <c r="I1245" s="229"/>
      <c r="J1245" s="229"/>
      <c r="K1245" s="232"/>
    </row>
    <row r="1246" spans="3:11" x14ac:dyDescent="0.3">
      <c r="D1246" s="228" t="s">
        <v>231</v>
      </c>
      <c r="E1246" s="229">
        <v>2</v>
      </c>
      <c r="F1246" s="230"/>
      <c r="G1246" s="231"/>
      <c r="H1246" s="229"/>
      <c r="I1246" s="229"/>
      <c r="J1246" s="229"/>
      <c r="K1246" s="232"/>
    </row>
    <row r="1247" spans="3:11" x14ac:dyDescent="0.3">
      <c r="D1247" s="308" t="s">
        <v>174</v>
      </c>
      <c r="E1247" s="262" t="s">
        <v>959</v>
      </c>
      <c r="F1247" s="259"/>
      <c r="G1247" s="261"/>
      <c r="H1247" s="262"/>
      <c r="I1247" s="262"/>
      <c r="J1247" s="262"/>
      <c r="K1247" s="263"/>
    </row>
    <row r="1248" spans="3:11" x14ac:dyDescent="0.3">
      <c r="D1248" s="235"/>
      <c r="E1248" s="253">
        <f>SUM(E1236:E1246)</f>
        <v>999</v>
      </c>
      <c r="F1248" s="254"/>
      <c r="G1248" s="255">
        <f>SUM(G1236:G1246)</f>
        <v>0</v>
      </c>
      <c r="H1248" s="253">
        <f>SUM(H1236:H1246)</f>
        <v>0</v>
      </c>
      <c r="I1248" s="258">
        <f>SUM(I1236:I1246)</f>
        <v>0</v>
      </c>
      <c r="J1248" s="258">
        <f>SUM(J1236:J1246)</f>
        <v>0</v>
      </c>
      <c r="K1248" s="257"/>
    </row>
    <row r="1251" spans="3:11" ht="23.4" x14ac:dyDescent="0.45">
      <c r="D1251" s="221" t="s">
        <v>968</v>
      </c>
      <c r="E1251" s="222"/>
      <c r="F1251" s="222"/>
      <c r="G1251" s="222"/>
      <c r="H1251" s="222"/>
      <c r="I1251" s="222"/>
      <c r="J1251" s="222"/>
      <c r="K1251" s="223"/>
    </row>
    <row r="1252" spans="3:11" ht="46.8" x14ac:dyDescent="0.3">
      <c r="C1252" s="224">
        <v>16</v>
      </c>
      <c r="D1252" s="225" t="s">
        <v>0</v>
      </c>
      <c r="E1252" s="226" t="s">
        <v>135</v>
      </c>
      <c r="F1252" s="226" t="s">
        <v>926</v>
      </c>
      <c r="G1252" s="226" t="s">
        <v>819</v>
      </c>
      <c r="H1252" s="226"/>
      <c r="I1252" s="226" t="s">
        <v>126</v>
      </c>
      <c r="J1252" s="226" t="s">
        <v>408</v>
      </c>
      <c r="K1252" s="227"/>
    </row>
    <row r="1253" spans="3:11" x14ac:dyDescent="0.3">
      <c r="D1253" s="228" t="s">
        <v>173</v>
      </c>
      <c r="E1253" s="229">
        <v>883</v>
      </c>
      <c r="F1253" s="230"/>
      <c r="G1253" s="231">
        <f>(F1253/1000)*E1253</f>
        <v>0</v>
      </c>
      <c r="H1253" s="229"/>
      <c r="I1253" s="229"/>
      <c r="J1253" s="229"/>
      <c r="K1253" s="232" t="s">
        <v>7</v>
      </c>
    </row>
    <row r="1254" spans="3:11" x14ac:dyDescent="0.3">
      <c r="D1254" s="228" t="s">
        <v>19</v>
      </c>
      <c r="E1254" s="229">
        <v>30</v>
      </c>
      <c r="F1254" s="230"/>
      <c r="G1254" s="231"/>
      <c r="H1254" s="229"/>
      <c r="I1254" s="229"/>
      <c r="J1254" s="229"/>
      <c r="K1254" s="232"/>
    </row>
    <row r="1255" spans="3:11" x14ac:dyDescent="0.3">
      <c r="D1255" s="228" t="s">
        <v>9</v>
      </c>
      <c r="E1255" s="229">
        <v>30</v>
      </c>
      <c r="F1255" s="230"/>
      <c r="G1255" s="231"/>
      <c r="H1255" s="229"/>
      <c r="I1255" s="229"/>
      <c r="J1255" s="229"/>
      <c r="K1255" s="232"/>
    </row>
    <row r="1256" spans="3:11" x14ac:dyDescent="0.3">
      <c r="D1256" s="228" t="s">
        <v>521</v>
      </c>
      <c r="E1256" s="229">
        <v>10</v>
      </c>
      <c r="F1256" s="230"/>
      <c r="G1256" s="231"/>
      <c r="H1256" s="229"/>
      <c r="I1256" s="229"/>
      <c r="J1256" s="229"/>
      <c r="K1256" s="232"/>
    </row>
    <row r="1257" spans="3:11" x14ac:dyDescent="0.3">
      <c r="D1257" s="228" t="s">
        <v>875</v>
      </c>
      <c r="E1257" s="229">
        <v>2</v>
      </c>
      <c r="F1257" s="230"/>
      <c r="G1257" s="231"/>
      <c r="H1257" s="229"/>
      <c r="I1257" s="229"/>
      <c r="J1257" s="229"/>
      <c r="K1257" s="232"/>
    </row>
    <row r="1258" spans="3:11" x14ac:dyDescent="0.3">
      <c r="D1258" s="228" t="s">
        <v>559</v>
      </c>
      <c r="E1258" s="229">
        <v>20</v>
      </c>
      <c r="F1258" s="230"/>
      <c r="G1258" s="231"/>
      <c r="H1258" s="229"/>
      <c r="I1258" s="229"/>
      <c r="J1258" s="229"/>
      <c r="K1258" s="232"/>
    </row>
    <row r="1259" spans="3:11" x14ac:dyDescent="0.3">
      <c r="D1259" s="228" t="s">
        <v>654</v>
      </c>
      <c r="E1259" s="229">
        <v>10</v>
      </c>
      <c r="F1259" s="230"/>
      <c r="G1259" s="231"/>
      <c r="H1259" s="229"/>
      <c r="I1259" s="229"/>
      <c r="J1259" s="229"/>
      <c r="K1259" s="232"/>
    </row>
    <row r="1260" spans="3:11" x14ac:dyDescent="0.3">
      <c r="D1260" s="228" t="s">
        <v>967</v>
      </c>
      <c r="E1260" s="229">
        <v>5</v>
      </c>
      <c r="F1260" s="230"/>
      <c r="G1260" s="231"/>
      <c r="H1260" s="229"/>
      <c r="I1260" s="229"/>
      <c r="J1260" s="229"/>
      <c r="K1260" s="232"/>
    </row>
    <row r="1261" spans="3:11" x14ac:dyDescent="0.3">
      <c r="D1261" s="228" t="s">
        <v>966</v>
      </c>
      <c r="E1261" s="229">
        <v>5</v>
      </c>
      <c r="F1261" s="230"/>
      <c r="G1261" s="231"/>
      <c r="H1261" s="229"/>
      <c r="I1261" s="229"/>
      <c r="J1261" s="229"/>
      <c r="K1261" s="232"/>
    </row>
    <row r="1262" spans="3:11" x14ac:dyDescent="0.3">
      <c r="D1262" s="228" t="s">
        <v>28</v>
      </c>
      <c r="E1262" s="229">
        <v>3</v>
      </c>
      <c r="F1262" s="230"/>
      <c r="G1262" s="231"/>
      <c r="H1262" s="229"/>
      <c r="I1262" s="229"/>
      <c r="J1262" s="229"/>
      <c r="K1262" s="232"/>
    </row>
    <row r="1263" spans="3:11" x14ac:dyDescent="0.3">
      <c r="D1263" s="228" t="s">
        <v>29</v>
      </c>
      <c r="E1263" s="229">
        <v>2</v>
      </c>
      <c r="F1263" s="230"/>
      <c r="G1263" s="231"/>
      <c r="H1263" s="229"/>
      <c r="I1263" s="229"/>
      <c r="J1263" s="229"/>
      <c r="K1263" s="232"/>
    </row>
    <row r="1264" spans="3:11" x14ac:dyDescent="0.3">
      <c r="D1264" s="228" t="s">
        <v>51</v>
      </c>
      <c r="E1264" s="268">
        <v>0.03</v>
      </c>
      <c r="F1264" s="230"/>
      <c r="G1264" s="231"/>
      <c r="H1264" s="229"/>
      <c r="I1264" s="229"/>
      <c r="J1264" s="229"/>
      <c r="K1264" s="232"/>
    </row>
    <row r="1265" spans="3:11" x14ac:dyDescent="0.3">
      <c r="D1265" s="235"/>
      <c r="E1265" s="253">
        <f>SUM(E1253:E1264)</f>
        <v>1000.03</v>
      </c>
      <c r="F1265" s="254"/>
      <c r="G1265" s="255">
        <f>SUM(G1253:G1264)</f>
        <v>0</v>
      </c>
      <c r="H1265" s="253">
        <f>SUM(H1253:H1264)</f>
        <v>0</v>
      </c>
      <c r="I1265" s="258">
        <f>SUM(I1253:I1264)</f>
        <v>0</v>
      </c>
      <c r="J1265" s="258">
        <f>SUM(J1253:J1264)</f>
        <v>0</v>
      </c>
      <c r="K1265" s="257"/>
    </row>
    <row r="1268" spans="3:11" ht="23.4" x14ac:dyDescent="0.45">
      <c r="D1268" s="221" t="s">
        <v>975</v>
      </c>
      <c r="E1268" s="222"/>
      <c r="F1268" s="222"/>
      <c r="G1268" s="222"/>
      <c r="H1268" s="222"/>
      <c r="I1268" s="222"/>
      <c r="J1268" s="222"/>
      <c r="K1268" s="223"/>
    </row>
    <row r="1269" spans="3:11" ht="46.8" x14ac:dyDescent="0.3">
      <c r="C1269" s="224">
        <v>15</v>
      </c>
      <c r="D1269" s="225" t="s">
        <v>0</v>
      </c>
      <c r="E1269" s="226" t="s">
        <v>135</v>
      </c>
      <c r="F1269" s="226" t="s">
        <v>926</v>
      </c>
      <c r="G1269" s="226" t="s">
        <v>819</v>
      </c>
      <c r="H1269" s="226"/>
      <c r="I1269" s="226" t="s">
        <v>126</v>
      </c>
      <c r="J1269" s="226" t="s">
        <v>408</v>
      </c>
      <c r="K1269" s="227"/>
    </row>
    <row r="1270" spans="3:11" x14ac:dyDescent="0.3">
      <c r="D1270" s="228" t="s">
        <v>16</v>
      </c>
      <c r="E1270" s="229">
        <v>720</v>
      </c>
      <c r="F1270" s="230"/>
      <c r="G1270" s="231">
        <f>(F1270/1000)*E1270</f>
        <v>0</v>
      </c>
      <c r="H1270" s="229"/>
      <c r="I1270" s="229"/>
      <c r="J1270" s="229"/>
      <c r="K1270" s="232" t="s">
        <v>7</v>
      </c>
    </row>
    <row r="1271" spans="3:11" x14ac:dyDescent="0.3">
      <c r="D1271" s="228" t="s">
        <v>292</v>
      </c>
      <c r="E1271" s="229">
        <v>80</v>
      </c>
      <c r="F1271" s="230"/>
      <c r="G1271" s="231"/>
      <c r="H1271" s="229"/>
      <c r="I1271" s="229"/>
      <c r="J1271" s="229"/>
      <c r="K1271" s="232"/>
    </row>
    <row r="1272" spans="3:11" x14ac:dyDescent="0.3">
      <c r="D1272" s="228" t="s">
        <v>481</v>
      </c>
      <c r="E1272" s="229">
        <v>20</v>
      </c>
      <c r="F1272" s="230"/>
      <c r="G1272" s="231"/>
      <c r="H1272" s="229"/>
      <c r="I1272" s="229"/>
      <c r="J1272" s="229"/>
      <c r="K1272" s="232"/>
    </row>
    <row r="1273" spans="3:11" x14ac:dyDescent="0.3">
      <c r="D1273" s="228" t="s">
        <v>778</v>
      </c>
      <c r="E1273" s="229">
        <v>50</v>
      </c>
      <c r="F1273" s="230"/>
      <c r="G1273" s="231"/>
      <c r="H1273" s="229"/>
      <c r="I1273" s="229"/>
      <c r="J1273" s="229"/>
      <c r="K1273" s="232"/>
    </row>
    <row r="1274" spans="3:11" x14ac:dyDescent="0.3">
      <c r="D1274" s="228" t="s">
        <v>776</v>
      </c>
      <c r="E1274" s="229">
        <v>30</v>
      </c>
      <c r="F1274" s="230"/>
      <c r="G1274" s="231"/>
      <c r="H1274" s="229"/>
      <c r="I1274" s="229"/>
      <c r="J1274" s="229"/>
      <c r="K1274" s="232"/>
    </row>
    <row r="1275" spans="3:11" x14ac:dyDescent="0.3">
      <c r="D1275" s="228" t="s">
        <v>948</v>
      </c>
      <c r="E1275" s="229">
        <v>2</v>
      </c>
      <c r="F1275" s="230"/>
      <c r="G1275" s="231"/>
      <c r="H1275" s="229"/>
      <c r="I1275" s="229"/>
      <c r="J1275" s="229"/>
      <c r="K1275" s="232"/>
    </row>
    <row r="1276" spans="3:11" x14ac:dyDescent="0.3">
      <c r="D1276" s="228" t="s">
        <v>120</v>
      </c>
      <c r="E1276" s="229">
        <v>20</v>
      </c>
      <c r="F1276" s="230"/>
      <c r="G1276" s="231"/>
      <c r="H1276" s="229"/>
      <c r="I1276" s="229"/>
      <c r="J1276" s="229"/>
      <c r="K1276" s="232"/>
    </row>
    <row r="1277" spans="3:11" x14ac:dyDescent="0.3">
      <c r="D1277" s="228" t="s">
        <v>369</v>
      </c>
      <c r="E1277" s="229">
        <v>1</v>
      </c>
      <c r="F1277" s="230"/>
      <c r="G1277" s="231"/>
      <c r="H1277" s="229"/>
      <c r="I1277" s="229"/>
      <c r="J1277" s="229"/>
      <c r="K1277" s="232"/>
    </row>
    <row r="1278" spans="3:11" x14ac:dyDescent="0.3">
      <c r="D1278" s="235"/>
      <c r="E1278" s="253">
        <f>SUM(E1270:E1277)</f>
        <v>923</v>
      </c>
      <c r="F1278" s="254"/>
      <c r="G1278" s="255">
        <f>SUM(G1270:G1277)</f>
        <v>0</v>
      </c>
      <c r="H1278" s="253">
        <f>SUM(H1270:H1277)</f>
        <v>0</v>
      </c>
      <c r="I1278" s="258">
        <f>SUM(I1270:I1277)</f>
        <v>0</v>
      </c>
      <c r="J1278" s="258">
        <f>SUM(J1270:J1277)</f>
        <v>0</v>
      </c>
      <c r="K1278" s="257"/>
    </row>
    <row r="1282" spans="3:11" ht="23.4" x14ac:dyDescent="0.45">
      <c r="D1282" s="221" t="s">
        <v>985</v>
      </c>
      <c r="E1282" s="222"/>
      <c r="F1282" s="222"/>
      <c r="G1282" s="222"/>
      <c r="H1282" s="222"/>
      <c r="I1282" s="222"/>
      <c r="J1282" s="222"/>
      <c r="K1282" s="223"/>
    </row>
    <row r="1283" spans="3:11" ht="46.8" x14ac:dyDescent="0.3">
      <c r="C1283" s="224">
        <v>7</v>
      </c>
      <c r="D1283" s="225" t="s">
        <v>0</v>
      </c>
      <c r="E1283" s="226" t="s">
        <v>135</v>
      </c>
      <c r="F1283" s="226" t="s">
        <v>926</v>
      </c>
      <c r="G1283" s="226" t="s">
        <v>819</v>
      </c>
      <c r="H1283" s="226"/>
      <c r="I1283" s="226" t="s">
        <v>126</v>
      </c>
      <c r="J1283" s="226" t="s">
        <v>408</v>
      </c>
      <c r="K1283" s="227"/>
    </row>
    <row r="1284" spans="3:11" x14ac:dyDescent="0.3">
      <c r="D1284" s="228" t="s">
        <v>55</v>
      </c>
      <c r="E1284" s="230">
        <v>920</v>
      </c>
      <c r="F1284" s="230"/>
      <c r="G1284" s="231">
        <f>(F1284/1000)*E1284</f>
        <v>0</v>
      </c>
      <c r="H1284" s="229"/>
      <c r="I1284" s="229"/>
      <c r="J1284" s="229"/>
      <c r="K1284" s="232" t="s">
        <v>7</v>
      </c>
    </row>
    <row r="1285" spans="3:11" x14ac:dyDescent="0.3">
      <c r="D1285" s="228" t="s">
        <v>634</v>
      </c>
      <c r="E1285" s="230">
        <v>40</v>
      </c>
      <c r="F1285" s="230"/>
      <c r="G1285" s="231"/>
      <c r="H1285" s="229"/>
      <c r="I1285" s="229"/>
      <c r="J1285" s="229"/>
      <c r="K1285" s="232"/>
    </row>
    <row r="1286" spans="3:11" x14ac:dyDescent="0.3">
      <c r="D1286" s="228" t="s">
        <v>642</v>
      </c>
      <c r="E1286" s="230">
        <v>10</v>
      </c>
      <c r="F1286" s="230"/>
      <c r="G1286" s="231"/>
      <c r="H1286" s="229"/>
      <c r="I1286" s="229"/>
      <c r="J1286" s="229"/>
      <c r="K1286" s="232"/>
    </row>
    <row r="1287" spans="3:11" x14ac:dyDescent="0.3">
      <c r="D1287" s="228" t="s">
        <v>9</v>
      </c>
      <c r="E1287" s="230">
        <v>25</v>
      </c>
      <c r="F1287" s="230"/>
      <c r="G1287" s="231"/>
      <c r="H1287" s="229"/>
      <c r="I1287" s="229"/>
      <c r="J1287" s="229"/>
      <c r="K1287" s="232"/>
    </row>
    <row r="1288" spans="3:11" x14ac:dyDescent="0.3">
      <c r="D1288" s="228" t="s">
        <v>343</v>
      </c>
      <c r="E1288" s="230">
        <v>5</v>
      </c>
      <c r="F1288" s="230"/>
      <c r="G1288" s="231"/>
      <c r="H1288" s="229"/>
      <c r="I1288" s="229"/>
      <c r="J1288" s="229"/>
      <c r="K1288" s="232"/>
    </row>
    <row r="1289" spans="3:11" x14ac:dyDescent="0.3">
      <c r="D1289" s="228" t="s">
        <v>374</v>
      </c>
      <c r="E1289" s="230">
        <v>15</v>
      </c>
      <c r="F1289" s="230"/>
      <c r="G1289" s="231"/>
      <c r="H1289" s="229"/>
      <c r="I1289" s="229"/>
      <c r="J1289" s="229"/>
      <c r="K1289" s="232"/>
    </row>
    <row r="1290" spans="3:11" x14ac:dyDescent="0.3">
      <c r="D1290" s="233" t="s">
        <v>12</v>
      </c>
      <c r="E1290" s="230">
        <v>5</v>
      </c>
      <c r="F1290" s="230"/>
      <c r="G1290" s="231"/>
      <c r="H1290" s="229"/>
      <c r="I1290" s="229"/>
      <c r="J1290" s="229"/>
      <c r="K1290" s="232"/>
    </row>
    <row r="1291" spans="3:11" x14ac:dyDescent="0.3">
      <c r="D1291" s="233" t="s">
        <v>504</v>
      </c>
      <c r="E1291" s="230">
        <v>3</v>
      </c>
      <c r="F1291" s="230"/>
      <c r="G1291" s="231"/>
      <c r="H1291" s="229"/>
      <c r="I1291" s="229"/>
      <c r="J1291" s="229"/>
      <c r="K1291" s="232"/>
    </row>
    <row r="1292" spans="3:11" x14ac:dyDescent="0.3">
      <c r="D1292" s="228" t="s">
        <v>168</v>
      </c>
      <c r="E1292" s="229">
        <v>2</v>
      </c>
      <c r="F1292" s="230"/>
      <c r="G1292" s="231"/>
      <c r="H1292" s="229"/>
      <c r="I1292" s="229"/>
      <c r="J1292" s="229"/>
      <c r="K1292" s="232"/>
    </row>
    <row r="1293" spans="3:11" x14ac:dyDescent="0.3">
      <c r="D1293" s="228" t="s">
        <v>56</v>
      </c>
      <c r="E1293" s="229">
        <v>2</v>
      </c>
      <c r="F1293" s="230"/>
      <c r="G1293" s="231"/>
      <c r="H1293" s="229"/>
      <c r="I1293" s="229"/>
      <c r="J1293" s="229"/>
      <c r="K1293" s="232"/>
    </row>
    <row r="1294" spans="3:11" x14ac:dyDescent="0.3">
      <c r="D1294" s="241" t="s">
        <v>29</v>
      </c>
      <c r="E1294" s="262">
        <v>1</v>
      </c>
      <c r="F1294" s="230"/>
      <c r="G1294" s="231"/>
      <c r="H1294" s="229"/>
      <c r="I1294" s="229"/>
      <c r="J1294" s="229"/>
      <c r="K1294" s="232"/>
    </row>
    <row r="1295" spans="3:11" x14ac:dyDescent="0.3">
      <c r="D1295" s="235"/>
      <c r="E1295" s="253">
        <f>SUM(E1284:E1294)</f>
        <v>1028</v>
      </c>
      <c r="F1295" s="254"/>
      <c r="G1295" s="255">
        <f>SUM(G1284:G1294)</f>
        <v>0</v>
      </c>
      <c r="H1295" s="253">
        <f>SUM(H1284:H1294)</f>
        <v>0</v>
      </c>
      <c r="I1295" s="258">
        <f>SUM(I1284:I1294)</f>
        <v>0</v>
      </c>
      <c r="J1295" s="258">
        <f>SUM(J1284:J1294)</f>
        <v>0</v>
      </c>
      <c r="K1295" s="257"/>
    </row>
    <row r="1298" spans="3:11" ht="23.4" x14ac:dyDescent="0.45">
      <c r="D1298" s="221" t="s">
        <v>986</v>
      </c>
      <c r="E1298" s="222"/>
      <c r="F1298" s="222"/>
      <c r="G1298" s="222"/>
      <c r="H1298" s="222"/>
      <c r="I1298" s="222"/>
      <c r="J1298" s="222"/>
      <c r="K1298" s="223"/>
    </row>
    <row r="1299" spans="3:11" ht="46.8" x14ac:dyDescent="0.3">
      <c r="C1299" s="224">
        <v>6</v>
      </c>
      <c r="D1299" s="225" t="s">
        <v>0</v>
      </c>
      <c r="E1299" s="226" t="s">
        <v>135</v>
      </c>
      <c r="F1299" s="226" t="s">
        <v>926</v>
      </c>
      <c r="G1299" s="226" t="s">
        <v>819</v>
      </c>
      <c r="H1299" s="226"/>
      <c r="I1299" s="226" t="s">
        <v>126</v>
      </c>
      <c r="J1299" s="226" t="s">
        <v>408</v>
      </c>
      <c r="K1299" s="227"/>
    </row>
    <row r="1300" spans="3:11" x14ac:dyDescent="0.3">
      <c r="D1300" s="228" t="s">
        <v>6</v>
      </c>
      <c r="E1300" s="229">
        <v>3</v>
      </c>
      <c r="F1300" s="230"/>
      <c r="G1300" s="231">
        <f>(F1300/1000)*E1300</f>
        <v>0</v>
      </c>
      <c r="H1300" s="229"/>
      <c r="I1300" s="229"/>
      <c r="J1300" s="229"/>
      <c r="K1300" s="232" t="s">
        <v>7</v>
      </c>
    </row>
    <row r="1301" spans="3:11" x14ac:dyDescent="0.3">
      <c r="D1301" s="228" t="s">
        <v>987</v>
      </c>
      <c r="E1301" s="229">
        <v>845</v>
      </c>
      <c r="F1301" s="230"/>
      <c r="G1301" s="231"/>
      <c r="H1301" s="229"/>
      <c r="I1301" s="229"/>
      <c r="J1301" s="229"/>
      <c r="K1301" s="232"/>
    </row>
    <row r="1302" spans="3:11" x14ac:dyDescent="0.3">
      <c r="D1302" s="228" t="s">
        <v>9</v>
      </c>
      <c r="E1302" s="229">
        <v>50</v>
      </c>
      <c r="F1302" s="230"/>
      <c r="G1302" s="231"/>
      <c r="H1302" s="229"/>
      <c r="I1302" s="229"/>
      <c r="J1302" s="229"/>
      <c r="K1302" s="232"/>
    </row>
    <row r="1303" spans="3:11" x14ac:dyDescent="0.3">
      <c r="D1303" s="228" t="s">
        <v>10</v>
      </c>
      <c r="E1303" s="230">
        <v>2.5</v>
      </c>
      <c r="F1303" s="230"/>
      <c r="G1303" s="231"/>
      <c r="H1303" s="229"/>
      <c r="I1303" s="229"/>
      <c r="J1303" s="229"/>
      <c r="K1303" s="232"/>
    </row>
    <row r="1304" spans="3:11" x14ac:dyDescent="0.3">
      <c r="D1304" s="228" t="s">
        <v>11</v>
      </c>
      <c r="E1304" s="229">
        <v>100</v>
      </c>
      <c r="F1304" s="259"/>
      <c r="G1304" s="261"/>
      <c r="H1304" s="262"/>
      <c r="I1304" s="262"/>
      <c r="J1304" s="262"/>
      <c r="K1304" s="263"/>
    </row>
    <row r="1305" spans="3:11" x14ac:dyDescent="0.3">
      <c r="D1305" s="235"/>
      <c r="E1305" s="253">
        <f>SUM(E1300:E1304)</f>
        <v>1000.5</v>
      </c>
      <c r="F1305" s="254"/>
      <c r="G1305" s="255">
        <f>SUM(G1300:G1303)</f>
        <v>0</v>
      </c>
      <c r="H1305" s="253">
        <f>SUM(H1300:H1303)</f>
        <v>0</v>
      </c>
      <c r="I1305" s="258">
        <f>SUM(I1300:I1303)</f>
        <v>0</v>
      </c>
      <c r="J1305" s="258">
        <f>SUM(J1300:J1303)</f>
        <v>0</v>
      </c>
      <c r="K1305" s="257"/>
    </row>
    <row r="1308" spans="3:11" ht="23.4" x14ac:dyDescent="0.45">
      <c r="D1308" s="221" t="s">
        <v>989</v>
      </c>
      <c r="E1308" s="222"/>
      <c r="F1308" s="222"/>
      <c r="G1308" s="222"/>
      <c r="H1308" s="222"/>
      <c r="I1308" s="222"/>
      <c r="J1308" s="222"/>
      <c r="K1308" s="223"/>
    </row>
    <row r="1309" spans="3:11" ht="46.8" x14ac:dyDescent="0.3">
      <c r="C1309" s="224">
        <v>1</v>
      </c>
      <c r="D1309" s="225" t="s">
        <v>0</v>
      </c>
      <c r="E1309" s="226" t="s">
        <v>135</v>
      </c>
      <c r="F1309" s="226" t="s">
        <v>926</v>
      </c>
      <c r="G1309" s="226" t="s">
        <v>819</v>
      </c>
      <c r="H1309" s="226"/>
      <c r="I1309" s="226" t="s">
        <v>126</v>
      </c>
      <c r="J1309" s="226" t="s">
        <v>408</v>
      </c>
      <c r="K1309" s="227"/>
    </row>
    <row r="1310" spans="3:11" x14ac:dyDescent="0.3">
      <c r="D1310" s="228" t="s">
        <v>132</v>
      </c>
      <c r="E1310" s="229">
        <v>810</v>
      </c>
      <c r="F1310" s="230"/>
      <c r="G1310" s="231">
        <f>(F1310/1000)*E1310</f>
        <v>0</v>
      </c>
      <c r="H1310" s="229"/>
      <c r="I1310" s="229"/>
      <c r="J1310" s="229"/>
      <c r="K1310" s="232" t="s">
        <v>7</v>
      </c>
    </row>
    <row r="1311" spans="3:11" x14ac:dyDescent="0.3">
      <c r="D1311" s="228" t="s">
        <v>171</v>
      </c>
      <c r="E1311" s="229">
        <v>100</v>
      </c>
      <c r="F1311" s="230"/>
      <c r="G1311" s="231"/>
      <c r="H1311" s="229"/>
      <c r="I1311" s="229"/>
      <c r="J1311" s="229"/>
      <c r="K1311" s="232"/>
    </row>
    <row r="1312" spans="3:11" x14ac:dyDescent="0.3">
      <c r="D1312" s="228" t="s">
        <v>990</v>
      </c>
      <c r="E1312" s="229">
        <v>50</v>
      </c>
      <c r="F1312" s="230"/>
      <c r="G1312" s="231"/>
      <c r="H1312" s="229"/>
      <c r="I1312" s="229"/>
      <c r="J1312" s="229"/>
      <c r="K1312" s="232"/>
    </row>
    <row r="1313" spans="4:11" x14ac:dyDescent="0.3">
      <c r="D1313" s="228" t="s">
        <v>991</v>
      </c>
      <c r="E1313" s="229">
        <v>2</v>
      </c>
      <c r="F1313" s="230"/>
      <c r="G1313" s="231"/>
      <c r="H1313" s="229"/>
      <c r="I1313" s="229"/>
      <c r="J1313" s="229"/>
      <c r="K1313" s="232"/>
    </row>
    <row r="1314" spans="4:11" x14ac:dyDescent="0.3">
      <c r="D1314" s="228" t="s">
        <v>992</v>
      </c>
      <c r="E1314" s="229">
        <v>1</v>
      </c>
      <c r="F1314" s="230"/>
      <c r="G1314" s="231"/>
      <c r="H1314" s="229"/>
      <c r="I1314" s="229"/>
      <c r="J1314" s="229"/>
      <c r="K1314" s="232"/>
    </row>
    <row r="1315" spans="4:11" x14ac:dyDescent="0.3">
      <c r="D1315" s="228" t="s">
        <v>993</v>
      </c>
      <c r="E1315" s="229">
        <v>1</v>
      </c>
      <c r="F1315" s="230"/>
      <c r="G1315" s="231"/>
      <c r="H1315" s="229"/>
      <c r="I1315" s="229"/>
      <c r="J1315" s="229"/>
      <c r="K1315" s="232"/>
    </row>
    <row r="1316" spans="4:11" x14ac:dyDescent="0.3">
      <c r="D1316" s="228" t="s">
        <v>282</v>
      </c>
      <c r="E1316" s="229">
        <v>1</v>
      </c>
      <c r="F1316" s="230"/>
      <c r="G1316" s="231"/>
      <c r="H1316" s="229"/>
      <c r="I1316" s="229"/>
      <c r="J1316" s="229"/>
      <c r="K1316" s="232"/>
    </row>
    <row r="1317" spans="4:11" x14ac:dyDescent="0.3">
      <c r="D1317" s="228" t="s">
        <v>994</v>
      </c>
      <c r="E1317" s="229">
        <v>1</v>
      </c>
      <c r="F1317" s="230"/>
      <c r="G1317" s="231"/>
      <c r="H1317" s="229"/>
      <c r="I1317" s="229"/>
      <c r="J1317" s="229"/>
      <c r="K1317" s="232"/>
    </row>
    <row r="1318" spans="4:11" x14ac:dyDescent="0.3">
      <c r="D1318" s="228" t="s">
        <v>59</v>
      </c>
      <c r="E1318" s="229">
        <v>10</v>
      </c>
      <c r="F1318" s="230"/>
      <c r="G1318" s="231"/>
      <c r="H1318" s="229"/>
      <c r="I1318" s="229"/>
      <c r="J1318" s="229"/>
      <c r="K1318" s="232"/>
    </row>
    <row r="1319" spans="4:11" x14ac:dyDescent="0.3">
      <c r="D1319" s="228" t="s">
        <v>56</v>
      </c>
      <c r="E1319" s="229">
        <v>1</v>
      </c>
      <c r="F1319" s="230"/>
      <c r="G1319" s="231"/>
      <c r="H1319" s="229"/>
      <c r="I1319" s="229"/>
      <c r="J1319" s="229"/>
      <c r="K1319" s="232"/>
    </row>
    <row r="1320" spans="4:11" x14ac:dyDescent="0.3">
      <c r="D1320" s="228" t="s">
        <v>231</v>
      </c>
      <c r="E1320" s="230">
        <v>0.5</v>
      </c>
      <c r="F1320" s="230"/>
      <c r="G1320" s="231"/>
      <c r="H1320" s="229"/>
      <c r="I1320" s="229"/>
      <c r="J1320" s="229"/>
      <c r="K1320" s="232"/>
    </row>
    <row r="1321" spans="4:11" x14ac:dyDescent="0.3">
      <c r="D1321" s="228" t="s">
        <v>174</v>
      </c>
      <c r="E1321" s="262">
        <v>2</v>
      </c>
      <c r="F1321" s="259"/>
      <c r="G1321" s="261"/>
      <c r="H1321" s="262"/>
      <c r="I1321" s="262"/>
      <c r="J1321" s="262"/>
      <c r="K1321" s="263"/>
    </row>
    <row r="1322" spans="4:11" x14ac:dyDescent="0.3">
      <c r="D1322" s="228" t="s">
        <v>391</v>
      </c>
      <c r="E1322" s="262">
        <v>20</v>
      </c>
      <c r="F1322" s="259"/>
      <c r="G1322" s="261"/>
      <c r="H1322" s="262"/>
      <c r="I1322" s="262"/>
      <c r="J1322" s="262"/>
      <c r="K1322" s="263"/>
    </row>
    <row r="1323" spans="4:11" x14ac:dyDescent="0.3">
      <c r="D1323" s="235"/>
      <c r="E1323" s="253">
        <f>SUM(E1310:E1322)</f>
        <v>999.5</v>
      </c>
      <c r="F1323" s="254"/>
      <c r="G1323" s="255">
        <f>SUM(G1310:G1320)</f>
        <v>0</v>
      </c>
      <c r="H1323" s="253">
        <f>SUM(H1310:H1320)</f>
        <v>0</v>
      </c>
      <c r="I1323" s="258">
        <f>SUM(I1310:I1320)</f>
        <v>0</v>
      </c>
      <c r="J1323" s="258">
        <f>SUM(J1310:J1320)</f>
        <v>0</v>
      </c>
      <c r="K1323" s="257"/>
    </row>
  </sheetData>
  <mergeCells count="113">
    <mergeCell ref="D1282:K1282"/>
    <mergeCell ref="D1298:K1298"/>
    <mergeCell ref="D1308:K1308"/>
    <mergeCell ref="D1223:K1223"/>
    <mergeCell ref="D1234:K1234"/>
    <mergeCell ref="D1251:K1251"/>
    <mergeCell ref="D1268:K1268"/>
    <mergeCell ref="D1175:K1175"/>
    <mergeCell ref="D1189:K1189"/>
    <mergeCell ref="D1197:K1197"/>
    <mergeCell ref="D1205:K1205"/>
    <mergeCell ref="D1214:J1214"/>
    <mergeCell ref="D1113:H1113"/>
    <mergeCell ref="D1125:H1125"/>
    <mergeCell ref="D1137:H1137"/>
    <mergeCell ref="D1149:I1149"/>
    <mergeCell ref="D1164:I1164"/>
    <mergeCell ref="D1055:H1055"/>
    <mergeCell ref="D1059:H1059"/>
    <mergeCell ref="D1075:H1075"/>
    <mergeCell ref="D1078:H1078"/>
    <mergeCell ref="D1094:H1094"/>
    <mergeCell ref="D985:G985"/>
    <mergeCell ref="D999:F999"/>
    <mergeCell ref="D1015:H1015"/>
    <mergeCell ref="D1029:H1029"/>
    <mergeCell ref="D1042:H1042"/>
    <mergeCell ref="D919:G919"/>
    <mergeCell ref="D938:G938"/>
    <mergeCell ref="D954:G954"/>
    <mergeCell ref="D968:G968"/>
    <mergeCell ref="D886:G886"/>
    <mergeCell ref="C888:C892"/>
    <mergeCell ref="C893:C896"/>
    <mergeCell ref="C897:C900"/>
    <mergeCell ref="D904:G904"/>
    <mergeCell ref="D431:G431"/>
    <mergeCell ref="D265:G265"/>
    <mergeCell ref="D382:G382"/>
    <mergeCell ref="D399:G400"/>
    <mergeCell ref="D366:G366"/>
    <mergeCell ref="D305:G305"/>
    <mergeCell ref="D413:G413"/>
    <mergeCell ref="D274:G274"/>
    <mergeCell ref="D332:G332"/>
    <mergeCell ref="D348:G348"/>
    <mergeCell ref="D344:G345"/>
    <mergeCell ref="D362:G363"/>
    <mergeCell ref="D318:G318"/>
    <mergeCell ref="D286:G286"/>
    <mergeCell ref="D402:G402"/>
    <mergeCell ref="D3:G3"/>
    <mergeCell ref="D18:G18"/>
    <mergeCell ref="D154:G154"/>
    <mergeCell ref="D248:G248"/>
    <mergeCell ref="D261:G262"/>
    <mergeCell ref="D225:G225"/>
    <mergeCell ref="D237:G237"/>
    <mergeCell ref="D215:G215"/>
    <mergeCell ref="D166:G166"/>
    <mergeCell ref="D244:G245"/>
    <mergeCell ref="D68:G68"/>
    <mergeCell ref="B20:B24"/>
    <mergeCell ref="C25:C28"/>
    <mergeCell ref="D33:G33"/>
    <mergeCell ref="D94:G94"/>
    <mergeCell ref="D146:G146"/>
    <mergeCell ref="D110:G110"/>
    <mergeCell ref="D121:G121"/>
    <mergeCell ref="D131:G131"/>
    <mergeCell ref="B35:B39"/>
    <mergeCell ref="C40:C42"/>
    <mergeCell ref="D71:G71"/>
    <mergeCell ref="D79:G79"/>
    <mergeCell ref="D61:G61"/>
    <mergeCell ref="D47:G47"/>
    <mergeCell ref="B133:B137"/>
    <mergeCell ref="C138:C140"/>
    <mergeCell ref="B168:B170"/>
    <mergeCell ref="C171:C174"/>
    <mergeCell ref="D179:G179"/>
    <mergeCell ref="D190:G190"/>
    <mergeCell ref="D201:G201"/>
    <mergeCell ref="D509:G509"/>
    <mergeCell ref="D448:G448"/>
    <mergeCell ref="D466:G466"/>
    <mergeCell ref="D476:G476"/>
    <mergeCell ref="D490:G490"/>
    <mergeCell ref="D852:H852"/>
    <mergeCell ref="D522:G522"/>
    <mergeCell ref="D555:G555"/>
    <mergeCell ref="D638:G638"/>
    <mergeCell ref="D623:G623"/>
    <mergeCell ref="D603:G603"/>
    <mergeCell ref="D535:G535"/>
    <mergeCell ref="D570:G570"/>
    <mergeCell ref="D585:G585"/>
    <mergeCell ref="D839:H839"/>
    <mergeCell ref="D869:H869"/>
    <mergeCell ref="D860:H860"/>
    <mergeCell ref="D826:H826"/>
    <mergeCell ref="D655:G655"/>
    <mergeCell ref="D668:G668"/>
    <mergeCell ref="D812:G812"/>
    <mergeCell ref="D773:G773"/>
    <mergeCell ref="D741:G741"/>
    <mergeCell ref="D728:G728"/>
    <mergeCell ref="D796:G796"/>
    <mergeCell ref="D785:G785"/>
    <mergeCell ref="D754:G754"/>
    <mergeCell ref="D678:G678"/>
    <mergeCell ref="D696:G696"/>
    <mergeCell ref="D715:G7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D9D7-E36E-4A4B-86B9-F6A21E41116B}">
  <dimension ref="B3:J31"/>
  <sheetViews>
    <sheetView topLeftCell="A13" workbookViewId="0">
      <selection activeCell="B23" sqref="B23:J31"/>
    </sheetView>
  </sheetViews>
  <sheetFormatPr baseColWidth="10" defaultRowHeight="14.4" x14ac:dyDescent="0.3"/>
  <cols>
    <col min="3" max="3" width="20.33203125" bestFit="1" customWidth="1"/>
  </cols>
  <sheetData>
    <row r="3" spans="2:10" ht="23.4" x14ac:dyDescent="0.45">
      <c r="C3" s="221" t="s">
        <v>970</v>
      </c>
      <c r="D3" s="222"/>
      <c r="E3" s="222"/>
      <c r="F3" s="222"/>
      <c r="G3" s="222"/>
      <c r="H3" s="222"/>
      <c r="I3" s="222"/>
      <c r="J3" s="223"/>
    </row>
    <row r="4" spans="2:10" ht="46.8" x14ac:dyDescent="0.3">
      <c r="B4" s="224">
        <v>16</v>
      </c>
      <c r="C4" s="225" t="s">
        <v>0</v>
      </c>
      <c r="D4" s="226" t="s">
        <v>135</v>
      </c>
      <c r="E4" s="226" t="s">
        <v>926</v>
      </c>
      <c r="F4" s="226" t="s">
        <v>819</v>
      </c>
      <c r="G4" s="226"/>
      <c r="H4" s="226" t="s">
        <v>126</v>
      </c>
      <c r="I4" s="226" t="s">
        <v>408</v>
      </c>
      <c r="J4" s="227"/>
    </row>
    <row r="5" spans="2:10" x14ac:dyDescent="0.3">
      <c r="C5" s="228" t="s">
        <v>69</v>
      </c>
      <c r="D5" s="229">
        <v>100</v>
      </c>
      <c r="E5" s="230"/>
      <c r="F5" s="231">
        <f>(E5/1000)*D5</f>
        <v>0</v>
      </c>
      <c r="G5" s="229"/>
      <c r="H5" s="229"/>
      <c r="I5" s="229"/>
      <c r="J5" s="232" t="s">
        <v>7</v>
      </c>
    </row>
    <row r="6" spans="2:10" x14ac:dyDescent="0.3">
      <c r="C6" s="228" t="s">
        <v>149</v>
      </c>
      <c r="D6" s="229">
        <v>50</v>
      </c>
      <c r="E6" s="230"/>
      <c r="F6" s="231"/>
      <c r="G6" s="229"/>
      <c r="H6" s="229"/>
      <c r="I6" s="229"/>
      <c r="J6" s="232"/>
    </row>
    <row r="7" spans="2:10" x14ac:dyDescent="0.3">
      <c r="C7" s="228" t="s">
        <v>350</v>
      </c>
      <c r="D7" s="229">
        <v>850</v>
      </c>
      <c r="E7" s="230"/>
      <c r="F7" s="231"/>
      <c r="G7" s="229"/>
      <c r="H7" s="229"/>
      <c r="I7" s="229"/>
      <c r="J7" s="232"/>
    </row>
    <row r="8" spans="2:10" x14ac:dyDescent="0.3">
      <c r="C8" s="235"/>
      <c r="D8" s="253">
        <f>SUM(D5:D7)</f>
        <v>1000</v>
      </c>
      <c r="E8" s="254"/>
      <c r="F8" s="255">
        <f>SUM(F5:F7)</f>
        <v>0</v>
      </c>
      <c r="G8" s="253">
        <f>SUM(G5:G7)</f>
        <v>0</v>
      </c>
      <c r="H8" s="258">
        <f>SUM(H5:H7)</f>
        <v>0</v>
      </c>
      <c r="I8" s="258">
        <f>SUM(I5:I7)</f>
        <v>0</v>
      </c>
      <c r="J8" s="257"/>
    </row>
    <row r="12" spans="2:10" ht="23.4" x14ac:dyDescent="0.45">
      <c r="C12" s="221" t="s">
        <v>972</v>
      </c>
      <c r="D12" s="222"/>
      <c r="E12" s="222"/>
      <c r="F12" s="222"/>
      <c r="G12" s="222"/>
      <c r="H12" s="222"/>
      <c r="I12" s="222"/>
      <c r="J12" s="223"/>
    </row>
    <row r="13" spans="2:10" ht="46.8" x14ac:dyDescent="0.3">
      <c r="B13" s="224">
        <v>16</v>
      </c>
      <c r="C13" s="225" t="s">
        <v>0</v>
      </c>
      <c r="D13" s="226" t="s">
        <v>135</v>
      </c>
      <c r="E13" s="226" t="s">
        <v>926</v>
      </c>
      <c r="F13" s="226" t="s">
        <v>819</v>
      </c>
      <c r="G13" s="226"/>
      <c r="H13" s="226" t="s">
        <v>126</v>
      </c>
      <c r="I13" s="226" t="s">
        <v>408</v>
      </c>
      <c r="J13" s="227"/>
    </row>
    <row r="14" spans="2:10" x14ac:dyDescent="0.3">
      <c r="C14" s="228" t="s">
        <v>971</v>
      </c>
      <c r="D14" s="229">
        <v>30</v>
      </c>
      <c r="E14" s="230"/>
      <c r="F14" s="231">
        <f>(E14/1000)*D14</f>
        <v>0</v>
      </c>
      <c r="G14" s="229"/>
      <c r="H14" s="229"/>
      <c r="I14" s="229"/>
      <c r="J14" s="232" t="s">
        <v>7</v>
      </c>
    </row>
    <row r="15" spans="2:10" x14ac:dyDescent="0.3">
      <c r="C15" s="228" t="s">
        <v>173</v>
      </c>
      <c r="D15" s="229">
        <v>970</v>
      </c>
      <c r="E15" s="230"/>
      <c r="F15" s="231"/>
      <c r="G15" s="229"/>
      <c r="H15" s="229"/>
      <c r="I15" s="229"/>
      <c r="J15" s="232"/>
    </row>
    <row r="16" spans="2:10" x14ac:dyDescent="0.3">
      <c r="C16" s="228" t="s">
        <v>19</v>
      </c>
      <c r="D16" s="229">
        <v>30</v>
      </c>
      <c r="E16" s="230"/>
      <c r="F16" s="231"/>
      <c r="G16" s="229"/>
      <c r="H16" s="229"/>
      <c r="I16" s="229"/>
      <c r="J16" s="232"/>
    </row>
    <row r="17" spans="2:10" x14ac:dyDescent="0.3">
      <c r="C17" s="228" t="s">
        <v>208</v>
      </c>
      <c r="D17" s="229">
        <v>2</v>
      </c>
      <c r="E17" s="230"/>
      <c r="F17" s="231"/>
      <c r="G17" s="229"/>
      <c r="H17" s="229"/>
      <c r="I17" s="229"/>
      <c r="J17" s="232"/>
    </row>
    <row r="18" spans="2:10" x14ac:dyDescent="0.3">
      <c r="C18" s="228" t="s">
        <v>374</v>
      </c>
      <c r="D18" s="230">
        <v>0.5</v>
      </c>
      <c r="E18" s="230"/>
      <c r="F18" s="231"/>
      <c r="G18" s="229"/>
      <c r="H18" s="229"/>
      <c r="I18" s="229"/>
      <c r="J18" s="232"/>
    </row>
    <row r="19" spans="2:10" x14ac:dyDescent="0.3">
      <c r="C19" s="235"/>
      <c r="D19" s="253">
        <f>SUM(D14:D18)</f>
        <v>1032.5</v>
      </c>
      <c r="E19" s="254"/>
      <c r="F19" s="255">
        <f>SUM(F14:F18)</f>
        <v>0</v>
      </c>
      <c r="G19" s="253">
        <f>SUM(G14:G18)</f>
        <v>0</v>
      </c>
      <c r="H19" s="258">
        <f>SUM(H14:H18)</f>
        <v>0</v>
      </c>
      <c r="I19" s="258">
        <f>SUM(I14:I18)</f>
        <v>0</v>
      </c>
      <c r="J19" s="257"/>
    </row>
    <row r="23" spans="2:10" ht="23.4" x14ac:dyDescent="0.45">
      <c r="C23" s="221" t="s">
        <v>984</v>
      </c>
      <c r="D23" s="222"/>
      <c r="E23" s="222"/>
      <c r="F23" s="222"/>
      <c r="G23" s="222"/>
      <c r="H23" s="222"/>
      <c r="I23" s="222"/>
      <c r="J23" s="223"/>
    </row>
    <row r="24" spans="2:10" ht="46.8" x14ac:dyDescent="0.3">
      <c r="B24" s="224">
        <v>8</v>
      </c>
      <c r="C24" s="225" t="s">
        <v>0</v>
      </c>
      <c r="D24" s="226" t="s">
        <v>135</v>
      </c>
      <c r="E24" s="226" t="s">
        <v>926</v>
      </c>
      <c r="F24" s="226" t="s">
        <v>819</v>
      </c>
      <c r="G24" s="226"/>
      <c r="H24" s="226" t="s">
        <v>126</v>
      </c>
      <c r="I24" s="226" t="s">
        <v>408</v>
      </c>
      <c r="J24" s="227"/>
    </row>
    <row r="25" spans="2:10" x14ac:dyDescent="0.3">
      <c r="C25" s="228" t="s">
        <v>188</v>
      </c>
      <c r="D25" s="229">
        <v>20</v>
      </c>
      <c r="E25" s="230"/>
      <c r="F25" s="231">
        <f>(E25/1000)*D25</f>
        <v>0</v>
      </c>
      <c r="G25" s="229"/>
      <c r="H25" s="229"/>
      <c r="I25" s="229"/>
      <c r="J25" s="232" t="s">
        <v>7</v>
      </c>
    </row>
    <row r="26" spans="2:10" x14ac:dyDescent="0.3">
      <c r="C26" s="228" t="s">
        <v>189</v>
      </c>
      <c r="D26" s="229">
        <v>15</v>
      </c>
      <c r="E26" s="230"/>
      <c r="F26" s="231"/>
      <c r="G26" s="229"/>
      <c r="H26" s="229"/>
      <c r="I26" s="229"/>
      <c r="J26" s="232"/>
    </row>
    <row r="27" spans="2:10" x14ac:dyDescent="0.3">
      <c r="C27" s="228" t="s">
        <v>78</v>
      </c>
      <c r="D27" s="229">
        <v>10</v>
      </c>
      <c r="E27" s="230"/>
      <c r="F27" s="231"/>
      <c r="G27" s="229"/>
      <c r="H27" s="229"/>
      <c r="I27" s="229"/>
      <c r="J27" s="232"/>
    </row>
    <row r="28" spans="2:10" x14ac:dyDescent="0.3">
      <c r="C28" s="228" t="s">
        <v>190</v>
      </c>
      <c r="D28" s="229">
        <v>10</v>
      </c>
      <c r="E28" s="230"/>
      <c r="F28" s="231"/>
      <c r="G28" s="229"/>
      <c r="H28" s="229"/>
      <c r="I28" s="229"/>
      <c r="J28" s="232"/>
    </row>
    <row r="29" spans="2:10" x14ac:dyDescent="0.3">
      <c r="C29" s="228" t="s">
        <v>191</v>
      </c>
      <c r="D29" s="229">
        <v>1</v>
      </c>
      <c r="E29" s="230"/>
      <c r="F29" s="231"/>
      <c r="G29" s="229"/>
      <c r="H29" s="229"/>
      <c r="I29" s="229"/>
      <c r="J29" s="232"/>
    </row>
    <row r="30" spans="2:10" x14ac:dyDescent="0.3">
      <c r="C30" s="228" t="s">
        <v>16</v>
      </c>
      <c r="D30" s="229">
        <v>942</v>
      </c>
      <c r="E30" s="230"/>
      <c r="F30" s="231"/>
      <c r="G30" s="229"/>
      <c r="H30" s="229"/>
      <c r="I30" s="229"/>
      <c r="J30" s="232"/>
    </row>
    <row r="31" spans="2:10" x14ac:dyDescent="0.3">
      <c r="C31" s="235"/>
      <c r="D31" s="253">
        <f>SUM(D25:D30)</f>
        <v>998</v>
      </c>
      <c r="E31" s="254"/>
      <c r="F31" s="255">
        <f>SUM(F25:F30)</f>
        <v>0</v>
      </c>
      <c r="G31" s="253">
        <f>SUM(G25:G30)</f>
        <v>0</v>
      </c>
      <c r="H31" s="258">
        <f>SUM(H25:H30)</f>
        <v>0</v>
      </c>
      <c r="I31" s="258">
        <f>SUM(I25:I30)</f>
        <v>0</v>
      </c>
      <c r="J31" s="257"/>
    </row>
  </sheetData>
  <mergeCells count="3">
    <mergeCell ref="C3:J3"/>
    <mergeCell ref="C12:J12"/>
    <mergeCell ref="C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1F49-A902-4E7E-B7C9-395CB8044F43}">
  <dimension ref="A3:K415"/>
  <sheetViews>
    <sheetView topLeftCell="A405" zoomScaleNormal="100" workbookViewId="0">
      <selection activeCell="A324" sqref="A324:XFD325"/>
    </sheetView>
  </sheetViews>
  <sheetFormatPr baseColWidth="10" defaultRowHeight="14.4" x14ac:dyDescent="0.3"/>
  <cols>
    <col min="3" max="3" width="33" customWidth="1"/>
    <col min="4" max="4" width="13.109375" bestFit="1" customWidth="1"/>
    <col min="5" max="5" width="14.33203125" bestFit="1" customWidth="1"/>
    <col min="6" max="6" width="12.44140625" bestFit="1" customWidth="1"/>
    <col min="7" max="7" width="17" customWidth="1"/>
    <col min="8" max="8" width="13" hidden="1" customWidth="1"/>
    <col min="10" max="10" width="11.44140625" customWidth="1"/>
    <col min="12" max="13" width="11.44140625" customWidth="1"/>
  </cols>
  <sheetData>
    <row r="3" spans="2:8" ht="23.4" x14ac:dyDescent="0.3">
      <c r="C3" s="189" t="s">
        <v>210</v>
      </c>
      <c r="D3" s="190"/>
      <c r="E3" s="190"/>
      <c r="F3" s="190"/>
      <c r="G3" s="190"/>
      <c r="H3" s="191"/>
    </row>
    <row r="4" spans="2:8" ht="46.8" x14ac:dyDescent="0.3">
      <c r="B4" s="1">
        <v>1</v>
      </c>
      <c r="C4" s="2" t="s">
        <v>0</v>
      </c>
      <c r="D4" s="3" t="s">
        <v>1</v>
      </c>
      <c r="E4" s="3" t="s">
        <v>742</v>
      </c>
      <c r="F4" s="3" t="s">
        <v>743</v>
      </c>
      <c r="G4" s="3" t="s">
        <v>342</v>
      </c>
      <c r="H4" s="4"/>
    </row>
    <row r="5" spans="2:8" x14ac:dyDescent="0.3">
      <c r="B5">
        <v>2</v>
      </c>
      <c r="C5" s="5" t="s">
        <v>6</v>
      </c>
      <c r="D5" s="6">
        <v>40</v>
      </c>
      <c r="E5" s="6">
        <f>(D5*15)</f>
        <v>600</v>
      </c>
      <c r="F5" s="6">
        <f>(D5*20)</f>
        <v>800</v>
      </c>
      <c r="G5" s="9">
        <f>(D5*30)</f>
        <v>1200</v>
      </c>
      <c r="H5" s="10" t="s">
        <v>7</v>
      </c>
    </row>
    <row r="6" spans="2:8" x14ac:dyDescent="0.3">
      <c r="B6">
        <v>1</v>
      </c>
      <c r="C6" s="5" t="s">
        <v>8</v>
      </c>
      <c r="D6" s="6">
        <v>500</v>
      </c>
      <c r="E6" s="6">
        <f>(D6*15)</f>
        <v>7500</v>
      </c>
      <c r="F6" s="6">
        <f>(D6*20)</f>
        <v>10000</v>
      </c>
      <c r="G6" s="9">
        <f>(D6*30)</f>
        <v>15000</v>
      </c>
      <c r="H6" s="10" t="s">
        <v>7</v>
      </c>
    </row>
    <row r="7" spans="2:8" x14ac:dyDescent="0.3">
      <c r="B7">
        <v>4</v>
      </c>
      <c r="C7" s="5" t="s">
        <v>9</v>
      </c>
      <c r="D7" s="6">
        <v>457.5</v>
      </c>
      <c r="E7" s="6">
        <f>(D7*15)</f>
        <v>6862.5</v>
      </c>
      <c r="F7" s="6">
        <f>(D7*20)</f>
        <v>9150</v>
      </c>
      <c r="G7" s="9">
        <f>(D7*30)</f>
        <v>13725</v>
      </c>
      <c r="H7" s="10" t="s">
        <v>7</v>
      </c>
    </row>
    <row r="8" spans="2:8" x14ac:dyDescent="0.3">
      <c r="B8">
        <v>3</v>
      </c>
      <c r="C8" s="5" t="s">
        <v>10</v>
      </c>
      <c r="D8" s="11">
        <v>2.5</v>
      </c>
      <c r="E8" s="6">
        <f>(D8*15)</f>
        <v>37.5</v>
      </c>
      <c r="F8" s="6">
        <f>(D8*20)</f>
        <v>50</v>
      </c>
      <c r="G8" s="9">
        <f>(D8*30)</f>
        <v>75</v>
      </c>
      <c r="H8" s="10" t="s">
        <v>7</v>
      </c>
    </row>
    <row r="9" spans="2:8" x14ac:dyDescent="0.3">
      <c r="D9" s="13">
        <f>SUM(D5:D8)</f>
        <v>1000</v>
      </c>
      <c r="E9" s="13">
        <f>SUM(E5:E8)</f>
        <v>15000</v>
      </c>
      <c r="F9" s="169">
        <f>SUM(F5:F8)</f>
        <v>20000</v>
      </c>
      <c r="G9" s="13">
        <f>SUM(G5:G8)</f>
        <v>30000</v>
      </c>
      <c r="H9" s="17"/>
    </row>
    <row r="10" spans="2:8" x14ac:dyDescent="0.3">
      <c r="D10" s="134"/>
      <c r="E10" s="134"/>
      <c r="F10" s="136"/>
      <c r="G10" s="134"/>
      <c r="H10" s="132"/>
    </row>
    <row r="11" spans="2:8" x14ac:dyDescent="0.3">
      <c r="D11" s="134"/>
      <c r="E11" s="134"/>
      <c r="F11" s="136"/>
      <c r="G11" s="134"/>
      <c r="H11" s="132"/>
    </row>
    <row r="14" spans="2:8" ht="23.4" x14ac:dyDescent="0.3">
      <c r="C14" s="189" t="s">
        <v>40</v>
      </c>
      <c r="D14" s="190"/>
      <c r="E14" s="190"/>
      <c r="F14" s="190"/>
      <c r="G14" s="190"/>
      <c r="H14" s="191"/>
    </row>
    <row r="15" spans="2:8" ht="62.4" x14ac:dyDescent="0.3">
      <c r="B15" s="1">
        <v>2</v>
      </c>
      <c r="C15" s="2" t="s">
        <v>0</v>
      </c>
      <c r="D15" s="3" t="s">
        <v>42</v>
      </c>
      <c r="E15" s="3" t="s">
        <v>44</v>
      </c>
      <c r="F15" s="3" t="s">
        <v>5</v>
      </c>
      <c r="G15" s="4" t="s">
        <v>45</v>
      </c>
      <c r="H15" s="4"/>
    </row>
    <row r="16" spans="2:8" x14ac:dyDescent="0.3">
      <c r="B16">
        <v>1</v>
      </c>
      <c r="C16" s="5" t="s">
        <v>41</v>
      </c>
      <c r="D16" s="6">
        <v>120</v>
      </c>
      <c r="E16" s="6">
        <f>(D16*72)</f>
        <v>8640</v>
      </c>
      <c r="F16" s="7" t="e">
        <f>(#REF!/1000)*E16</f>
        <v>#REF!</v>
      </c>
      <c r="G16" s="9">
        <f>(D16*300)</f>
        <v>36000</v>
      </c>
      <c r="H16" s="10" t="s">
        <v>7</v>
      </c>
    </row>
    <row r="17" spans="2:8" x14ac:dyDescent="0.3">
      <c r="B17">
        <v>3</v>
      </c>
      <c r="C17" s="5" t="s">
        <v>43</v>
      </c>
      <c r="D17" s="6">
        <v>5</v>
      </c>
      <c r="E17" s="6">
        <f>(D17*72)</f>
        <v>360</v>
      </c>
      <c r="F17" s="7" t="e">
        <f>(#REF!/1000)*E17</f>
        <v>#REF!</v>
      </c>
      <c r="G17" s="9">
        <f>(D17*300)</f>
        <v>1500</v>
      </c>
      <c r="H17" s="10" t="s">
        <v>7</v>
      </c>
    </row>
    <row r="18" spans="2:8" x14ac:dyDescent="0.3">
      <c r="C18" s="133" t="s">
        <v>343</v>
      </c>
      <c r="D18" s="6">
        <v>1</v>
      </c>
      <c r="E18" s="6">
        <f>(D18*72)</f>
        <v>72</v>
      </c>
      <c r="F18" s="7"/>
      <c r="G18" s="9"/>
      <c r="H18" s="10"/>
    </row>
    <row r="19" spans="2:8" x14ac:dyDescent="0.3">
      <c r="D19" s="13">
        <f>SUM(D16:D18)</f>
        <v>126</v>
      </c>
      <c r="E19" s="13">
        <f>SUM(E16:E18)</f>
        <v>9072</v>
      </c>
      <c r="F19" s="16" t="e">
        <f>SUM(F16:F17)</f>
        <v>#REF!</v>
      </c>
      <c r="G19" s="13">
        <f>SUM(G16:G17)</f>
        <v>37500</v>
      </c>
      <c r="H19" s="17"/>
    </row>
    <row r="20" spans="2:8" x14ac:dyDescent="0.3">
      <c r="D20" s="134"/>
      <c r="E20" s="134"/>
      <c r="F20" s="136"/>
      <c r="G20" s="134"/>
      <c r="H20" s="137"/>
    </row>
    <row r="22" spans="2:8" ht="23.4" x14ac:dyDescent="0.3">
      <c r="C22" s="189" t="s">
        <v>107</v>
      </c>
      <c r="D22" s="190"/>
      <c r="E22" s="190"/>
      <c r="F22" s="190"/>
      <c r="G22" s="190"/>
      <c r="H22" s="191"/>
    </row>
    <row r="23" spans="2:8" ht="62.4" x14ac:dyDescent="0.3">
      <c r="B23" s="1">
        <v>3</v>
      </c>
      <c r="C23" s="2" t="s">
        <v>0</v>
      </c>
      <c r="D23" s="3" t="s">
        <v>1</v>
      </c>
      <c r="E23" s="3" t="s">
        <v>100</v>
      </c>
      <c r="F23" s="3" t="s">
        <v>101</v>
      </c>
      <c r="G23" s="3" t="s">
        <v>102</v>
      </c>
      <c r="H23" s="4"/>
    </row>
    <row r="24" spans="2:8" x14ac:dyDescent="0.3">
      <c r="B24">
        <v>1</v>
      </c>
      <c r="C24" s="24" t="s">
        <v>103</v>
      </c>
      <c r="D24" s="9">
        <v>990</v>
      </c>
      <c r="E24" s="9">
        <f>(D24*10)</f>
        <v>9900</v>
      </c>
      <c r="F24" s="57" t="e">
        <f>(#REF!/1000)*E24</f>
        <v>#REF!</v>
      </c>
      <c r="G24" s="9">
        <f>(D24*60)</f>
        <v>59400</v>
      </c>
      <c r="H24" s="14" t="s">
        <v>7</v>
      </c>
    </row>
    <row r="25" spans="2:8" x14ac:dyDescent="0.3">
      <c r="B25">
        <v>2</v>
      </c>
      <c r="C25" s="24" t="s">
        <v>104</v>
      </c>
      <c r="D25" s="58">
        <v>5</v>
      </c>
      <c r="E25" s="9">
        <f>(D25*10)</f>
        <v>50</v>
      </c>
      <c r="F25" s="57" t="e">
        <f>(#REF!/1000)*E25</f>
        <v>#REF!</v>
      </c>
      <c r="G25" s="9">
        <f>(D25*60)</f>
        <v>300</v>
      </c>
      <c r="H25" s="59" t="s">
        <v>7</v>
      </c>
    </row>
    <row r="26" spans="2:8" x14ac:dyDescent="0.3">
      <c r="B26">
        <v>3</v>
      </c>
      <c r="C26" s="24" t="s">
        <v>105</v>
      </c>
      <c r="D26" s="9">
        <v>5</v>
      </c>
      <c r="E26" s="9">
        <f>(D26*10)</f>
        <v>50</v>
      </c>
      <c r="F26" s="57" t="e">
        <f>(#REF!/1000)*E26</f>
        <v>#REF!</v>
      </c>
      <c r="G26" s="9">
        <f>(D26*60)</f>
        <v>300</v>
      </c>
      <c r="H26" s="59" t="s">
        <v>7</v>
      </c>
    </row>
    <row r="27" spans="2:8" x14ac:dyDescent="0.3">
      <c r="D27" s="13">
        <f>SUM(D24:D26)</f>
        <v>1000</v>
      </c>
      <c r="E27" s="13">
        <f>SUM(E24:E26)</f>
        <v>10000</v>
      </c>
      <c r="F27" s="15" t="e">
        <f>SUM(F24:F26)</f>
        <v>#REF!</v>
      </c>
      <c r="G27" s="13">
        <f>SUM(G24:G26)</f>
        <v>60000</v>
      </c>
      <c r="H27" s="60"/>
    </row>
    <row r="30" spans="2:8" ht="23.4" x14ac:dyDescent="0.45">
      <c r="C30" s="172" t="s">
        <v>744</v>
      </c>
      <c r="D30" s="173"/>
      <c r="E30" s="173"/>
      <c r="F30" s="173"/>
      <c r="G30" s="173"/>
      <c r="H30" s="174"/>
    </row>
    <row r="31" spans="2:8" ht="46.8" x14ac:dyDescent="0.3">
      <c r="B31" s="1">
        <v>4</v>
      </c>
      <c r="C31" s="2" t="s">
        <v>0</v>
      </c>
      <c r="D31" s="3" t="s">
        <v>1</v>
      </c>
      <c r="E31" s="3" t="s">
        <v>270</v>
      </c>
      <c r="F31" s="3" t="s">
        <v>408</v>
      </c>
      <c r="G31" s="3" t="s">
        <v>87</v>
      </c>
      <c r="H31" s="4"/>
    </row>
    <row r="32" spans="2:8" x14ac:dyDescent="0.3">
      <c r="B32">
        <v>1</v>
      </c>
      <c r="C32" s="5" t="s">
        <v>16</v>
      </c>
      <c r="D32" s="6">
        <v>786</v>
      </c>
      <c r="E32" s="6">
        <f>(D32*20)</f>
        <v>15720</v>
      </c>
      <c r="F32" s="6">
        <f>(D32*50)</f>
        <v>39300</v>
      </c>
      <c r="G32" s="6">
        <f>(D32*100)</f>
        <v>78600</v>
      </c>
      <c r="H32" s="10" t="s">
        <v>7</v>
      </c>
    </row>
    <row r="33" spans="2:8" x14ac:dyDescent="0.3">
      <c r="B33">
        <v>4</v>
      </c>
      <c r="C33" s="5" t="s">
        <v>67</v>
      </c>
      <c r="D33" s="6">
        <v>70</v>
      </c>
      <c r="E33" s="6">
        <f>(D33*20)</f>
        <v>1400</v>
      </c>
      <c r="F33" s="6">
        <f>(D33*50)</f>
        <v>3500</v>
      </c>
      <c r="G33" s="6">
        <f>(D33*100)</f>
        <v>7000</v>
      </c>
      <c r="H33" s="10" t="s">
        <v>7</v>
      </c>
    </row>
    <row r="34" spans="2:8" x14ac:dyDescent="0.3">
      <c r="B34">
        <v>5</v>
      </c>
      <c r="C34" s="5" t="s">
        <v>68</v>
      </c>
      <c r="D34" s="6">
        <v>70</v>
      </c>
      <c r="E34" s="6">
        <f>(D34*20)</f>
        <v>1400</v>
      </c>
      <c r="F34" s="6">
        <f>(D34*50)</f>
        <v>3500</v>
      </c>
      <c r="G34" s="6">
        <f>(D34*100)</f>
        <v>7000</v>
      </c>
      <c r="H34" s="10" t="s">
        <v>7</v>
      </c>
    </row>
    <row r="35" spans="2:8" x14ac:dyDescent="0.3">
      <c r="B35">
        <v>6</v>
      </c>
      <c r="C35" s="5" t="s">
        <v>124</v>
      </c>
      <c r="D35" s="6">
        <v>30</v>
      </c>
      <c r="E35" s="6">
        <f>(D35*20)</f>
        <v>600</v>
      </c>
      <c r="F35" s="6">
        <f>(D35*50)</f>
        <v>1500</v>
      </c>
      <c r="G35" s="6">
        <f>(D35*100)</f>
        <v>3000</v>
      </c>
      <c r="H35" s="10" t="s">
        <v>7</v>
      </c>
    </row>
    <row r="36" spans="2:8" x14ac:dyDescent="0.3">
      <c r="B36">
        <v>7</v>
      </c>
      <c r="C36" s="5" t="s">
        <v>125</v>
      </c>
      <c r="D36" s="6">
        <v>30</v>
      </c>
      <c r="E36" s="6">
        <f>(D36*20)</f>
        <v>600</v>
      </c>
      <c r="F36" s="6">
        <f>(D36*50)</f>
        <v>1500</v>
      </c>
      <c r="G36" s="6">
        <f>(D36*100)</f>
        <v>3000</v>
      </c>
      <c r="H36" s="10" t="s">
        <v>7</v>
      </c>
    </row>
    <row r="37" spans="2:8" x14ac:dyDescent="0.3">
      <c r="B37">
        <v>9</v>
      </c>
      <c r="C37" s="5" t="s">
        <v>19</v>
      </c>
      <c r="D37" s="6">
        <v>10</v>
      </c>
      <c r="E37" s="6">
        <f>(D37*20)</f>
        <v>200</v>
      </c>
      <c r="F37" s="6">
        <f>(D37*50)</f>
        <v>500</v>
      </c>
      <c r="G37" s="6">
        <f>(D37*100)</f>
        <v>1000</v>
      </c>
      <c r="H37" s="5" t="s">
        <v>7</v>
      </c>
    </row>
    <row r="38" spans="2:8" x14ac:dyDescent="0.3">
      <c r="B38">
        <v>2</v>
      </c>
      <c r="C38" s="24" t="s">
        <v>28</v>
      </c>
      <c r="D38" s="25">
        <v>1</v>
      </c>
      <c r="E38" s="6">
        <f>(D38*20)</f>
        <v>20</v>
      </c>
      <c r="F38" s="6">
        <f>(D38*50)</f>
        <v>50</v>
      </c>
      <c r="G38" s="6">
        <f>(D38*100)</f>
        <v>100</v>
      </c>
      <c r="H38" s="5" t="s">
        <v>7</v>
      </c>
    </row>
    <row r="39" spans="2:8" x14ac:dyDescent="0.3">
      <c r="B39">
        <v>3</v>
      </c>
      <c r="C39" s="24" t="s">
        <v>29</v>
      </c>
      <c r="D39" s="11">
        <v>0.5</v>
      </c>
      <c r="E39" s="6">
        <f>(D39*20)</f>
        <v>10</v>
      </c>
      <c r="F39" s="6">
        <f>(D39*50)</f>
        <v>25</v>
      </c>
      <c r="G39" s="6">
        <f>(D39*100)</f>
        <v>50</v>
      </c>
      <c r="H39" s="5" t="s">
        <v>7</v>
      </c>
    </row>
    <row r="40" spans="2:8" x14ac:dyDescent="0.3">
      <c r="C40" s="27"/>
      <c r="D40" s="13">
        <f>SUM(D32:D39)</f>
        <v>997.5</v>
      </c>
      <c r="E40" s="13">
        <f>SUM(E32:E39)</f>
        <v>19950</v>
      </c>
      <c r="F40" s="128">
        <f>SUM(F32:F39)</f>
        <v>49875</v>
      </c>
      <c r="G40" s="84">
        <f>SUM(G32:G39)</f>
        <v>99750</v>
      </c>
      <c r="H40" s="17"/>
    </row>
    <row r="43" spans="2:8" ht="23.4" x14ac:dyDescent="0.45">
      <c r="C43" s="172" t="s">
        <v>421</v>
      </c>
      <c r="D43" s="173"/>
      <c r="E43" s="173"/>
      <c r="F43" s="173"/>
      <c r="G43" s="173"/>
      <c r="H43" s="174"/>
    </row>
    <row r="44" spans="2:8" ht="46.8" x14ac:dyDescent="0.3">
      <c r="B44" s="1">
        <v>5</v>
      </c>
      <c r="C44" s="2" t="s">
        <v>0</v>
      </c>
      <c r="D44" s="3" t="s">
        <v>135</v>
      </c>
      <c r="E44" s="3" t="s">
        <v>15</v>
      </c>
      <c r="F44" s="3" t="s">
        <v>15</v>
      </c>
      <c r="G44" s="3" t="s">
        <v>126</v>
      </c>
      <c r="H44" s="4"/>
    </row>
    <row r="45" spans="2:8" x14ac:dyDescent="0.3">
      <c r="B45">
        <v>8</v>
      </c>
      <c r="C45" s="5" t="s">
        <v>131</v>
      </c>
      <c r="D45" s="6">
        <v>1</v>
      </c>
      <c r="E45" s="6">
        <f>(D45*15)</f>
        <v>15</v>
      </c>
      <c r="F45" s="7" t="e">
        <f>(#REF!/1000)*E45</f>
        <v>#REF!</v>
      </c>
      <c r="G45" s="6">
        <f>(D45*30)</f>
        <v>30</v>
      </c>
      <c r="H45" s="10" t="s">
        <v>7</v>
      </c>
    </row>
    <row r="46" spans="2:8" x14ac:dyDescent="0.3">
      <c r="B46">
        <v>6</v>
      </c>
      <c r="C46" s="5" t="s">
        <v>129</v>
      </c>
      <c r="D46" s="6">
        <v>3</v>
      </c>
      <c r="E46" s="6">
        <f>(D46*15)</f>
        <v>45</v>
      </c>
      <c r="F46" s="7" t="e">
        <f>(#REF!/1000)*E46</f>
        <v>#REF!</v>
      </c>
      <c r="G46" s="6">
        <f>(D46*30)</f>
        <v>90</v>
      </c>
      <c r="H46" s="10" t="s">
        <v>7</v>
      </c>
    </row>
    <row r="47" spans="2:8" x14ac:dyDescent="0.3">
      <c r="B47">
        <v>5</v>
      </c>
      <c r="C47" s="5" t="s">
        <v>128</v>
      </c>
      <c r="D47" s="6">
        <v>5</v>
      </c>
      <c r="E47" s="6">
        <f>(D47*15)</f>
        <v>75</v>
      </c>
      <c r="F47" s="7" t="e">
        <f>(#REF!/1000)*E47</f>
        <v>#REF!</v>
      </c>
      <c r="G47" s="6">
        <f>(D47*30)</f>
        <v>150</v>
      </c>
      <c r="H47" s="10" t="s">
        <v>7</v>
      </c>
    </row>
    <row r="48" spans="2:8" x14ac:dyDescent="0.3">
      <c r="B48">
        <v>7</v>
      </c>
      <c r="C48" s="5" t="s">
        <v>130</v>
      </c>
      <c r="D48" s="6">
        <v>5</v>
      </c>
      <c r="E48" s="6">
        <f>(D48*15)</f>
        <v>75</v>
      </c>
      <c r="F48" s="7" t="e">
        <f>(#REF!/1000)*E48</f>
        <v>#REF!</v>
      </c>
      <c r="G48" s="6">
        <f>(D48*30)</f>
        <v>150</v>
      </c>
      <c r="H48" s="10" t="s">
        <v>7</v>
      </c>
    </row>
    <row r="49" spans="2:11" x14ac:dyDescent="0.3">
      <c r="B49">
        <v>1</v>
      </c>
      <c r="C49" s="5" t="s">
        <v>134</v>
      </c>
      <c r="D49" s="6">
        <v>10</v>
      </c>
      <c r="E49" s="6">
        <f>(D49*15)</f>
        <v>150</v>
      </c>
      <c r="F49" s="6" t="e">
        <f>(#REF!*15)</f>
        <v>#REF!</v>
      </c>
      <c r="G49" s="6">
        <f>(D49*30)</f>
        <v>300</v>
      </c>
      <c r="H49" s="10" t="s">
        <v>7</v>
      </c>
    </row>
    <row r="50" spans="2:11" x14ac:dyDescent="0.3">
      <c r="B50">
        <v>4</v>
      </c>
      <c r="C50" s="5" t="s">
        <v>127</v>
      </c>
      <c r="D50" s="6">
        <v>30</v>
      </c>
      <c r="E50" s="6">
        <f>(D50*15)</f>
        <v>450</v>
      </c>
      <c r="F50" s="7" t="e">
        <f>(#REF!/1000)*E50</f>
        <v>#REF!</v>
      </c>
      <c r="G50" s="6">
        <f>(D50*30)</f>
        <v>900</v>
      </c>
      <c r="H50" s="5" t="s">
        <v>7</v>
      </c>
    </row>
    <row r="51" spans="2:11" x14ac:dyDescent="0.3">
      <c r="B51">
        <v>2</v>
      </c>
      <c r="C51" s="24" t="s">
        <v>132</v>
      </c>
      <c r="D51" s="25">
        <v>100</v>
      </c>
      <c r="E51" s="6">
        <f>(D51*15)</f>
        <v>1500</v>
      </c>
      <c r="F51" s="7" t="e">
        <f>(#REF!/1000)*E51</f>
        <v>#REF!</v>
      </c>
      <c r="G51" s="6">
        <f>(D51*30)</f>
        <v>3000</v>
      </c>
      <c r="H51" s="5" t="s">
        <v>7</v>
      </c>
    </row>
    <row r="52" spans="2:11" x14ac:dyDescent="0.3">
      <c r="B52">
        <v>3</v>
      </c>
      <c r="C52" s="24" t="s">
        <v>133</v>
      </c>
      <c r="D52" s="11">
        <v>448</v>
      </c>
      <c r="E52" s="6">
        <f>(D52*15)</f>
        <v>6720</v>
      </c>
      <c r="F52" s="7" t="e">
        <f>(#REF!/1000)*E52</f>
        <v>#REF!</v>
      </c>
      <c r="G52" s="6">
        <f>(D52*30)</f>
        <v>13440</v>
      </c>
      <c r="H52" s="5" t="s">
        <v>7</v>
      </c>
    </row>
    <row r="53" spans="2:11" x14ac:dyDescent="0.3">
      <c r="C53" s="24" t="s">
        <v>9</v>
      </c>
      <c r="D53" s="11">
        <v>398</v>
      </c>
      <c r="E53" s="6">
        <f>(D53*15)</f>
        <v>5970</v>
      </c>
      <c r="F53" s="7" t="e">
        <f>(#REF!/1000)*E53</f>
        <v>#REF!</v>
      </c>
      <c r="G53" s="6">
        <f>(D53*30)</f>
        <v>11940</v>
      </c>
      <c r="H53" s="5"/>
    </row>
    <row r="54" spans="2:11" x14ac:dyDescent="0.3">
      <c r="C54" s="27"/>
      <c r="D54" s="13">
        <f>SUM(D45:D53)</f>
        <v>1000</v>
      </c>
      <c r="E54" s="13">
        <f>SUM(E45:E53)</f>
        <v>15000</v>
      </c>
      <c r="F54" s="16" t="e">
        <f>SUM(F45:F53)</f>
        <v>#REF!</v>
      </c>
      <c r="G54" s="67">
        <f>SUM(G45:G53)</f>
        <v>30000</v>
      </c>
      <c r="H54" s="17"/>
    </row>
    <row r="57" spans="2:11" ht="23.4" x14ac:dyDescent="0.45">
      <c r="B57" t="s">
        <v>114</v>
      </c>
      <c r="C57" s="172" t="s">
        <v>243</v>
      </c>
      <c r="D57" s="173"/>
      <c r="E57" s="173"/>
      <c r="F57" s="173"/>
      <c r="G57" s="173"/>
      <c r="H57" s="174"/>
    </row>
    <row r="58" spans="2:11" ht="46.8" x14ac:dyDescent="0.3">
      <c r="B58" s="1">
        <v>6</v>
      </c>
      <c r="C58" s="2" t="s">
        <v>0</v>
      </c>
      <c r="D58" s="3" t="s">
        <v>1</v>
      </c>
      <c r="E58" s="3" t="s">
        <v>745</v>
      </c>
      <c r="F58" s="3" t="s">
        <v>246</v>
      </c>
      <c r="G58" s="3" t="s">
        <v>87</v>
      </c>
      <c r="H58" s="4"/>
      <c r="K58" t="s">
        <v>180</v>
      </c>
    </row>
    <row r="59" spans="2:11" x14ac:dyDescent="0.3">
      <c r="C59" s="5" t="s">
        <v>67</v>
      </c>
      <c r="D59" s="6">
        <v>70</v>
      </c>
      <c r="E59" s="6">
        <f>(D59*25)</f>
        <v>1750</v>
      </c>
      <c r="F59" s="6">
        <f>(D59*50)</f>
        <v>3500</v>
      </c>
      <c r="G59" s="6">
        <f>(D59*100)</f>
        <v>7000</v>
      </c>
      <c r="H59" s="10" t="s">
        <v>7</v>
      </c>
    </row>
    <row r="60" spans="2:11" x14ac:dyDescent="0.3">
      <c r="C60" s="5" t="s">
        <v>68</v>
      </c>
      <c r="D60" s="6">
        <v>70</v>
      </c>
      <c r="E60" s="6">
        <f t="shared" ref="E60:E65" si="0">(D60*25)</f>
        <v>1750</v>
      </c>
      <c r="F60" s="6">
        <f t="shared" ref="F60:F65" si="1">(D60*50)</f>
        <v>3500</v>
      </c>
      <c r="G60" s="6">
        <f t="shared" ref="G60:G65" si="2">(D60*100)</f>
        <v>7000</v>
      </c>
      <c r="H60" s="10" t="s">
        <v>7</v>
      </c>
    </row>
    <row r="61" spans="2:11" x14ac:dyDescent="0.3">
      <c r="C61" s="5" t="s">
        <v>125</v>
      </c>
      <c r="D61" s="6">
        <v>30</v>
      </c>
      <c r="E61" s="6">
        <f t="shared" si="0"/>
        <v>750</v>
      </c>
      <c r="F61" s="6">
        <f t="shared" si="1"/>
        <v>1500</v>
      </c>
      <c r="G61" s="6">
        <f t="shared" si="2"/>
        <v>3000</v>
      </c>
      <c r="H61" s="10" t="s">
        <v>7</v>
      </c>
    </row>
    <row r="62" spans="2:11" x14ac:dyDescent="0.3">
      <c r="C62" s="5" t="s">
        <v>244</v>
      </c>
      <c r="D62" s="6">
        <v>30</v>
      </c>
      <c r="E62" s="6">
        <f t="shared" si="0"/>
        <v>750</v>
      </c>
      <c r="F62" s="6">
        <f t="shared" si="1"/>
        <v>1500</v>
      </c>
      <c r="G62" s="6">
        <f t="shared" si="2"/>
        <v>3000</v>
      </c>
      <c r="H62" s="10" t="s">
        <v>7</v>
      </c>
    </row>
    <row r="63" spans="2:11" x14ac:dyDescent="0.3">
      <c r="C63" s="24" t="s">
        <v>59</v>
      </c>
      <c r="D63" s="25">
        <v>20</v>
      </c>
      <c r="E63" s="6">
        <f t="shared" si="0"/>
        <v>500</v>
      </c>
      <c r="F63" s="6">
        <f t="shared" si="1"/>
        <v>1000</v>
      </c>
      <c r="G63" s="6">
        <f t="shared" si="2"/>
        <v>2000</v>
      </c>
      <c r="H63" s="5" t="s">
        <v>7</v>
      </c>
    </row>
    <row r="64" spans="2:11" x14ac:dyDescent="0.3">
      <c r="C64" s="24" t="s">
        <v>16</v>
      </c>
      <c r="D64" s="25">
        <v>777</v>
      </c>
      <c r="E64" s="6">
        <f t="shared" si="0"/>
        <v>19425</v>
      </c>
      <c r="F64" s="6">
        <f t="shared" si="1"/>
        <v>38850</v>
      </c>
      <c r="G64" s="6">
        <f t="shared" si="2"/>
        <v>77700</v>
      </c>
      <c r="H64" s="5"/>
    </row>
    <row r="65" spans="1:8" x14ac:dyDescent="0.3">
      <c r="C65" s="24" t="s">
        <v>60</v>
      </c>
      <c r="D65" s="32">
        <v>2.5</v>
      </c>
      <c r="E65" s="6">
        <f t="shared" si="0"/>
        <v>62.5</v>
      </c>
      <c r="F65" s="6">
        <f t="shared" si="1"/>
        <v>125</v>
      </c>
      <c r="G65" s="6">
        <f t="shared" si="2"/>
        <v>250</v>
      </c>
      <c r="H65" s="5"/>
    </row>
    <row r="66" spans="1:8" x14ac:dyDescent="0.3">
      <c r="C66" s="27"/>
      <c r="D66" s="13">
        <f>SUM(D59:D65)</f>
        <v>999.5</v>
      </c>
      <c r="E66" s="13">
        <f>SUM(E59:E65)</f>
        <v>24987.5</v>
      </c>
      <c r="F66" s="67">
        <f>SUM(F59:F65)</f>
        <v>49975</v>
      </c>
      <c r="G66" s="84">
        <f>SUM(G59:G65)</f>
        <v>99950</v>
      </c>
      <c r="H66" s="17"/>
    </row>
    <row r="69" spans="1:8" ht="23.4" x14ac:dyDescent="0.45">
      <c r="C69" s="172" t="s">
        <v>746</v>
      </c>
      <c r="D69" s="173"/>
      <c r="E69" s="173"/>
      <c r="F69" s="173"/>
      <c r="G69" s="173"/>
      <c r="H69" s="174"/>
    </row>
    <row r="70" spans="1:8" ht="46.8" x14ac:dyDescent="0.3">
      <c r="B70" s="1">
        <v>7</v>
      </c>
      <c r="C70" s="2" t="s">
        <v>0</v>
      </c>
      <c r="D70" s="3" t="s">
        <v>1</v>
      </c>
      <c r="E70" s="3" t="s">
        <v>546</v>
      </c>
      <c r="F70" s="3" t="s">
        <v>46</v>
      </c>
      <c r="G70" s="3" t="s">
        <v>408</v>
      </c>
      <c r="H70" s="4"/>
    </row>
    <row r="71" spans="1:8" x14ac:dyDescent="0.3">
      <c r="A71" s="194" t="s">
        <v>37</v>
      </c>
      <c r="B71" s="49">
        <v>1</v>
      </c>
      <c r="C71" s="5" t="s">
        <v>261</v>
      </c>
      <c r="D71" s="6">
        <v>5</v>
      </c>
      <c r="E71" s="6">
        <f>(D71*10)</f>
        <v>50</v>
      </c>
      <c r="F71" s="6">
        <f>(D71*20)</f>
        <v>100</v>
      </c>
      <c r="G71" s="6">
        <f>(D71*50)</f>
        <v>250</v>
      </c>
      <c r="H71" s="10" t="s">
        <v>7</v>
      </c>
    </row>
    <row r="72" spans="1:8" x14ac:dyDescent="0.3">
      <c r="A72" s="195"/>
      <c r="B72" s="28">
        <v>2</v>
      </c>
      <c r="C72" s="5" t="s">
        <v>252</v>
      </c>
      <c r="D72" s="6">
        <v>5</v>
      </c>
      <c r="E72" s="6">
        <f>(D72*10)</f>
        <v>50</v>
      </c>
      <c r="F72" s="6">
        <f>(D72*20)</f>
        <v>100</v>
      </c>
      <c r="G72" s="6">
        <f>(D72*50)</f>
        <v>250</v>
      </c>
      <c r="H72" s="10" t="s">
        <v>7</v>
      </c>
    </row>
    <row r="73" spans="1:8" x14ac:dyDescent="0.3">
      <c r="A73" s="196"/>
      <c r="B73" s="75">
        <v>3</v>
      </c>
      <c r="C73" s="5" t="s">
        <v>225</v>
      </c>
      <c r="D73" s="6">
        <v>40</v>
      </c>
      <c r="E73" s="6">
        <f>(D73*10)</f>
        <v>400</v>
      </c>
      <c r="F73" s="6">
        <f>(D73*20)</f>
        <v>800</v>
      </c>
      <c r="G73" s="6">
        <f>(D73*50)</f>
        <v>2000</v>
      </c>
      <c r="H73" s="10" t="s">
        <v>7</v>
      </c>
    </row>
    <row r="74" spans="1:8" x14ac:dyDescent="0.3">
      <c r="A74" s="35">
        <v>1</v>
      </c>
      <c r="B74" s="197" t="s">
        <v>38</v>
      </c>
      <c r="C74" s="87" t="s">
        <v>173</v>
      </c>
      <c r="D74" s="6">
        <v>869</v>
      </c>
      <c r="E74" s="6">
        <f>(D74*10)</f>
        <v>8690</v>
      </c>
      <c r="F74" s="6">
        <f>(D74*20)</f>
        <v>17380</v>
      </c>
      <c r="G74" s="6">
        <f>(D74*50)</f>
        <v>43450</v>
      </c>
      <c r="H74" s="10"/>
    </row>
    <row r="75" spans="1:8" x14ac:dyDescent="0.3">
      <c r="A75" s="35">
        <v>2</v>
      </c>
      <c r="B75" s="197"/>
      <c r="C75" s="5" t="s">
        <v>263</v>
      </c>
      <c r="D75" s="6">
        <v>10</v>
      </c>
      <c r="E75" s="6">
        <f>(D75*10)</f>
        <v>100</v>
      </c>
      <c r="F75" s="6">
        <f>(D75*20)</f>
        <v>200</v>
      </c>
      <c r="G75" s="6">
        <f>(D75*50)</f>
        <v>500</v>
      </c>
      <c r="H75" s="10" t="s">
        <v>7</v>
      </c>
    </row>
    <row r="76" spans="1:8" ht="15" customHeight="1" x14ac:dyDescent="0.3">
      <c r="A76" s="198" t="s">
        <v>265</v>
      </c>
      <c r="B76" s="89">
        <v>1</v>
      </c>
      <c r="C76" s="88" t="s">
        <v>262</v>
      </c>
      <c r="D76" s="9">
        <v>20</v>
      </c>
      <c r="E76" s="6">
        <f>(D76*10)</f>
        <v>200</v>
      </c>
      <c r="F76" s="6">
        <f>(D76*20)</f>
        <v>400</v>
      </c>
      <c r="G76" s="6">
        <f>(D76*50)</f>
        <v>1000</v>
      </c>
      <c r="H76" s="10"/>
    </row>
    <row r="77" spans="1:8" x14ac:dyDescent="0.3">
      <c r="A77" s="198"/>
      <c r="B77" s="35">
        <v>2</v>
      </c>
      <c r="C77" s="5" t="s">
        <v>59</v>
      </c>
      <c r="D77" s="6">
        <v>30</v>
      </c>
      <c r="E77" s="6">
        <f>(D77*10)</f>
        <v>300</v>
      </c>
      <c r="F77" s="6">
        <f>(D77*20)</f>
        <v>600</v>
      </c>
      <c r="G77" s="6">
        <f>(D77*50)</f>
        <v>1500</v>
      </c>
      <c r="H77" s="5" t="s">
        <v>7</v>
      </c>
    </row>
    <row r="78" spans="1:8" x14ac:dyDescent="0.3">
      <c r="A78" s="198"/>
      <c r="B78" s="35">
        <v>3</v>
      </c>
      <c r="C78" s="24" t="s">
        <v>229</v>
      </c>
      <c r="D78" s="25">
        <v>10</v>
      </c>
      <c r="E78" s="6">
        <f>(D78*10)</f>
        <v>100</v>
      </c>
      <c r="F78" s="6">
        <f>(D78*20)</f>
        <v>200</v>
      </c>
      <c r="G78" s="6">
        <f>(D78*50)</f>
        <v>500</v>
      </c>
      <c r="H78" s="5" t="s">
        <v>7</v>
      </c>
    </row>
    <row r="79" spans="1:8" x14ac:dyDescent="0.3">
      <c r="A79" s="198"/>
      <c r="B79" s="35">
        <v>4</v>
      </c>
      <c r="C79" s="24" t="s">
        <v>9</v>
      </c>
      <c r="D79" s="25">
        <v>10</v>
      </c>
      <c r="E79" s="6">
        <f>(D79*10)</f>
        <v>100</v>
      </c>
      <c r="F79" s="6">
        <f>(D79*20)</f>
        <v>200</v>
      </c>
      <c r="G79" s="6">
        <f>(D79*50)</f>
        <v>500</v>
      </c>
      <c r="H79" s="5"/>
    </row>
    <row r="80" spans="1:8" x14ac:dyDescent="0.3">
      <c r="B80" s="90">
        <v>5</v>
      </c>
      <c r="C80" s="91" t="s">
        <v>264</v>
      </c>
      <c r="D80" s="25"/>
      <c r="E80" s="6">
        <f>(D80*10)</f>
        <v>0</v>
      </c>
      <c r="F80" s="6">
        <f>(D80*20)</f>
        <v>0</v>
      </c>
      <c r="G80" s="6">
        <f>(D80*50)</f>
        <v>0</v>
      </c>
      <c r="H80" s="93"/>
    </row>
    <row r="81" spans="1:8" x14ac:dyDescent="0.3">
      <c r="B81" s="35">
        <v>6</v>
      </c>
      <c r="C81" s="24" t="s">
        <v>245</v>
      </c>
      <c r="D81" s="6">
        <v>0.5</v>
      </c>
      <c r="E81" s="6">
        <f>(D81*10)</f>
        <v>5</v>
      </c>
      <c r="F81" s="6">
        <f>(D81*20)</f>
        <v>10</v>
      </c>
      <c r="G81" s="6">
        <f>(D81*50)</f>
        <v>25</v>
      </c>
      <c r="H81" s="5" t="s">
        <v>7</v>
      </c>
    </row>
    <row r="82" spans="1:8" x14ac:dyDescent="0.3">
      <c r="B82" s="35">
        <v>7</v>
      </c>
      <c r="C82" s="24" t="s">
        <v>121</v>
      </c>
      <c r="D82" s="11">
        <v>0.5</v>
      </c>
      <c r="E82" s="6">
        <f>(D82*10)</f>
        <v>5</v>
      </c>
      <c r="F82" s="6">
        <f>(D82*20)</f>
        <v>10</v>
      </c>
      <c r="G82" s="6">
        <f>(D82*50)</f>
        <v>25</v>
      </c>
      <c r="H82" s="5"/>
    </row>
    <row r="83" spans="1:8" x14ac:dyDescent="0.3">
      <c r="C83" s="27"/>
      <c r="D83" s="19">
        <f>SUM(D71:D82)</f>
        <v>1000</v>
      </c>
      <c r="E83" s="19">
        <f>SUM(E71:E82)</f>
        <v>10000</v>
      </c>
      <c r="F83" s="129">
        <f>SUM(F71:F81)</f>
        <v>19990</v>
      </c>
      <c r="G83" s="147">
        <f>SUM(G71:G82)</f>
        <v>50000</v>
      </c>
      <c r="H83" s="23"/>
    </row>
    <row r="86" spans="1:8" ht="23.4" x14ac:dyDescent="0.45">
      <c r="C86" s="221" t="s">
        <v>299</v>
      </c>
      <c r="D86" s="222"/>
      <c r="E86" s="222"/>
      <c r="F86" s="222"/>
      <c r="G86" s="222"/>
      <c r="H86" s="223"/>
    </row>
    <row r="87" spans="1:8" ht="46.8" x14ac:dyDescent="0.3">
      <c r="B87" s="224">
        <v>8</v>
      </c>
      <c r="C87" s="225" t="s">
        <v>0</v>
      </c>
      <c r="D87" s="226" t="s">
        <v>1</v>
      </c>
      <c r="E87" s="226" t="s">
        <v>246</v>
      </c>
      <c r="F87" s="226" t="s">
        <v>102</v>
      </c>
      <c r="G87" s="226" t="s">
        <v>87</v>
      </c>
      <c r="H87" s="227"/>
    </row>
    <row r="88" spans="1:8" ht="15" customHeight="1" x14ac:dyDescent="0.3">
      <c r="A88" s="141"/>
      <c r="C88" s="228" t="s">
        <v>232</v>
      </c>
      <c r="D88" s="229">
        <v>912</v>
      </c>
      <c r="E88" s="244">
        <f>(D88*50)</f>
        <v>45600</v>
      </c>
      <c r="F88" s="244" t="e">
        <f>(#REF!*15)</f>
        <v>#REF!</v>
      </c>
      <c r="G88" s="244">
        <f>(D88*100)</f>
        <v>91200</v>
      </c>
      <c r="H88" s="232" t="s">
        <v>7</v>
      </c>
    </row>
    <row r="89" spans="1:8" ht="15" customHeight="1" x14ac:dyDescent="0.3">
      <c r="A89" s="141"/>
      <c r="C89" s="228" t="s">
        <v>384</v>
      </c>
      <c r="D89" s="229">
        <v>6</v>
      </c>
      <c r="E89" s="244">
        <f>(D89*50)</f>
        <v>300</v>
      </c>
      <c r="F89" s="245" t="e">
        <f>(#REF!/1000)*E89</f>
        <v>#REF!</v>
      </c>
      <c r="G89" s="244">
        <f>(D89*100)</f>
        <v>600</v>
      </c>
      <c r="H89" s="232" t="s">
        <v>7</v>
      </c>
    </row>
    <row r="90" spans="1:8" ht="15" customHeight="1" x14ac:dyDescent="0.3">
      <c r="A90" s="141"/>
      <c r="C90" s="228" t="s">
        <v>386</v>
      </c>
      <c r="D90" s="229">
        <v>20</v>
      </c>
      <c r="E90" s="244">
        <f>(D90*50)</f>
        <v>1000</v>
      </c>
      <c r="F90" s="245" t="e">
        <f>(#REF!/1000)*E90</f>
        <v>#REF!</v>
      </c>
      <c r="G90" s="244">
        <f>(D90*100)</f>
        <v>2000</v>
      </c>
      <c r="H90" s="232" t="s">
        <v>7</v>
      </c>
    </row>
    <row r="91" spans="1:8" ht="15" customHeight="1" x14ac:dyDescent="0.6">
      <c r="A91" s="140"/>
      <c r="B91" s="246"/>
      <c r="C91" s="233" t="s">
        <v>387</v>
      </c>
      <c r="D91" s="244">
        <v>10</v>
      </c>
      <c r="E91" s="244">
        <f>(D91*50)</f>
        <v>500</v>
      </c>
      <c r="F91" s="245" t="e">
        <f>(#REF!/1000)*E91</f>
        <v>#REF!</v>
      </c>
      <c r="G91" s="244">
        <f>(D91*100)</f>
        <v>1000</v>
      </c>
      <c r="H91" s="232"/>
    </row>
    <row r="92" spans="1:8" ht="15" customHeight="1" x14ac:dyDescent="0.6">
      <c r="A92" s="140"/>
      <c r="B92" s="246"/>
      <c r="C92" s="247" t="s">
        <v>59</v>
      </c>
      <c r="D92" s="244">
        <v>30</v>
      </c>
      <c r="E92" s="244">
        <f>(D92*50)</f>
        <v>1500</v>
      </c>
      <c r="F92" s="245" t="e">
        <f>(#REF!/1000)*E92</f>
        <v>#REF!</v>
      </c>
      <c r="G92" s="244">
        <f>(D92*100)</f>
        <v>3000</v>
      </c>
      <c r="H92" s="232" t="s">
        <v>7</v>
      </c>
    </row>
    <row r="93" spans="1:8" ht="15.75" customHeight="1" x14ac:dyDescent="0.3">
      <c r="A93" s="142"/>
      <c r="B93" s="249"/>
      <c r="C93" s="250" t="s">
        <v>165</v>
      </c>
      <c r="D93" s="244">
        <v>5</v>
      </c>
      <c r="E93" s="244">
        <f>(D93*50)</f>
        <v>250</v>
      </c>
      <c r="F93" s="245" t="e">
        <f>(#REF!/1000)*E93</f>
        <v>#REF!</v>
      </c>
      <c r="G93" s="244">
        <f>(D93*100)</f>
        <v>500</v>
      </c>
      <c r="H93" s="232"/>
    </row>
    <row r="94" spans="1:8" ht="15" customHeight="1" x14ac:dyDescent="0.3">
      <c r="A94" s="142"/>
      <c r="B94" s="251"/>
      <c r="C94" s="233" t="s">
        <v>229</v>
      </c>
      <c r="D94" s="229">
        <v>5</v>
      </c>
      <c r="E94" s="244">
        <f>(D94*50)</f>
        <v>250</v>
      </c>
      <c r="F94" s="245" t="e">
        <f>(#REF!/1000)*E94</f>
        <v>#REF!</v>
      </c>
      <c r="G94" s="244">
        <f>(D94*100)</f>
        <v>500</v>
      </c>
      <c r="H94" s="228" t="s">
        <v>7</v>
      </c>
    </row>
    <row r="95" spans="1:8" ht="15" customHeight="1" x14ac:dyDescent="0.3">
      <c r="A95" s="142"/>
      <c r="B95" s="251"/>
      <c r="C95" s="233" t="s">
        <v>167</v>
      </c>
      <c r="D95" s="234">
        <v>9</v>
      </c>
      <c r="E95" s="244">
        <f>(D95*50)</f>
        <v>450</v>
      </c>
      <c r="F95" s="245" t="e">
        <f>(#REF!/1000)*E95</f>
        <v>#REF!</v>
      </c>
      <c r="G95" s="244">
        <f>(D95*100)</f>
        <v>900</v>
      </c>
      <c r="H95" s="228" t="s">
        <v>7</v>
      </c>
    </row>
    <row r="96" spans="1:8" ht="15" customHeight="1" x14ac:dyDescent="0.3">
      <c r="A96" s="142"/>
      <c r="B96" s="251"/>
      <c r="C96" s="233" t="s">
        <v>245</v>
      </c>
      <c r="D96" s="234">
        <v>1</v>
      </c>
      <c r="E96" s="244">
        <f>(D96*50)</f>
        <v>50</v>
      </c>
      <c r="F96" s="245" t="e">
        <f>(#REF!/1000)*E96</f>
        <v>#REF!</v>
      </c>
      <c r="G96" s="244">
        <f>(D96*100)</f>
        <v>100</v>
      </c>
      <c r="H96" s="228"/>
    </row>
    <row r="97" spans="2:8" x14ac:dyDescent="0.3">
      <c r="B97" s="251"/>
      <c r="C97" s="233" t="s">
        <v>121</v>
      </c>
      <c r="D97" s="242">
        <v>0.5</v>
      </c>
      <c r="E97" s="244">
        <f>(D97*50)</f>
        <v>25</v>
      </c>
      <c r="F97" s="245" t="e">
        <f>(#REF!/1000)*E97</f>
        <v>#REF!</v>
      </c>
      <c r="G97" s="244">
        <f>(D97*100)</f>
        <v>50</v>
      </c>
      <c r="H97" s="252"/>
    </row>
    <row r="98" spans="2:8" x14ac:dyDescent="0.3">
      <c r="C98" s="235"/>
      <c r="D98" s="253">
        <f>SUM(D88:D97)</f>
        <v>998.5</v>
      </c>
      <c r="E98" s="253" t="e">
        <f>SUM(E88:F97)</f>
        <v>#REF!</v>
      </c>
      <c r="F98" s="256" t="e">
        <f>SUM(F88:F97)</f>
        <v>#REF!</v>
      </c>
      <c r="G98" s="257">
        <f>SUM(G88:G97)</f>
        <v>99850</v>
      </c>
      <c r="H98" s="257"/>
    </row>
    <row r="99" spans="2:8" x14ac:dyDescent="0.3">
      <c r="B99" s="192" t="s">
        <v>388</v>
      </c>
      <c r="C99" s="192"/>
      <c r="D99" s="192"/>
      <c r="E99" s="192"/>
      <c r="F99" s="192"/>
      <c r="G99" s="192"/>
      <c r="H99" s="132"/>
    </row>
    <row r="100" spans="2:8" x14ac:dyDescent="0.3">
      <c r="B100" s="192"/>
      <c r="C100" s="192"/>
      <c r="D100" s="192"/>
      <c r="E100" s="192"/>
      <c r="F100" s="192"/>
      <c r="G100" s="192"/>
      <c r="H100" s="132"/>
    </row>
    <row r="103" spans="2:8" ht="23.4" x14ac:dyDescent="0.45">
      <c r="C103" s="172" t="s">
        <v>349</v>
      </c>
      <c r="D103" s="173"/>
      <c r="E103" s="173"/>
      <c r="F103" s="173"/>
      <c r="G103" s="173"/>
      <c r="H103" s="174"/>
    </row>
    <row r="104" spans="2:8" ht="46.8" x14ac:dyDescent="0.3">
      <c r="B104" s="1">
        <v>9</v>
      </c>
      <c r="C104" s="2" t="s">
        <v>0</v>
      </c>
      <c r="D104" s="3" t="s">
        <v>1</v>
      </c>
      <c r="E104" s="3" t="s">
        <v>246</v>
      </c>
      <c r="F104" s="3" t="s">
        <v>102</v>
      </c>
      <c r="G104" s="3" t="s">
        <v>87</v>
      </c>
      <c r="H104" s="4"/>
    </row>
    <row r="105" spans="2:8" x14ac:dyDescent="0.3">
      <c r="C105" s="5" t="s">
        <v>350</v>
      </c>
      <c r="D105" s="6">
        <v>825</v>
      </c>
      <c r="E105" s="6">
        <f>(D105*50)</f>
        <v>41250</v>
      </c>
      <c r="F105" s="6" t="e">
        <f>(#REF!*15)</f>
        <v>#REF!</v>
      </c>
      <c r="G105" s="6">
        <f>(D105*100)</f>
        <v>82500</v>
      </c>
      <c r="H105" s="10" t="s">
        <v>7</v>
      </c>
    </row>
    <row r="106" spans="2:8" x14ac:dyDescent="0.3">
      <c r="C106" s="5" t="s">
        <v>351</v>
      </c>
      <c r="D106" s="6">
        <v>150</v>
      </c>
      <c r="E106" s="6">
        <f>(D106*50)</f>
        <v>7500</v>
      </c>
      <c r="F106" s="7" t="e">
        <f>(#REF!/1000)*E106</f>
        <v>#REF!</v>
      </c>
      <c r="G106" s="6">
        <f>(D106*100)</f>
        <v>15000</v>
      </c>
      <c r="H106" s="10" t="s">
        <v>7</v>
      </c>
    </row>
    <row r="107" spans="2:8" x14ac:dyDescent="0.3">
      <c r="C107" s="5" t="s">
        <v>352</v>
      </c>
      <c r="D107" s="6">
        <v>5</v>
      </c>
      <c r="E107" s="6">
        <f>(D107*50)</f>
        <v>250</v>
      </c>
      <c r="F107" s="7" t="e">
        <f>(#REF!/1000)*E107</f>
        <v>#REF!</v>
      </c>
      <c r="G107" s="6">
        <f>(D107*100)</f>
        <v>500</v>
      </c>
      <c r="H107" s="10" t="s">
        <v>7</v>
      </c>
    </row>
    <row r="108" spans="2:8" x14ac:dyDescent="0.3">
      <c r="C108" s="27"/>
      <c r="D108" s="13">
        <f>SUM(D105:D107)</f>
        <v>980</v>
      </c>
      <c r="E108" s="13" t="e">
        <f>SUM(E105:F107)</f>
        <v>#REF!</v>
      </c>
      <c r="F108" s="16" t="e">
        <f>SUM(F105:F107)</f>
        <v>#REF!</v>
      </c>
      <c r="G108" s="17">
        <f>SUM(G105:G107)</f>
        <v>98000</v>
      </c>
      <c r="H108" s="17"/>
    </row>
    <row r="111" spans="2:8" ht="23.4" x14ac:dyDescent="0.3">
      <c r="C111" s="189" t="s">
        <v>367</v>
      </c>
      <c r="D111" s="190"/>
      <c r="E111" s="190"/>
      <c r="F111" s="190"/>
      <c r="G111" s="190"/>
      <c r="H111" s="191"/>
    </row>
    <row r="112" spans="2:8" ht="62.4" x14ac:dyDescent="0.3">
      <c r="B112" s="1">
        <v>10</v>
      </c>
      <c r="C112" s="2" t="s">
        <v>0</v>
      </c>
      <c r="D112" s="3" t="s">
        <v>42</v>
      </c>
      <c r="E112" s="3" t="s">
        <v>44</v>
      </c>
      <c r="F112" s="3" t="s">
        <v>5</v>
      </c>
      <c r="G112" s="4" t="s">
        <v>365</v>
      </c>
      <c r="H112" s="4" t="s">
        <v>366</v>
      </c>
    </row>
    <row r="113" spans="2:8" x14ac:dyDescent="0.3">
      <c r="C113" s="5" t="s">
        <v>41</v>
      </c>
      <c r="D113" s="6">
        <v>1000</v>
      </c>
      <c r="E113" s="6"/>
      <c r="F113" s="7" t="e">
        <f>(#REF!/1000)*E113</f>
        <v>#REF!</v>
      </c>
      <c r="G113" s="9">
        <f>+D113/1000*150</f>
        <v>150</v>
      </c>
      <c r="H113" s="8" t="e">
        <f>(G113/1000)*#REF!</f>
        <v>#REF!</v>
      </c>
    </row>
    <row r="114" spans="2:8" x14ac:dyDescent="0.3">
      <c r="C114" s="5" t="s">
        <v>361</v>
      </c>
      <c r="D114" s="6">
        <v>10</v>
      </c>
      <c r="E114" s="6"/>
      <c r="F114" s="7"/>
      <c r="G114" s="139">
        <f>+D114/1000*150</f>
        <v>1.5</v>
      </c>
      <c r="H114" s="8" t="e">
        <f>(G114/1000)*#REF!</f>
        <v>#REF!</v>
      </c>
    </row>
    <row r="115" spans="2:8" x14ac:dyDescent="0.3">
      <c r="C115" s="5" t="s">
        <v>362</v>
      </c>
      <c r="D115" s="6">
        <v>10</v>
      </c>
      <c r="E115" s="6"/>
      <c r="F115" s="7"/>
      <c r="G115" s="139">
        <f>+D115/1000*150</f>
        <v>1.5</v>
      </c>
      <c r="H115" s="8" t="e">
        <f>(G115/1000)*#REF!</f>
        <v>#REF!</v>
      </c>
    </row>
    <row r="116" spans="2:8" x14ac:dyDescent="0.3">
      <c r="C116" s="5" t="s">
        <v>363</v>
      </c>
      <c r="D116" s="6">
        <v>5</v>
      </c>
      <c r="E116" s="6"/>
      <c r="F116" s="7"/>
      <c r="G116" s="139">
        <f>+D116/1000*150</f>
        <v>0.75</v>
      </c>
      <c r="H116" s="8" t="e">
        <f>(G116/1000)*#REF!</f>
        <v>#REF!</v>
      </c>
    </row>
    <row r="117" spans="2:8" x14ac:dyDescent="0.3">
      <c r="C117" s="5" t="s">
        <v>240</v>
      </c>
      <c r="D117" s="6">
        <v>5</v>
      </c>
      <c r="E117" s="6">
        <f>(D117*72)</f>
        <v>360</v>
      </c>
      <c r="F117" s="7" t="e">
        <f>(#REF!/1000)*E117</f>
        <v>#REF!</v>
      </c>
      <c r="G117" s="139">
        <f>+D117/1000*150</f>
        <v>0.75</v>
      </c>
      <c r="H117" s="8" t="e">
        <f>(G117/1000)*#REF!</f>
        <v>#REF!</v>
      </c>
    </row>
    <row r="118" spans="2:8" x14ac:dyDescent="0.3">
      <c r="C118" s="5" t="s">
        <v>364</v>
      </c>
      <c r="D118" s="6">
        <v>3</v>
      </c>
      <c r="E118" s="6">
        <f>(D118*72)</f>
        <v>216</v>
      </c>
      <c r="F118" s="7" t="e">
        <f>(#REF!/1000)*E118</f>
        <v>#REF!</v>
      </c>
      <c r="G118" s="139">
        <f>+D118/1000*150</f>
        <v>0.45</v>
      </c>
      <c r="H118" s="8" t="e">
        <f>(G118/1000)*#REF!</f>
        <v>#REF!</v>
      </c>
    </row>
    <row r="119" spans="2:8" x14ac:dyDescent="0.3">
      <c r="D119" s="13">
        <f>SUM(D113:D118)</f>
        <v>1033</v>
      </c>
      <c r="E119" s="13" t="e">
        <f>SUM(E113:F118)</f>
        <v>#REF!</v>
      </c>
      <c r="F119" s="16" t="e">
        <f>SUM(F113:F118)</f>
        <v>#REF!</v>
      </c>
      <c r="G119" s="13">
        <f>SUM(G113:G118)</f>
        <v>154.94999999999999</v>
      </c>
      <c r="H119" s="17" t="e">
        <f>SUM(H113:H118)</f>
        <v>#REF!</v>
      </c>
    </row>
    <row r="122" spans="2:8" ht="23.4" x14ac:dyDescent="0.3">
      <c r="C122" s="189" t="s">
        <v>395</v>
      </c>
      <c r="D122" s="190"/>
      <c r="E122" s="190"/>
      <c r="F122" s="190"/>
      <c r="G122" s="190"/>
      <c r="H122" s="191"/>
    </row>
    <row r="123" spans="2:8" ht="62.4" x14ac:dyDescent="0.3">
      <c r="B123" s="1">
        <v>2</v>
      </c>
      <c r="C123" s="2" t="s">
        <v>0</v>
      </c>
      <c r="D123" s="3" t="s">
        <v>402</v>
      </c>
      <c r="E123" s="3" t="s">
        <v>44</v>
      </c>
      <c r="F123" s="3" t="s">
        <v>5</v>
      </c>
      <c r="G123" s="4" t="s">
        <v>45</v>
      </c>
      <c r="H123" s="4"/>
    </row>
    <row r="124" spans="2:8" x14ac:dyDescent="0.3">
      <c r="B124">
        <v>1</v>
      </c>
      <c r="C124" s="5" t="s">
        <v>396</v>
      </c>
      <c r="D124" s="6">
        <v>50</v>
      </c>
      <c r="E124" s="6"/>
      <c r="F124" s="7"/>
      <c r="G124" s="9"/>
      <c r="H124" s="10" t="s">
        <v>7</v>
      </c>
    </row>
    <row r="125" spans="2:8" x14ac:dyDescent="0.3">
      <c r="B125">
        <v>2</v>
      </c>
      <c r="C125" s="5" t="s">
        <v>397</v>
      </c>
      <c r="D125" s="6">
        <v>7</v>
      </c>
      <c r="E125" s="6"/>
      <c r="F125" s="7"/>
      <c r="G125" s="9"/>
      <c r="H125" s="10" t="s">
        <v>7</v>
      </c>
    </row>
    <row r="126" spans="2:8" x14ac:dyDescent="0.3">
      <c r="C126" s="5" t="s">
        <v>398</v>
      </c>
      <c r="D126" s="6">
        <v>2</v>
      </c>
      <c r="E126" s="6"/>
      <c r="F126" s="7"/>
      <c r="G126" s="9"/>
      <c r="H126" s="10"/>
    </row>
    <row r="127" spans="2:8" x14ac:dyDescent="0.3">
      <c r="C127" s="5" t="s">
        <v>399</v>
      </c>
      <c r="D127" s="6">
        <v>5</v>
      </c>
      <c r="E127" s="6"/>
      <c r="F127" s="7"/>
      <c r="G127" s="9"/>
      <c r="H127" s="10"/>
    </row>
    <row r="128" spans="2:8" x14ac:dyDescent="0.3">
      <c r="B128">
        <v>3</v>
      </c>
      <c r="C128" s="5" t="s">
        <v>400</v>
      </c>
      <c r="D128" s="6">
        <v>2</v>
      </c>
      <c r="E128" s="6"/>
      <c r="F128" s="7"/>
      <c r="G128" s="9"/>
      <c r="H128" s="10" t="s">
        <v>7</v>
      </c>
    </row>
    <row r="129" spans="2:8" x14ac:dyDescent="0.3">
      <c r="C129" s="5" t="s">
        <v>401</v>
      </c>
      <c r="D129" s="11">
        <v>0.5</v>
      </c>
      <c r="E129" s="6"/>
      <c r="F129" s="7"/>
      <c r="G129" s="9"/>
      <c r="H129" s="10"/>
    </row>
    <row r="130" spans="2:8" x14ac:dyDescent="0.3">
      <c r="D130" s="13">
        <f>SUM(D124:D129)</f>
        <v>66.5</v>
      </c>
      <c r="E130" s="13">
        <f>SUM(E124:F129)</f>
        <v>0</v>
      </c>
      <c r="F130" s="16">
        <f>SUM(F124:F128)</f>
        <v>0</v>
      </c>
      <c r="G130" s="13">
        <f>SUM(G124:G128)</f>
        <v>0</v>
      </c>
      <c r="H130" s="17"/>
    </row>
    <row r="133" spans="2:8" ht="23.4" x14ac:dyDescent="0.45">
      <c r="C133" s="172" t="s">
        <v>403</v>
      </c>
      <c r="D133" s="173"/>
      <c r="E133" s="173"/>
      <c r="F133" s="173"/>
      <c r="G133" s="173"/>
      <c r="H133" s="174"/>
    </row>
    <row r="134" spans="2:8" ht="46.8" x14ac:dyDescent="0.3">
      <c r="B134" s="1">
        <v>4</v>
      </c>
      <c r="C134" s="2" t="s">
        <v>0</v>
      </c>
      <c r="D134" s="3" t="s">
        <v>1</v>
      </c>
      <c r="E134" s="3" t="s">
        <v>270</v>
      </c>
      <c r="F134" s="3" t="s">
        <v>102</v>
      </c>
      <c r="G134" s="3" t="s">
        <v>87</v>
      </c>
      <c r="H134" s="4"/>
    </row>
    <row r="135" spans="2:8" x14ac:dyDescent="0.3">
      <c r="B135">
        <v>1</v>
      </c>
      <c r="C135" s="5" t="s">
        <v>16</v>
      </c>
      <c r="D135" s="6">
        <v>786</v>
      </c>
      <c r="E135" s="6">
        <f>(D135*20)</f>
        <v>15720</v>
      </c>
      <c r="F135" s="6" t="e">
        <f>(#REF!*15)</f>
        <v>#REF!</v>
      </c>
      <c r="G135" s="6">
        <f>(D135*100)</f>
        <v>78600</v>
      </c>
      <c r="H135" s="10" t="s">
        <v>7</v>
      </c>
    </row>
    <row r="136" spans="2:8" x14ac:dyDescent="0.3">
      <c r="B136">
        <v>4</v>
      </c>
      <c r="C136" s="5" t="s">
        <v>67</v>
      </c>
      <c r="D136" s="6">
        <v>70</v>
      </c>
      <c r="E136" s="6">
        <f>(D136*20)</f>
        <v>1400</v>
      </c>
      <c r="F136" s="7" t="e">
        <f>(#REF!/1000)*E136</f>
        <v>#REF!</v>
      </c>
      <c r="G136" s="6">
        <f>(D136*100)</f>
        <v>7000</v>
      </c>
      <c r="H136" s="10" t="s">
        <v>7</v>
      </c>
    </row>
    <row r="137" spans="2:8" x14ac:dyDescent="0.3">
      <c r="B137">
        <v>5</v>
      </c>
      <c r="C137" s="5" t="s">
        <v>68</v>
      </c>
      <c r="D137" s="6">
        <v>70</v>
      </c>
      <c r="E137" s="6">
        <f>(D137*20)</f>
        <v>1400</v>
      </c>
      <c r="F137" s="7" t="e">
        <f>(#REF!/1000)*E137</f>
        <v>#REF!</v>
      </c>
      <c r="G137" s="6">
        <f>(D137*100)</f>
        <v>7000</v>
      </c>
      <c r="H137" s="10" t="s">
        <v>7</v>
      </c>
    </row>
    <row r="138" spans="2:8" x14ac:dyDescent="0.3">
      <c r="B138">
        <v>6</v>
      </c>
      <c r="C138" s="5" t="s">
        <v>124</v>
      </c>
      <c r="D138" s="6">
        <v>30</v>
      </c>
      <c r="E138" s="6">
        <f>(D138*20)</f>
        <v>600</v>
      </c>
      <c r="F138" s="7" t="e">
        <f>(#REF!/1000)*E138</f>
        <v>#REF!</v>
      </c>
      <c r="G138" s="6">
        <f>(D138*100)</f>
        <v>3000</v>
      </c>
      <c r="H138" s="10" t="s">
        <v>7</v>
      </c>
    </row>
    <row r="139" spans="2:8" x14ac:dyDescent="0.3">
      <c r="B139">
        <v>7</v>
      </c>
      <c r="C139" s="5" t="s">
        <v>125</v>
      </c>
      <c r="D139" s="6">
        <v>30</v>
      </c>
      <c r="E139" s="6">
        <f>(D139*20)</f>
        <v>600</v>
      </c>
      <c r="F139" s="7" t="e">
        <f>(#REF!/1000)*E139</f>
        <v>#REF!</v>
      </c>
      <c r="G139" s="6">
        <f>(D139*100)</f>
        <v>3000</v>
      </c>
      <c r="H139" s="10" t="s">
        <v>7</v>
      </c>
    </row>
    <row r="140" spans="2:8" x14ac:dyDescent="0.3">
      <c r="B140">
        <v>9</v>
      </c>
      <c r="C140" s="5" t="s">
        <v>19</v>
      </c>
      <c r="D140" s="6">
        <v>10</v>
      </c>
      <c r="E140" s="6">
        <f>(D140*20)</f>
        <v>200</v>
      </c>
      <c r="F140" s="7" t="e">
        <f>(#REF!/1000)*E140</f>
        <v>#REF!</v>
      </c>
      <c r="G140" s="6">
        <f>(D140*100)</f>
        <v>1000</v>
      </c>
      <c r="H140" s="5" t="s">
        <v>7</v>
      </c>
    </row>
    <row r="141" spans="2:8" x14ac:dyDescent="0.3">
      <c r="B141">
        <v>2</v>
      </c>
      <c r="C141" s="24" t="s">
        <v>28</v>
      </c>
      <c r="D141" s="25">
        <v>1</v>
      </c>
      <c r="E141" s="6">
        <f>(D141*20)</f>
        <v>20</v>
      </c>
      <c r="F141" s="7" t="e">
        <f>(#REF!/1000)*E141</f>
        <v>#REF!</v>
      </c>
      <c r="G141" s="6">
        <f>(D141*100)</f>
        <v>100</v>
      </c>
      <c r="H141" s="5" t="s">
        <v>7</v>
      </c>
    </row>
    <row r="142" spans="2:8" x14ac:dyDescent="0.3">
      <c r="B142">
        <v>3</v>
      </c>
      <c r="C142" s="24" t="s">
        <v>29</v>
      </c>
      <c r="D142" s="11">
        <v>0.5</v>
      </c>
      <c r="E142" s="6">
        <f>(D142*20)</f>
        <v>10</v>
      </c>
      <c r="F142" s="7" t="e">
        <f>(#REF!/1000)*E142</f>
        <v>#REF!</v>
      </c>
      <c r="G142" s="6">
        <f>(D142*100)</f>
        <v>50</v>
      </c>
      <c r="H142" s="5" t="s">
        <v>7</v>
      </c>
    </row>
    <row r="143" spans="2:8" x14ac:dyDescent="0.3">
      <c r="C143" s="27"/>
      <c r="D143" s="13">
        <f>SUM(D135:D142)</f>
        <v>997.5</v>
      </c>
      <c r="E143" s="13">
        <f>SUM(E135:E142)</f>
        <v>19950</v>
      </c>
      <c r="F143" s="16" t="e">
        <f>SUM(F135:F142)</f>
        <v>#REF!</v>
      </c>
      <c r="G143" s="17"/>
      <c r="H143" s="17"/>
    </row>
    <row r="146" spans="2:8" ht="23.4" x14ac:dyDescent="0.45">
      <c r="C146" s="172" t="s">
        <v>409</v>
      </c>
      <c r="D146" s="173"/>
      <c r="E146" s="173"/>
      <c r="F146" s="173"/>
      <c r="G146" s="173"/>
      <c r="H146" s="174"/>
    </row>
    <row r="147" spans="2:8" ht="46.8" x14ac:dyDescent="0.3">
      <c r="B147" s="1">
        <v>4</v>
      </c>
      <c r="C147" s="2" t="s">
        <v>0</v>
      </c>
      <c r="D147" s="3" t="s">
        <v>1</v>
      </c>
      <c r="E147" s="3" t="s">
        <v>407</v>
      </c>
      <c r="F147" s="3" t="s">
        <v>126</v>
      </c>
      <c r="G147" s="3" t="s">
        <v>408</v>
      </c>
      <c r="H147" s="4"/>
    </row>
    <row r="148" spans="2:8" x14ac:dyDescent="0.3">
      <c r="C148" s="5" t="s">
        <v>67</v>
      </c>
      <c r="D148" s="6">
        <v>70</v>
      </c>
      <c r="E148" s="6">
        <f>(D148/2)</f>
        <v>35</v>
      </c>
      <c r="F148" s="6">
        <f>(D148*30)</f>
        <v>2100</v>
      </c>
      <c r="G148" s="6">
        <f>(D148*50)</f>
        <v>3500</v>
      </c>
      <c r="H148" s="10" t="s">
        <v>7</v>
      </c>
    </row>
    <row r="149" spans="2:8" x14ac:dyDescent="0.3">
      <c r="C149" s="5" t="s">
        <v>68</v>
      </c>
      <c r="D149" s="6">
        <v>70</v>
      </c>
      <c r="E149" s="6">
        <f>(D149/2)</f>
        <v>35</v>
      </c>
      <c r="F149" s="6">
        <f>(D149*30)</f>
        <v>2100</v>
      </c>
      <c r="G149" s="6">
        <f>(D149*50)</f>
        <v>3500</v>
      </c>
      <c r="H149" s="10" t="s">
        <v>7</v>
      </c>
    </row>
    <row r="150" spans="2:8" x14ac:dyDescent="0.3">
      <c r="C150" s="5" t="s">
        <v>404</v>
      </c>
      <c r="D150" s="6">
        <v>20</v>
      </c>
      <c r="E150" s="6">
        <f>(D150/2)</f>
        <v>10</v>
      </c>
      <c r="F150" s="6">
        <f>(D150*30)</f>
        <v>600</v>
      </c>
      <c r="G150" s="6">
        <f>(D150*50)</f>
        <v>1000</v>
      </c>
      <c r="H150" s="10" t="s">
        <v>7</v>
      </c>
    </row>
    <row r="151" spans="2:8" x14ac:dyDescent="0.3">
      <c r="C151" s="5" t="s">
        <v>389</v>
      </c>
      <c r="D151" s="6">
        <v>5</v>
      </c>
      <c r="E151" s="6">
        <f>(D151/2)</f>
        <v>2.5</v>
      </c>
      <c r="F151" s="6">
        <f>(D151*30)</f>
        <v>150</v>
      </c>
      <c r="G151" s="6">
        <f>(D151*50)</f>
        <v>250</v>
      </c>
      <c r="H151" s="10" t="s">
        <v>7</v>
      </c>
    </row>
    <row r="152" spans="2:8" x14ac:dyDescent="0.3">
      <c r="C152" s="5" t="s">
        <v>405</v>
      </c>
      <c r="D152" s="6">
        <v>5</v>
      </c>
      <c r="E152" s="6">
        <f>(D152/2)</f>
        <v>2.5</v>
      </c>
      <c r="F152" s="6">
        <f>(D152*30)</f>
        <v>150</v>
      </c>
      <c r="G152" s="6">
        <f>(D152*50)</f>
        <v>250</v>
      </c>
      <c r="H152" s="10" t="s">
        <v>7</v>
      </c>
    </row>
    <row r="153" spans="2:8" x14ac:dyDescent="0.3">
      <c r="C153" s="5" t="s">
        <v>19</v>
      </c>
      <c r="D153" s="6">
        <v>20</v>
      </c>
      <c r="E153" s="6">
        <f>(D153/2)</f>
        <v>10</v>
      </c>
      <c r="F153" s="6">
        <f>(D153*30)</f>
        <v>600</v>
      </c>
      <c r="G153" s="6">
        <f>(D153*50)</f>
        <v>1000</v>
      </c>
      <c r="H153" s="5" t="s">
        <v>7</v>
      </c>
    </row>
    <row r="154" spans="2:8" x14ac:dyDescent="0.3">
      <c r="C154" s="5" t="s">
        <v>385</v>
      </c>
      <c r="D154" s="32">
        <v>2</v>
      </c>
      <c r="E154" s="6">
        <f>(D154/2)</f>
        <v>1</v>
      </c>
      <c r="F154" s="6">
        <f>(D154*30)</f>
        <v>60</v>
      </c>
      <c r="G154" s="6">
        <f>(D154*50)</f>
        <v>100</v>
      </c>
      <c r="H154" s="5"/>
    </row>
    <row r="155" spans="2:8" x14ac:dyDescent="0.3">
      <c r="C155" s="24" t="s">
        <v>406</v>
      </c>
      <c r="D155" s="11">
        <v>807</v>
      </c>
      <c r="E155" s="6">
        <f>(D155/2)</f>
        <v>403.5</v>
      </c>
      <c r="F155" s="6">
        <f>(D155*30)</f>
        <v>24210</v>
      </c>
      <c r="G155" s="6">
        <f>(D155*50)</f>
        <v>40350</v>
      </c>
      <c r="H155" s="5" t="s">
        <v>7</v>
      </c>
    </row>
    <row r="156" spans="2:8" x14ac:dyDescent="0.3">
      <c r="C156" s="27"/>
      <c r="D156" s="13">
        <f>SUM(D148:D155)</f>
        <v>999</v>
      </c>
      <c r="E156" s="13">
        <f>SUM(E148:E155)</f>
        <v>499.5</v>
      </c>
      <c r="F156" s="128">
        <f>SUM(F148:F155)</f>
        <v>29970</v>
      </c>
      <c r="G156" s="84">
        <f>SUM(G148:G155)</f>
        <v>49950</v>
      </c>
      <c r="H156" s="17"/>
    </row>
    <row r="159" spans="2:8" ht="23.4" x14ac:dyDescent="0.45">
      <c r="C159" s="172" t="s">
        <v>446</v>
      </c>
      <c r="D159" s="173"/>
      <c r="E159" s="173"/>
      <c r="F159" s="173"/>
      <c r="G159" s="173"/>
      <c r="H159" s="174"/>
    </row>
    <row r="160" spans="2:8" ht="46.8" x14ac:dyDescent="0.3">
      <c r="B160" s="1">
        <v>4</v>
      </c>
      <c r="C160" s="2" t="s">
        <v>0</v>
      </c>
      <c r="D160" s="3" t="s">
        <v>1</v>
      </c>
      <c r="E160" s="3" t="s">
        <v>774</v>
      </c>
      <c r="F160" s="3" t="s">
        <v>126</v>
      </c>
      <c r="G160" s="3" t="s">
        <v>408</v>
      </c>
      <c r="H160" s="4"/>
    </row>
    <row r="161" spans="3:8" x14ac:dyDescent="0.3">
      <c r="C161" s="5" t="s">
        <v>440</v>
      </c>
      <c r="D161" s="6">
        <v>200</v>
      </c>
      <c r="E161" s="6">
        <f>(D161*22)</f>
        <v>4400</v>
      </c>
      <c r="F161" s="6">
        <f>(D161*30)</f>
        <v>6000</v>
      </c>
      <c r="G161" s="6">
        <f>(D161*50)</f>
        <v>10000</v>
      </c>
      <c r="H161" s="10" t="s">
        <v>7</v>
      </c>
    </row>
    <row r="162" spans="3:8" x14ac:dyDescent="0.3">
      <c r="C162" s="5" t="s">
        <v>12</v>
      </c>
      <c r="D162" s="6">
        <v>10</v>
      </c>
      <c r="E162" s="6">
        <f>(D162*22)</f>
        <v>220</v>
      </c>
      <c r="F162" s="6">
        <f>(D162*30)</f>
        <v>300</v>
      </c>
      <c r="G162" s="6">
        <f>(D162*50)</f>
        <v>500</v>
      </c>
      <c r="H162" s="10" t="s">
        <v>7</v>
      </c>
    </row>
    <row r="163" spans="3:8" x14ac:dyDescent="0.3">
      <c r="C163" s="5" t="s">
        <v>389</v>
      </c>
      <c r="D163" s="6">
        <v>15</v>
      </c>
      <c r="E163" s="6">
        <f>(D163*22)</f>
        <v>330</v>
      </c>
      <c r="F163" s="6">
        <f>(D163*30)</f>
        <v>450</v>
      </c>
      <c r="G163" s="6">
        <f>(D163*50)</f>
        <v>750</v>
      </c>
      <c r="H163" s="10" t="s">
        <v>7</v>
      </c>
    </row>
    <row r="164" spans="3:8" x14ac:dyDescent="0.3">
      <c r="C164" s="5" t="s">
        <v>441</v>
      </c>
      <c r="D164" s="6">
        <v>2</v>
      </c>
      <c r="E164" s="6">
        <f>(D164*22)</f>
        <v>44</v>
      </c>
      <c r="F164" s="6">
        <f>(D164*30)</f>
        <v>60</v>
      </c>
      <c r="G164" s="6">
        <f>(D164*50)</f>
        <v>100</v>
      </c>
      <c r="H164" s="10" t="s">
        <v>7</v>
      </c>
    </row>
    <row r="165" spans="3:8" x14ac:dyDescent="0.3">
      <c r="C165" s="5" t="s">
        <v>442</v>
      </c>
      <c r="D165" s="6">
        <v>50</v>
      </c>
      <c r="E165" s="6">
        <f>(D165*22)</f>
        <v>1100</v>
      </c>
      <c r="F165" s="6">
        <f>(D165*30)</f>
        <v>1500</v>
      </c>
      <c r="G165" s="6">
        <f>(D165*50)</f>
        <v>2500</v>
      </c>
      <c r="H165" s="5" t="s">
        <v>7</v>
      </c>
    </row>
    <row r="166" spans="3:8" x14ac:dyDescent="0.3">
      <c r="C166" s="5" t="s">
        <v>445</v>
      </c>
      <c r="D166" s="25">
        <v>15</v>
      </c>
      <c r="E166" s="6">
        <f>(D166*22)</f>
        <v>330</v>
      </c>
      <c r="F166" s="6">
        <f>(D166*30)</f>
        <v>450</v>
      </c>
      <c r="G166" s="6">
        <f>(D166*50)</f>
        <v>750</v>
      </c>
      <c r="H166" s="5"/>
    </row>
    <row r="167" spans="3:8" x14ac:dyDescent="0.3">
      <c r="C167" s="5" t="s">
        <v>368</v>
      </c>
      <c r="D167" s="32">
        <v>35</v>
      </c>
      <c r="E167" s="6">
        <f>(D167*22)</f>
        <v>770</v>
      </c>
      <c r="F167" s="6">
        <f>(D167*30)</f>
        <v>1050</v>
      </c>
      <c r="G167" s="6">
        <f>(D167*50)</f>
        <v>1750</v>
      </c>
      <c r="H167" s="5"/>
    </row>
    <row r="168" spans="3:8" x14ac:dyDescent="0.3">
      <c r="C168" s="24" t="s">
        <v>404</v>
      </c>
      <c r="D168" s="25">
        <v>20</v>
      </c>
      <c r="E168" s="6">
        <f>(D168*22)</f>
        <v>440</v>
      </c>
      <c r="F168" s="6">
        <f>(D168*30)</f>
        <v>600</v>
      </c>
      <c r="G168" s="6">
        <f>(D168*50)</f>
        <v>1000</v>
      </c>
      <c r="H168" s="5" t="s">
        <v>7</v>
      </c>
    </row>
    <row r="169" spans="3:8" x14ac:dyDescent="0.3">
      <c r="C169" s="24" t="s">
        <v>443</v>
      </c>
      <c r="D169" s="25">
        <v>2</v>
      </c>
      <c r="E169" s="6">
        <f>(D169*22)</f>
        <v>44</v>
      </c>
      <c r="F169" s="6">
        <f>(D169*30)</f>
        <v>60</v>
      </c>
      <c r="G169" s="6">
        <f>(D169*50)</f>
        <v>100</v>
      </c>
      <c r="H169" s="5"/>
    </row>
    <row r="170" spans="3:8" x14ac:dyDescent="0.3">
      <c r="C170" s="24" t="s">
        <v>444</v>
      </c>
      <c r="D170" s="25">
        <v>640</v>
      </c>
      <c r="E170" s="6">
        <f>(D170*22)</f>
        <v>14080</v>
      </c>
      <c r="F170" s="6">
        <f>(D170*30)</f>
        <v>19200</v>
      </c>
      <c r="G170" s="6">
        <f>(D170*50)</f>
        <v>32000</v>
      </c>
      <c r="H170" s="5"/>
    </row>
    <row r="171" spans="3:8" x14ac:dyDescent="0.3">
      <c r="C171" s="24" t="s">
        <v>635</v>
      </c>
      <c r="D171" s="32">
        <v>2.5</v>
      </c>
      <c r="E171" s="6">
        <f>(D171*22)</f>
        <v>55</v>
      </c>
      <c r="F171" s="6">
        <f>(D171*30)</f>
        <v>75</v>
      </c>
      <c r="G171" s="6">
        <f>(D171*50)</f>
        <v>125</v>
      </c>
      <c r="H171" s="5"/>
    </row>
    <row r="172" spans="3:8" x14ac:dyDescent="0.3">
      <c r="C172" s="27" t="s">
        <v>275</v>
      </c>
      <c r="D172" s="11">
        <v>10</v>
      </c>
      <c r="E172" s="6">
        <f>(D172*22)</f>
        <v>220</v>
      </c>
      <c r="F172" s="6">
        <f>(D172*30)</f>
        <v>300</v>
      </c>
      <c r="G172" s="6">
        <f>(D172*50)</f>
        <v>500</v>
      </c>
      <c r="H172" s="5"/>
    </row>
    <row r="173" spans="3:8" x14ac:dyDescent="0.3">
      <c r="C173" s="27"/>
      <c r="D173" s="13">
        <f>SUM(D161:D172)</f>
        <v>1001.5</v>
      </c>
      <c r="E173" s="13">
        <f>SUM(E161:E172)</f>
        <v>22033</v>
      </c>
      <c r="F173" s="128">
        <f>SUM(F161:F172)</f>
        <v>30045</v>
      </c>
      <c r="G173" s="84">
        <f>SUM(G161:G172)</f>
        <v>50075</v>
      </c>
      <c r="H173" s="17"/>
    </row>
    <row r="176" spans="3:8" ht="23.4" x14ac:dyDescent="0.45">
      <c r="C176" s="172" t="s">
        <v>447</v>
      </c>
      <c r="D176" s="173"/>
      <c r="E176" s="173"/>
      <c r="F176" s="173"/>
      <c r="G176" s="173"/>
      <c r="H176" s="174"/>
    </row>
    <row r="177" spans="2:8" ht="46.8" x14ac:dyDescent="0.3">
      <c r="B177" s="1">
        <v>4</v>
      </c>
      <c r="C177" s="2" t="s">
        <v>0</v>
      </c>
      <c r="D177" s="3" t="s">
        <v>1</v>
      </c>
      <c r="E177" s="3" t="s">
        <v>407</v>
      </c>
      <c r="F177" s="3" t="s">
        <v>126</v>
      </c>
      <c r="G177" s="3" t="s">
        <v>408</v>
      </c>
      <c r="H177" s="4"/>
    </row>
    <row r="178" spans="2:8" x14ac:dyDescent="0.3">
      <c r="C178" s="5" t="s">
        <v>440</v>
      </c>
      <c r="D178" s="11">
        <v>33.299999999999997</v>
      </c>
      <c r="E178" s="6">
        <f>(D178/2)</f>
        <v>16.649999999999999</v>
      </c>
      <c r="F178" s="6">
        <f>(D178*30)</f>
        <v>998.99999999999989</v>
      </c>
      <c r="G178" s="6">
        <f>(D178*50)</f>
        <v>1664.9999999999998</v>
      </c>
      <c r="H178" s="10" t="s">
        <v>7</v>
      </c>
    </row>
    <row r="179" spans="2:8" x14ac:dyDescent="0.3">
      <c r="C179" s="24" t="s">
        <v>443</v>
      </c>
      <c r="D179" s="11">
        <v>20</v>
      </c>
      <c r="E179" s="6"/>
      <c r="F179" s="6"/>
      <c r="G179" s="6"/>
      <c r="H179" s="10"/>
    </row>
    <row r="180" spans="2:8" x14ac:dyDescent="0.3">
      <c r="C180" s="5" t="s">
        <v>12</v>
      </c>
      <c r="D180" s="6">
        <v>10</v>
      </c>
      <c r="E180" s="6">
        <f>(D180/2)</f>
        <v>5</v>
      </c>
      <c r="F180" s="6">
        <f>(D180*30)</f>
        <v>300</v>
      </c>
      <c r="G180" s="6">
        <f>(D180*50)</f>
        <v>500</v>
      </c>
      <c r="H180" s="10" t="s">
        <v>7</v>
      </c>
    </row>
    <row r="181" spans="2:8" x14ac:dyDescent="0.3">
      <c r="C181" s="5" t="s">
        <v>171</v>
      </c>
      <c r="D181" s="6">
        <v>70</v>
      </c>
      <c r="E181" s="6"/>
      <c r="F181" s="6"/>
      <c r="G181" s="6"/>
      <c r="H181" s="10"/>
    </row>
    <row r="182" spans="2:8" x14ac:dyDescent="0.3">
      <c r="C182" s="5" t="s">
        <v>372</v>
      </c>
      <c r="D182" s="6">
        <v>70</v>
      </c>
      <c r="E182" s="6"/>
      <c r="F182" s="6"/>
      <c r="G182" s="6"/>
      <c r="H182" s="10"/>
    </row>
    <row r="183" spans="2:8" x14ac:dyDescent="0.3">
      <c r="C183" s="5" t="s">
        <v>389</v>
      </c>
      <c r="D183" s="6">
        <v>10</v>
      </c>
      <c r="E183" s="6">
        <f>(D183/2)</f>
        <v>5</v>
      </c>
      <c r="F183" s="6">
        <f>(D183*30)</f>
        <v>300</v>
      </c>
      <c r="G183" s="6">
        <f>(D183*50)</f>
        <v>500</v>
      </c>
      <c r="H183" s="10" t="s">
        <v>7</v>
      </c>
    </row>
    <row r="184" spans="2:8" x14ac:dyDescent="0.3">
      <c r="C184" s="5" t="s">
        <v>441</v>
      </c>
      <c r="D184" s="6">
        <v>1</v>
      </c>
      <c r="E184" s="6">
        <f>(D184/2)</f>
        <v>0.5</v>
      </c>
      <c r="F184" s="6">
        <f>(D184*30)</f>
        <v>30</v>
      </c>
      <c r="G184" s="6">
        <f>(D184*50)</f>
        <v>50</v>
      </c>
      <c r="H184" s="10" t="s">
        <v>7</v>
      </c>
    </row>
    <row r="185" spans="2:8" x14ac:dyDescent="0.3">
      <c r="C185" s="5" t="s">
        <v>442</v>
      </c>
      <c r="D185" s="6">
        <v>50</v>
      </c>
      <c r="E185" s="6">
        <f>(D185/2)</f>
        <v>25</v>
      </c>
      <c r="F185" s="6">
        <f>(D185*30)</f>
        <v>1500</v>
      </c>
      <c r="G185" s="6">
        <f>(D185*50)</f>
        <v>2500</v>
      </c>
      <c r="H185" s="5" t="s">
        <v>7</v>
      </c>
    </row>
    <row r="186" spans="2:8" x14ac:dyDescent="0.3">
      <c r="C186" s="24" t="s">
        <v>56</v>
      </c>
      <c r="D186" s="25">
        <v>2</v>
      </c>
      <c r="E186" s="6">
        <f>(D186/2)</f>
        <v>1</v>
      </c>
      <c r="F186" s="6">
        <f>(D186*30)</f>
        <v>60</v>
      </c>
      <c r="G186" s="6">
        <f>(D186*50)</f>
        <v>100</v>
      </c>
      <c r="H186" s="5"/>
    </row>
    <row r="187" spans="2:8" x14ac:dyDescent="0.3">
      <c r="C187" s="24" t="s">
        <v>231</v>
      </c>
      <c r="D187" s="11">
        <v>1</v>
      </c>
      <c r="E187" s="6">
        <f>(D187/2)</f>
        <v>0.5</v>
      </c>
      <c r="F187" s="6">
        <f>(D187*30)</f>
        <v>30</v>
      </c>
      <c r="G187" s="6">
        <f>(D187*50)</f>
        <v>50</v>
      </c>
      <c r="H187" s="5" t="s">
        <v>7</v>
      </c>
    </row>
    <row r="188" spans="2:8" x14ac:dyDescent="0.3">
      <c r="C188" s="27" t="s">
        <v>268</v>
      </c>
      <c r="D188" s="6">
        <v>733</v>
      </c>
      <c r="E188" s="6">
        <f>(D188/2)</f>
        <v>366.5</v>
      </c>
      <c r="F188" s="6">
        <f>(D188*30)</f>
        <v>21990</v>
      </c>
      <c r="G188" s="6">
        <f>(D188*50)</f>
        <v>36650</v>
      </c>
      <c r="H188" s="5"/>
    </row>
    <row r="189" spans="2:8" x14ac:dyDescent="0.3">
      <c r="C189" s="27"/>
      <c r="D189" s="13">
        <f>SUM(D178:D188)</f>
        <v>1000.3</v>
      </c>
      <c r="E189" s="13">
        <f>SUM(E178:E188)</f>
        <v>420.15</v>
      </c>
      <c r="F189" s="128">
        <f>SUM(F178:F188)</f>
        <v>25209</v>
      </c>
      <c r="G189" s="84">
        <f>SUM(G178:G188)</f>
        <v>42015</v>
      </c>
      <c r="H189" s="17"/>
    </row>
    <row r="192" spans="2:8" ht="23.4" x14ac:dyDescent="0.45">
      <c r="C192" s="172" t="s">
        <v>495</v>
      </c>
      <c r="D192" s="173"/>
      <c r="E192" s="173"/>
      <c r="F192" s="173"/>
      <c r="G192" s="173"/>
      <c r="H192" s="174"/>
    </row>
    <row r="193" spans="2:8" ht="46.8" x14ac:dyDescent="0.3">
      <c r="B193" s="1"/>
      <c r="C193" s="2" t="s">
        <v>0</v>
      </c>
      <c r="D193" s="3" t="s">
        <v>1</v>
      </c>
      <c r="E193" s="3" t="s">
        <v>747</v>
      </c>
      <c r="F193" s="3" t="s">
        <v>46</v>
      </c>
      <c r="G193" s="3" t="s">
        <v>581</v>
      </c>
      <c r="H193" s="4"/>
    </row>
    <row r="194" spans="2:8" x14ac:dyDescent="0.3">
      <c r="C194" s="5" t="s">
        <v>268</v>
      </c>
      <c r="D194" s="11">
        <v>771</v>
      </c>
      <c r="E194" s="6">
        <f>(D194*10)</f>
        <v>7710</v>
      </c>
      <c r="F194" s="6">
        <f>(D194*20)</f>
        <v>15420</v>
      </c>
      <c r="G194" s="6">
        <f>(D194*30)</f>
        <v>23130</v>
      </c>
      <c r="H194" s="10" t="s">
        <v>7</v>
      </c>
    </row>
    <row r="195" spans="2:8" x14ac:dyDescent="0.3">
      <c r="C195" s="24" t="s">
        <v>171</v>
      </c>
      <c r="D195" s="11">
        <v>70</v>
      </c>
      <c r="E195" s="6">
        <f>(D195*10)</f>
        <v>700</v>
      </c>
      <c r="F195" s="6">
        <f>(D195*20)</f>
        <v>1400</v>
      </c>
      <c r="G195" s="6">
        <f>(D195*30)</f>
        <v>2100</v>
      </c>
      <c r="H195" s="10"/>
    </row>
    <row r="196" spans="2:8" x14ac:dyDescent="0.3">
      <c r="C196" s="5" t="s">
        <v>368</v>
      </c>
      <c r="D196" s="6">
        <v>70</v>
      </c>
      <c r="E196" s="6">
        <f>(D196*10)</f>
        <v>700</v>
      </c>
      <c r="F196" s="6">
        <f>(D196*20)</f>
        <v>1400</v>
      </c>
      <c r="G196" s="6">
        <f>(D196*30)</f>
        <v>2100</v>
      </c>
      <c r="H196" s="10" t="s">
        <v>7</v>
      </c>
    </row>
    <row r="197" spans="2:8" x14ac:dyDescent="0.3">
      <c r="C197" s="5" t="s">
        <v>442</v>
      </c>
      <c r="D197" s="6">
        <v>30</v>
      </c>
      <c r="E197" s="6">
        <f>(D197*10)</f>
        <v>300</v>
      </c>
      <c r="F197" s="6">
        <f>(D197*20)</f>
        <v>600</v>
      </c>
      <c r="G197" s="6">
        <f>(D197*30)</f>
        <v>900</v>
      </c>
      <c r="H197" s="10"/>
    </row>
    <row r="198" spans="2:8" x14ac:dyDescent="0.3">
      <c r="C198" s="5" t="s">
        <v>496</v>
      </c>
      <c r="D198" s="6">
        <v>20</v>
      </c>
      <c r="E198" s="6">
        <f>(D198*10)</f>
        <v>200</v>
      </c>
      <c r="F198" s="6">
        <f>(D198*20)</f>
        <v>400</v>
      </c>
      <c r="G198" s="6">
        <f>(D198*30)</f>
        <v>600</v>
      </c>
      <c r="H198" s="10"/>
    </row>
    <row r="199" spans="2:8" x14ac:dyDescent="0.3">
      <c r="C199" s="5" t="s">
        <v>390</v>
      </c>
      <c r="D199" s="6">
        <v>3</v>
      </c>
      <c r="E199" s="6">
        <f>(D199*10)</f>
        <v>30</v>
      </c>
      <c r="F199" s="6">
        <f>(D199*20)</f>
        <v>60</v>
      </c>
      <c r="G199" s="6">
        <f>(D199*30)</f>
        <v>90</v>
      </c>
      <c r="H199" s="10" t="s">
        <v>7</v>
      </c>
    </row>
    <row r="200" spans="2:8" x14ac:dyDescent="0.3">
      <c r="C200" s="5" t="s">
        <v>241</v>
      </c>
      <c r="D200" s="6">
        <v>3</v>
      </c>
      <c r="E200" s="6">
        <f>(D200*10)</f>
        <v>30</v>
      </c>
      <c r="F200" s="6">
        <f>(D200*20)</f>
        <v>60</v>
      </c>
      <c r="G200" s="6">
        <f>(D200*30)</f>
        <v>90</v>
      </c>
      <c r="H200" s="5" t="s">
        <v>7</v>
      </c>
    </row>
    <row r="201" spans="2:8" x14ac:dyDescent="0.3">
      <c r="C201" s="24" t="s">
        <v>434</v>
      </c>
      <c r="D201" s="25">
        <v>20</v>
      </c>
      <c r="E201" s="6">
        <f>(D201*10)</f>
        <v>200</v>
      </c>
      <c r="F201" s="6">
        <f>(D201*20)</f>
        <v>400</v>
      </c>
      <c r="G201" s="6">
        <f>(D201*30)</f>
        <v>600</v>
      </c>
      <c r="H201" s="5"/>
    </row>
    <row r="202" spans="2:8" x14ac:dyDescent="0.3">
      <c r="C202" s="24" t="s">
        <v>497</v>
      </c>
      <c r="D202" s="11">
        <v>10</v>
      </c>
      <c r="E202" s="6">
        <f>(D202*10)</f>
        <v>100</v>
      </c>
      <c r="F202" s="6">
        <f>(D202*20)</f>
        <v>200</v>
      </c>
      <c r="G202" s="6">
        <f>(D202*30)</f>
        <v>300</v>
      </c>
      <c r="H202" s="5" t="s">
        <v>7</v>
      </c>
    </row>
    <row r="203" spans="2:8" x14ac:dyDescent="0.3">
      <c r="C203" s="24" t="s">
        <v>646</v>
      </c>
      <c r="D203" s="11">
        <v>2.5</v>
      </c>
      <c r="E203" s="6">
        <f>(D203*10)</f>
        <v>25</v>
      </c>
      <c r="F203" s="6">
        <f>(D203*20)</f>
        <v>50</v>
      </c>
      <c r="G203" s="6">
        <f>(D203*30)</f>
        <v>75</v>
      </c>
      <c r="H203" s="5"/>
    </row>
    <row r="204" spans="2:8" x14ac:dyDescent="0.3">
      <c r="C204" s="24" t="s">
        <v>380</v>
      </c>
      <c r="D204" s="11">
        <v>0.5</v>
      </c>
      <c r="E204" s="6">
        <f>(D204*10)</f>
        <v>5</v>
      </c>
      <c r="F204" s="6">
        <f>(D204*20)</f>
        <v>10</v>
      </c>
      <c r="G204" s="6">
        <f>(D204*30)</f>
        <v>15</v>
      </c>
      <c r="H204" s="5"/>
    </row>
    <row r="205" spans="2:8" x14ac:dyDescent="0.3">
      <c r="C205" s="27"/>
      <c r="D205" s="19">
        <f>SUM(D194:D204)</f>
        <v>1000</v>
      </c>
      <c r="E205" s="13">
        <f>SUM(E194:E204)</f>
        <v>10000</v>
      </c>
      <c r="F205" s="128">
        <f>SUM(F194:F204)</f>
        <v>20000</v>
      </c>
      <c r="G205" s="84">
        <f>SUM(G194:G204)</f>
        <v>30000</v>
      </c>
      <c r="H205" s="17"/>
    </row>
    <row r="208" spans="2:8" ht="23.4" x14ac:dyDescent="0.45">
      <c r="C208" s="172" t="s">
        <v>749</v>
      </c>
      <c r="D208" s="173"/>
      <c r="E208" s="173"/>
      <c r="F208" s="173"/>
      <c r="G208" s="173"/>
      <c r="H208" s="174"/>
    </row>
    <row r="209" spans="2:8" ht="46.8" x14ac:dyDescent="0.3">
      <c r="B209" s="1">
        <v>4</v>
      </c>
      <c r="C209" s="2" t="s">
        <v>0</v>
      </c>
      <c r="D209" s="3" t="s">
        <v>1</v>
      </c>
      <c r="E209" s="3" t="s">
        <v>748</v>
      </c>
      <c r="F209" s="3" t="s">
        <v>126</v>
      </c>
      <c r="G209" s="3" t="s">
        <v>408</v>
      </c>
      <c r="H209" s="4"/>
    </row>
    <row r="210" spans="2:8" x14ac:dyDescent="0.3">
      <c r="C210" s="5" t="s">
        <v>268</v>
      </c>
      <c r="D210" s="11">
        <v>867</v>
      </c>
      <c r="E210" s="6">
        <f>(D210*10)</f>
        <v>8670</v>
      </c>
      <c r="F210" s="6">
        <f>(D210*30)</f>
        <v>26010</v>
      </c>
      <c r="G210" s="6">
        <f>(D210*50)</f>
        <v>43350</v>
      </c>
      <c r="H210" s="10" t="s">
        <v>7</v>
      </c>
    </row>
    <row r="211" spans="2:8" x14ac:dyDescent="0.3">
      <c r="C211" s="24" t="s">
        <v>516</v>
      </c>
      <c r="D211" s="11">
        <v>12</v>
      </c>
      <c r="E211" s="6">
        <f>(D211*10)</f>
        <v>120</v>
      </c>
      <c r="F211" s="6">
        <f>(D211*30)</f>
        <v>360</v>
      </c>
      <c r="G211" s="6">
        <f>(D211*50)</f>
        <v>600</v>
      </c>
      <c r="H211" s="10"/>
    </row>
    <row r="212" spans="2:8" x14ac:dyDescent="0.3">
      <c r="C212" s="5" t="s">
        <v>374</v>
      </c>
      <c r="D212" s="6">
        <v>2</v>
      </c>
      <c r="E212" s="6">
        <f>(D212*10)</f>
        <v>20</v>
      </c>
      <c r="F212" s="6">
        <f>(D212*30)</f>
        <v>60</v>
      </c>
      <c r="G212" s="6">
        <f>(D212*50)</f>
        <v>100</v>
      </c>
      <c r="H212" s="10" t="s">
        <v>7</v>
      </c>
    </row>
    <row r="213" spans="2:8" x14ac:dyDescent="0.3">
      <c r="C213" s="5" t="s">
        <v>56</v>
      </c>
      <c r="D213" s="6">
        <v>1</v>
      </c>
      <c r="E213" s="6">
        <f>(D213*10)</f>
        <v>10</v>
      </c>
      <c r="F213" s="6">
        <f>(D213*30)</f>
        <v>30</v>
      </c>
      <c r="G213" s="6">
        <f>(D213*50)</f>
        <v>50</v>
      </c>
      <c r="H213" s="10"/>
    </row>
    <row r="214" spans="2:8" x14ac:dyDescent="0.3">
      <c r="C214" s="5" t="s">
        <v>231</v>
      </c>
      <c r="D214" s="11">
        <v>0.5</v>
      </c>
      <c r="E214" s="6">
        <f>(D214*10)</f>
        <v>5</v>
      </c>
      <c r="F214" s="6">
        <f>(D214*30)</f>
        <v>15</v>
      </c>
      <c r="G214" s="6">
        <f>(D214*50)</f>
        <v>25</v>
      </c>
      <c r="H214" s="10"/>
    </row>
    <row r="215" spans="2:8" x14ac:dyDescent="0.3">
      <c r="C215" s="5" t="s">
        <v>432</v>
      </c>
      <c r="D215" s="11">
        <v>0.5</v>
      </c>
      <c r="E215" s="6">
        <f>(D215*10)</f>
        <v>5</v>
      </c>
      <c r="F215" s="6">
        <f>(D215*30)</f>
        <v>15</v>
      </c>
      <c r="G215" s="6">
        <f>(D215*50)</f>
        <v>25</v>
      </c>
      <c r="H215" s="10" t="s">
        <v>7</v>
      </c>
    </row>
    <row r="216" spans="2:8" x14ac:dyDescent="0.3">
      <c r="C216" s="5" t="s">
        <v>168</v>
      </c>
      <c r="D216" s="6">
        <v>12</v>
      </c>
      <c r="E216" s="6">
        <f>(D216*10)</f>
        <v>120</v>
      </c>
      <c r="F216" s="6">
        <f>(D216*30)</f>
        <v>360</v>
      </c>
      <c r="G216" s="6">
        <f>(D216*50)</f>
        <v>600</v>
      </c>
      <c r="H216" s="10" t="s">
        <v>7</v>
      </c>
    </row>
    <row r="217" spans="2:8" x14ac:dyDescent="0.3">
      <c r="C217" s="24" t="s">
        <v>59</v>
      </c>
      <c r="D217" s="6">
        <v>50</v>
      </c>
      <c r="E217" s="6">
        <f>(D217*10)</f>
        <v>500</v>
      </c>
      <c r="F217" s="6">
        <f>(D217*30)</f>
        <v>1500</v>
      </c>
      <c r="G217" s="6">
        <f>(D217*50)</f>
        <v>2500</v>
      </c>
      <c r="H217" s="5"/>
    </row>
    <row r="218" spans="2:8" x14ac:dyDescent="0.3">
      <c r="C218" s="24" t="s">
        <v>380</v>
      </c>
      <c r="D218" s="11">
        <v>3</v>
      </c>
      <c r="E218" s="6">
        <f>(D218*10)</f>
        <v>30</v>
      </c>
      <c r="F218" s="6">
        <f>(D218*30)</f>
        <v>90</v>
      </c>
      <c r="G218" s="6">
        <f>(D218*50)</f>
        <v>150</v>
      </c>
      <c r="H218" s="5" t="s">
        <v>7</v>
      </c>
    </row>
    <row r="219" spans="2:8" x14ac:dyDescent="0.3">
      <c r="C219" s="24" t="s">
        <v>517</v>
      </c>
      <c r="D219" s="11">
        <v>20</v>
      </c>
      <c r="E219" s="6">
        <f>(D219*10)</f>
        <v>200</v>
      </c>
      <c r="F219" s="6">
        <f>(D219*30)</f>
        <v>600</v>
      </c>
      <c r="G219" s="6">
        <f>(D219*50)</f>
        <v>1000</v>
      </c>
      <c r="H219" s="5"/>
    </row>
    <row r="220" spans="2:8" x14ac:dyDescent="0.3">
      <c r="C220" s="24" t="s">
        <v>426</v>
      </c>
      <c r="D220" s="11">
        <v>15</v>
      </c>
      <c r="E220" s="6">
        <f>(D220*10)</f>
        <v>150</v>
      </c>
      <c r="F220" s="6">
        <f>(D220*30)</f>
        <v>450</v>
      </c>
      <c r="G220" s="6">
        <f>(D220*50)</f>
        <v>750</v>
      </c>
      <c r="H220" s="5"/>
    </row>
    <row r="221" spans="2:8" x14ac:dyDescent="0.3">
      <c r="C221" s="24" t="s">
        <v>518</v>
      </c>
      <c r="D221" s="11">
        <v>15</v>
      </c>
      <c r="E221" s="6">
        <f>(D221*10)</f>
        <v>150</v>
      </c>
      <c r="F221" s="6">
        <f>(D221*30)</f>
        <v>450</v>
      </c>
      <c r="G221" s="6">
        <f>(D221*50)</f>
        <v>750</v>
      </c>
      <c r="H221" s="5"/>
    </row>
    <row r="222" spans="2:8" x14ac:dyDescent="0.3">
      <c r="C222" s="24" t="s">
        <v>519</v>
      </c>
      <c r="D222" s="11">
        <v>2</v>
      </c>
      <c r="E222" s="6">
        <f>(D222*10)</f>
        <v>20</v>
      </c>
      <c r="F222" s="6">
        <f>(D222*30)</f>
        <v>60</v>
      </c>
      <c r="G222" s="6">
        <f>(D222*50)</f>
        <v>100</v>
      </c>
      <c r="H222" s="5"/>
    </row>
    <row r="223" spans="2:8" x14ac:dyDescent="0.3">
      <c r="C223" s="27"/>
      <c r="D223" s="19">
        <f>SUM(D210:D222)</f>
        <v>1000</v>
      </c>
      <c r="E223" s="19">
        <f>SUM(E210:E222)</f>
        <v>10000</v>
      </c>
      <c r="F223" s="153">
        <f>SUM(F210:F222)</f>
        <v>30000</v>
      </c>
      <c r="G223" s="154">
        <f>SUM(G210:G222)</f>
        <v>50000</v>
      </c>
      <c r="H223" s="17"/>
    </row>
    <row r="226" spans="2:8" ht="23.4" x14ac:dyDescent="0.45">
      <c r="C226" s="172" t="s">
        <v>547</v>
      </c>
      <c r="D226" s="173"/>
      <c r="E226" s="173"/>
      <c r="F226" s="173"/>
      <c r="G226" s="173"/>
      <c r="H226" s="174"/>
    </row>
    <row r="227" spans="2:8" ht="46.8" x14ac:dyDescent="0.3">
      <c r="B227" s="1">
        <v>4</v>
      </c>
      <c r="C227" s="2" t="s">
        <v>0</v>
      </c>
      <c r="D227" s="3" t="s">
        <v>1</v>
      </c>
      <c r="E227" s="3" t="s">
        <v>545</v>
      </c>
      <c r="F227" s="3" t="s">
        <v>548</v>
      </c>
      <c r="G227" s="3" t="s">
        <v>87</v>
      </c>
      <c r="H227" s="4"/>
    </row>
    <row r="228" spans="2:8" x14ac:dyDescent="0.3">
      <c r="C228" s="5" t="s">
        <v>481</v>
      </c>
      <c r="D228" s="11">
        <v>100</v>
      </c>
      <c r="E228" s="6">
        <f>(D228*300)</f>
        <v>30000</v>
      </c>
      <c r="F228" s="6">
        <f>(D228*50)</f>
        <v>5000</v>
      </c>
      <c r="G228" s="6">
        <f>(D228*100)</f>
        <v>10000</v>
      </c>
      <c r="H228" s="10" t="s">
        <v>7</v>
      </c>
    </row>
    <row r="229" spans="2:8" x14ac:dyDescent="0.3">
      <c r="C229" s="5" t="s">
        <v>542</v>
      </c>
      <c r="D229" s="11">
        <v>1</v>
      </c>
      <c r="E229" s="6">
        <f>(D229*300)</f>
        <v>300</v>
      </c>
      <c r="F229" s="6">
        <f>(D229*50)</f>
        <v>50</v>
      </c>
      <c r="G229" s="6">
        <f>(D229*100)</f>
        <v>100</v>
      </c>
      <c r="H229" s="10"/>
    </row>
    <row r="230" spans="2:8" x14ac:dyDescent="0.3">
      <c r="C230" s="5" t="s">
        <v>543</v>
      </c>
      <c r="D230" s="11">
        <v>10</v>
      </c>
      <c r="E230" s="6">
        <f>(D230*300)</f>
        <v>3000</v>
      </c>
      <c r="F230" s="6">
        <f>(D230*50)</f>
        <v>500</v>
      </c>
      <c r="G230" s="6">
        <f>(D230*100)</f>
        <v>1000</v>
      </c>
      <c r="H230" s="10"/>
    </row>
    <row r="231" spans="2:8" x14ac:dyDescent="0.3">
      <c r="C231" s="24" t="s">
        <v>203</v>
      </c>
      <c r="D231" s="11">
        <v>50</v>
      </c>
      <c r="E231" s="6">
        <f>(D231*300)</f>
        <v>15000</v>
      </c>
      <c r="F231" s="6">
        <f>(D231*50)</f>
        <v>2500</v>
      </c>
      <c r="G231" s="6">
        <f>(D231*100)</f>
        <v>5000</v>
      </c>
      <c r="H231" s="10"/>
    </row>
    <row r="232" spans="2:8" x14ac:dyDescent="0.3">
      <c r="C232" s="24" t="s">
        <v>12</v>
      </c>
      <c r="D232" s="11">
        <v>0.5</v>
      </c>
      <c r="E232" s="6">
        <f>(D232*300)</f>
        <v>150</v>
      </c>
      <c r="F232" s="6">
        <f>(D232*50)</f>
        <v>25</v>
      </c>
      <c r="G232" s="6">
        <f>(D232*100)</f>
        <v>50</v>
      </c>
      <c r="H232" s="10"/>
    </row>
    <row r="233" spans="2:8" x14ac:dyDescent="0.3">
      <c r="C233" s="5" t="s">
        <v>544</v>
      </c>
      <c r="D233" s="6">
        <v>20</v>
      </c>
      <c r="E233" s="6">
        <f>(D233*300)</f>
        <v>6000</v>
      </c>
      <c r="F233" s="6">
        <f>(D233*50)</f>
        <v>1000</v>
      </c>
      <c r="G233" s="6">
        <f>(D233*100)</f>
        <v>2000</v>
      </c>
      <c r="H233" s="10" t="s">
        <v>7</v>
      </c>
    </row>
    <row r="234" spans="2:8" x14ac:dyDescent="0.3">
      <c r="C234" s="5" t="s">
        <v>174</v>
      </c>
      <c r="D234" s="6">
        <v>1</v>
      </c>
      <c r="E234" s="6">
        <f>(D234*300)</f>
        <v>300</v>
      </c>
      <c r="F234" s="6">
        <f>(D234*50)</f>
        <v>50</v>
      </c>
      <c r="G234" s="6">
        <f>(D234*100)</f>
        <v>100</v>
      </c>
      <c r="H234" s="10"/>
    </row>
    <row r="235" spans="2:8" x14ac:dyDescent="0.3">
      <c r="C235" s="5" t="s">
        <v>520</v>
      </c>
      <c r="D235" s="11">
        <v>2</v>
      </c>
      <c r="E235" s="6">
        <f>(D235*300)</f>
        <v>600</v>
      </c>
      <c r="F235" s="6">
        <f>(D235*50)</f>
        <v>100</v>
      </c>
      <c r="G235" s="6">
        <f>(D235*100)</f>
        <v>200</v>
      </c>
      <c r="H235" s="10"/>
    </row>
    <row r="236" spans="2:8" x14ac:dyDescent="0.3">
      <c r="C236" s="5" t="s">
        <v>521</v>
      </c>
      <c r="D236" s="6">
        <v>2</v>
      </c>
      <c r="E236" s="6">
        <f>(D236*300)</f>
        <v>600</v>
      </c>
      <c r="F236" s="6">
        <f>(D236*50)</f>
        <v>100</v>
      </c>
      <c r="G236" s="6">
        <f>(D236*100)</f>
        <v>200</v>
      </c>
      <c r="H236" s="10" t="s">
        <v>7</v>
      </c>
    </row>
    <row r="237" spans="2:8" x14ac:dyDescent="0.3">
      <c r="C237" s="24" t="s">
        <v>287</v>
      </c>
      <c r="D237" s="11">
        <v>1</v>
      </c>
      <c r="E237" s="6">
        <f>(D237*300)</f>
        <v>300</v>
      </c>
      <c r="F237" s="6">
        <f>(D237*50)</f>
        <v>50</v>
      </c>
      <c r="G237" s="6">
        <f>(D237*100)</f>
        <v>100</v>
      </c>
      <c r="H237" s="5"/>
    </row>
    <row r="238" spans="2:8" x14ac:dyDescent="0.3">
      <c r="C238" s="24" t="s">
        <v>57</v>
      </c>
      <c r="D238" s="11">
        <v>0.5</v>
      </c>
      <c r="E238" s="6">
        <f>(D238*300)</f>
        <v>150</v>
      </c>
      <c r="F238" s="6">
        <f>(D238*50)</f>
        <v>25</v>
      </c>
      <c r="G238" s="6">
        <f>(D238*100)</f>
        <v>50</v>
      </c>
      <c r="H238" s="5"/>
    </row>
    <row r="239" spans="2:8" x14ac:dyDescent="0.3">
      <c r="C239" s="24" t="s">
        <v>232</v>
      </c>
      <c r="D239" s="11">
        <v>815</v>
      </c>
      <c r="E239" s="6">
        <f>(D239*300)</f>
        <v>244500</v>
      </c>
      <c r="F239" s="6">
        <f>(D239*50)</f>
        <v>40750</v>
      </c>
      <c r="G239" s="6">
        <f>(D239*100)</f>
        <v>81500</v>
      </c>
      <c r="H239" s="5"/>
    </row>
    <row r="240" spans="2:8" x14ac:dyDescent="0.3">
      <c r="C240" s="27"/>
      <c r="D240" s="19">
        <f>SUM(D228:D239)</f>
        <v>1003</v>
      </c>
      <c r="E240" s="19">
        <f>SUM(E228:E239)</f>
        <v>300900</v>
      </c>
      <c r="F240" s="153">
        <f>SUM(F228:F239)</f>
        <v>50150</v>
      </c>
      <c r="G240" s="154">
        <f>SUM(G228:G239)</f>
        <v>100300</v>
      </c>
      <c r="H240" s="17"/>
    </row>
    <row r="242" spans="2:8" ht="23.4" x14ac:dyDescent="0.45">
      <c r="C242" s="172" t="s">
        <v>584</v>
      </c>
      <c r="D242" s="173"/>
      <c r="E242" s="173"/>
      <c r="F242" s="173"/>
      <c r="G242" s="173"/>
      <c r="H242" s="174"/>
    </row>
    <row r="243" spans="2:8" ht="62.4" x14ac:dyDescent="0.3">
      <c r="B243" s="1">
        <v>2</v>
      </c>
      <c r="C243" s="36" t="s">
        <v>0</v>
      </c>
      <c r="D243" s="4" t="s">
        <v>1</v>
      </c>
      <c r="E243" s="4" t="s">
        <v>501</v>
      </c>
      <c r="F243" s="4" t="s">
        <v>75</v>
      </c>
      <c r="G243" s="4" t="s">
        <v>76</v>
      </c>
      <c r="H243" s="4"/>
    </row>
    <row r="244" spans="2:8" x14ac:dyDescent="0.3">
      <c r="B244" s="35"/>
      <c r="C244" s="5" t="s">
        <v>585</v>
      </c>
      <c r="D244" s="6">
        <v>230</v>
      </c>
      <c r="E244" s="6">
        <f>(D244*21.5)</f>
        <v>4945</v>
      </c>
      <c r="F244" s="38" t="e">
        <f>(#REF!/1000)*E244</f>
        <v>#REF!</v>
      </c>
      <c r="G244" s="6">
        <f>(D244*50)</f>
        <v>11500</v>
      </c>
      <c r="H244" s="5" t="s">
        <v>7</v>
      </c>
    </row>
    <row r="245" spans="2:8" x14ac:dyDescent="0.3">
      <c r="B245" s="35"/>
      <c r="C245" s="5" t="s">
        <v>527</v>
      </c>
      <c r="D245" s="6">
        <v>35</v>
      </c>
      <c r="E245" s="6">
        <f>(D245*21.5)</f>
        <v>752.5</v>
      </c>
      <c r="F245" s="38" t="e">
        <f>(#REF!/1000)*E245</f>
        <v>#REF!</v>
      </c>
      <c r="G245" s="6">
        <f>(D245*50)</f>
        <v>1750</v>
      </c>
      <c r="H245" s="5" t="s">
        <v>7</v>
      </c>
    </row>
    <row r="246" spans="2:8" x14ac:dyDescent="0.3">
      <c r="B246" s="35"/>
      <c r="C246" s="5" t="s">
        <v>174</v>
      </c>
      <c r="D246" s="6">
        <v>30</v>
      </c>
      <c r="E246" s="6">
        <f>(D246*21.5)</f>
        <v>645</v>
      </c>
      <c r="F246" s="38" t="e">
        <f>(#REF!/1000)*E246</f>
        <v>#REF!</v>
      </c>
      <c r="G246" s="6">
        <f>(D246*50)</f>
        <v>1500</v>
      </c>
      <c r="H246" s="5"/>
    </row>
    <row r="247" spans="2:8" x14ac:dyDescent="0.3">
      <c r="B247" s="35"/>
      <c r="C247" s="5" t="s">
        <v>586</v>
      </c>
      <c r="D247" s="6">
        <v>40</v>
      </c>
      <c r="E247" s="6">
        <f>(D247*21.5)</f>
        <v>860</v>
      </c>
      <c r="F247" s="38" t="e">
        <f>(#REF!/1000)*E247</f>
        <v>#REF!</v>
      </c>
      <c r="G247" s="6">
        <f>(D247*50)</f>
        <v>2000</v>
      </c>
      <c r="H247" s="5"/>
    </row>
    <row r="248" spans="2:8" x14ac:dyDescent="0.3">
      <c r="B248" s="35"/>
      <c r="C248" s="5" t="s">
        <v>587</v>
      </c>
      <c r="D248" s="6">
        <v>20</v>
      </c>
      <c r="E248" s="6">
        <f>(D248*21.5)</f>
        <v>430</v>
      </c>
      <c r="F248" s="38" t="e">
        <f>(#REF!/1000)*E248</f>
        <v>#REF!</v>
      </c>
      <c r="G248" s="6">
        <f>(D248*50)</f>
        <v>1000</v>
      </c>
      <c r="H248" s="5"/>
    </row>
    <row r="249" spans="2:8" x14ac:dyDescent="0.3">
      <c r="B249" s="35"/>
      <c r="C249" s="5" t="s">
        <v>588</v>
      </c>
      <c r="D249" s="6">
        <v>10</v>
      </c>
      <c r="E249" s="6">
        <f>(D249*21.5)</f>
        <v>215</v>
      </c>
      <c r="F249" s="38" t="e">
        <f>(#REF!/1000)*E249</f>
        <v>#REF!</v>
      </c>
      <c r="G249" s="6">
        <f>(D249*50)</f>
        <v>500</v>
      </c>
      <c r="H249" s="5"/>
    </row>
    <row r="250" spans="2:8" x14ac:dyDescent="0.3">
      <c r="B250" s="35"/>
      <c r="C250" s="5" t="s">
        <v>589</v>
      </c>
      <c r="D250" s="6">
        <v>10</v>
      </c>
      <c r="E250" s="6">
        <f>(D250*21.5)</f>
        <v>215</v>
      </c>
      <c r="F250" s="38" t="e">
        <f>(#REF!/1000)*E250</f>
        <v>#REF!</v>
      </c>
      <c r="G250" s="6">
        <f>(D250*50)</f>
        <v>500</v>
      </c>
      <c r="H250" s="5"/>
    </row>
    <row r="251" spans="2:8" x14ac:dyDescent="0.3">
      <c r="B251" s="35"/>
      <c r="C251" s="5" t="s">
        <v>590</v>
      </c>
      <c r="D251" s="6">
        <v>0.05</v>
      </c>
      <c r="E251" s="6">
        <f>(D251*21.5)</f>
        <v>1.075</v>
      </c>
      <c r="F251" s="38" t="e">
        <f>(#REF!/1000)*E251</f>
        <v>#REF!</v>
      </c>
      <c r="G251" s="6">
        <f>(D251*50)</f>
        <v>2.5</v>
      </c>
      <c r="H251" s="5"/>
    </row>
    <row r="252" spans="2:8" x14ac:dyDescent="0.3">
      <c r="B252" s="35"/>
      <c r="C252" s="5" t="s">
        <v>173</v>
      </c>
      <c r="D252" s="6">
        <v>625</v>
      </c>
      <c r="E252" s="6">
        <f>(D252*21.5)</f>
        <v>13437.5</v>
      </c>
      <c r="F252" s="38" t="e">
        <f>(#REF!/1000)*E252</f>
        <v>#REF!</v>
      </c>
      <c r="G252" s="6">
        <f>(D252*50)</f>
        <v>31250</v>
      </c>
      <c r="H252" s="5"/>
    </row>
    <row r="253" spans="2:8" x14ac:dyDescent="0.3">
      <c r="D253" s="13">
        <f>SUM(D244:D252)</f>
        <v>1000.05</v>
      </c>
      <c r="E253" s="13">
        <f>SUM(E244:E252)</f>
        <v>21501.075000000001</v>
      </c>
      <c r="F253" s="39" t="e">
        <f>SUM(F244:F252)</f>
        <v>#REF!</v>
      </c>
      <c r="G253" s="13">
        <f>SUM(G244:G252)</f>
        <v>50002.5</v>
      </c>
      <c r="H253" s="17"/>
    </row>
    <row r="256" spans="2:8" ht="23.4" x14ac:dyDescent="0.45">
      <c r="C256" s="172" t="s">
        <v>591</v>
      </c>
      <c r="D256" s="173"/>
      <c r="E256" s="173"/>
      <c r="F256" s="173"/>
      <c r="G256" s="173"/>
      <c r="H256" s="174"/>
    </row>
    <row r="257" spans="2:8" ht="62.4" x14ac:dyDescent="0.3">
      <c r="B257" s="1">
        <v>2</v>
      </c>
      <c r="C257" s="36" t="s">
        <v>0</v>
      </c>
      <c r="D257" s="4" t="s">
        <v>1</v>
      </c>
      <c r="E257" s="4" t="s">
        <v>501</v>
      </c>
      <c r="F257" s="4" t="s">
        <v>75</v>
      </c>
      <c r="G257" s="4" t="s">
        <v>76</v>
      </c>
      <c r="H257" s="4"/>
    </row>
    <row r="258" spans="2:8" x14ac:dyDescent="0.3">
      <c r="B258" s="35"/>
      <c r="C258" s="5" t="s">
        <v>173</v>
      </c>
      <c r="D258" s="6">
        <v>747.5</v>
      </c>
      <c r="E258" s="6">
        <f>(D258*21.5)</f>
        <v>16071.25</v>
      </c>
      <c r="F258" s="38" t="e">
        <f>(#REF!/1000)*E258</f>
        <v>#REF!</v>
      </c>
      <c r="G258" s="6">
        <f>(D258*50)</f>
        <v>37375</v>
      </c>
      <c r="H258" s="5" t="s">
        <v>7</v>
      </c>
    </row>
    <row r="259" spans="2:8" x14ac:dyDescent="0.3">
      <c r="B259" s="35"/>
      <c r="C259" s="5" t="s">
        <v>59</v>
      </c>
      <c r="D259" s="6">
        <v>20</v>
      </c>
      <c r="E259" s="6">
        <f>(D259*21.5)</f>
        <v>430</v>
      </c>
      <c r="F259" s="38" t="e">
        <f>(#REF!/1000)*E259</f>
        <v>#REF!</v>
      </c>
      <c r="G259" s="6">
        <f>(D259*50)</f>
        <v>1000</v>
      </c>
      <c r="H259" s="5" t="s">
        <v>7</v>
      </c>
    </row>
    <row r="260" spans="2:8" x14ac:dyDescent="0.3">
      <c r="B260" s="35"/>
      <c r="C260" s="5" t="s">
        <v>9</v>
      </c>
      <c r="D260" s="6">
        <v>40</v>
      </c>
      <c r="E260" s="6">
        <f>(D260*21.5)</f>
        <v>860</v>
      </c>
      <c r="F260" s="38" t="e">
        <f>(#REF!/1000)*E260</f>
        <v>#REF!</v>
      </c>
      <c r="G260" s="6">
        <f>(D260*50)</f>
        <v>2000</v>
      </c>
      <c r="H260" s="5"/>
    </row>
    <row r="261" spans="2:8" x14ac:dyDescent="0.3">
      <c r="B261" s="35"/>
      <c r="C261" s="5" t="s">
        <v>56</v>
      </c>
      <c r="D261" s="6">
        <v>1</v>
      </c>
      <c r="E261" s="6">
        <f>(D261*21.5)</f>
        <v>21.5</v>
      </c>
      <c r="F261" s="38" t="e">
        <f>(#REF!/1000)*E261</f>
        <v>#REF!</v>
      </c>
      <c r="G261" s="6">
        <f>(D261*50)</f>
        <v>50</v>
      </c>
      <c r="H261" s="5"/>
    </row>
    <row r="262" spans="2:8" x14ac:dyDescent="0.3">
      <c r="B262" s="35"/>
      <c r="C262" s="5" t="s">
        <v>592</v>
      </c>
      <c r="D262" s="6">
        <v>0.5</v>
      </c>
      <c r="E262" s="6">
        <f>(D262*21.5)</f>
        <v>10.75</v>
      </c>
      <c r="F262" s="38" t="e">
        <f>(#REF!/1000)*E262</f>
        <v>#REF!</v>
      </c>
      <c r="G262" s="6">
        <f>(D262*50)</f>
        <v>25</v>
      </c>
      <c r="H262" s="5"/>
    </row>
    <row r="263" spans="2:8" x14ac:dyDescent="0.3">
      <c r="B263" s="35"/>
      <c r="C263" s="5" t="s">
        <v>275</v>
      </c>
      <c r="D263" s="6">
        <v>30</v>
      </c>
      <c r="E263" s="6">
        <f>(D263*21.5)</f>
        <v>645</v>
      </c>
      <c r="F263" s="38" t="e">
        <f>(#REF!/1000)*E263</f>
        <v>#REF!</v>
      </c>
      <c r="G263" s="6">
        <f>(D263*50)</f>
        <v>1500</v>
      </c>
      <c r="H263" s="5"/>
    </row>
    <row r="264" spans="2:8" x14ac:dyDescent="0.3">
      <c r="B264" s="35"/>
      <c r="C264" s="157" t="s">
        <v>593</v>
      </c>
      <c r="D264" s="6">
        <v>15</v>
      </c>
      <c r="E264" s="6">
        <f>(D264*21.5)</f>
        <v>322.5</v>
      </c>
      <c r="F264" s="38" t="e">
        <f>(#REF!/1000)*E264</f>
        <v>#REF!</v>
      </c>
      <c r="G264" s="6">
        <f>(D264*50)</f>
        <v>750</v>
      </c>
      <c r="H264" s="5"/>
    </row>
    <row r="265" spans="2:8" x14ac:dyDescent="0.3">
      <c r="B265" s="35"/>
      <c r="C265" s="156" t="s">
        <v>594</v>
      </c>
      <c r="D265" s="97">
        <v>30</v>
      </c>
      <c r="E265" s="6">
        <f>(D265*21.5)</f>
        <v>645</v>
      </c>
      <c r="F265" s="38" t="e">
        <f>(#REF!/1000)*E265</f>
        <v>#REF!</v>
      </c>
      <c r="G265" s="6">
        <f>(D265*50)</f>
        <v>1500</v>
      </c>
      <c r="H265" s="5"/>
    </row>
    <row r="266" spans="2:8" x14ac:dyDescent="0.3">
      <c r="B266" s="35"/>
      <c r="C266" s="5" t="s">
        <v>589</v>
      </c>
      <c r="D266" s="6">
        <v>36</v>
      </c>
      <c r="E266" s="6">
        <f>(D266*21.5)</f>
        <v>774</v>
      </c>
      <c r="F266" s="38" t="e">
        <f>(#REF!/1000)*E266</f>
        <v>#REF!</v>
      </c>
      <c r="G266" s="6">
        <f>(D266*50)</f>
        <v>1800</v>
      </c>
      <c r="H266" s="5"/>
    </row>
    <row r="267" spans="2:8" x14ac:dyDescent="0.3">
      <c r="B267" s="35"/>
      <c r="C267" s="5" t="s">
        <v>203</v>
      </c>
      <c r="D267" s="6">
        <v>80</v>
      </c>
      <c r="E267" s="6">
        <f>(D267*21.5)</f>
        <v>1720</v>
      </c>
      <c r="F267" s="38" t="e">
        <f>(#REF!/1000)*E267</f>
        <v>#REF!</v>
      </c>
      <c r="G267" s="6">
        <f>(D267*50)</f>
        <v>4000</v>
      </c>
      <c r="H267" s="5"/>
    </row>
    <row r="268" spans="2:8" x14ac:dyDescent="0.3">
      <c r="D268" s="13">
        <f>SUM(D258:D267)</f>
        <v>1000</v>
      </c>
      <c r="E268" s="13">
        <f>SUM(E258:E267)</f>
        <v>21500</v>
      </c>
      <c r="F268" s="39" t="e">
        <f>SUM(F258:F267)</f>
        <v>#REF!</v>
      </c>
      <c r="G268" s="13">
        <f>SUM(G258:G267)</f>
        <v>50000</v>
      </c>
      <c r="H268" s="17"/>
    </row>
    <row r="271" spans="2:8" ht="23.4" x14ac:dyDescent="0.45">
      <c r="C271" s="172" t="s">
        <v>599</v>
      </c>
      <c r="D271" s="173"/>
      <c r="E271" s="173"/>
      <c r="F271" s="173"/>
      <c r="G271" s="173"/>
      <c r="H271" s="174"/>
    </row>
    <row r="272" spans="2:8" ht="46.8" x14ac:dyDescent="0.3">
      <c r="B272" s="224">
        <v>3</v>
      </c>
      <c r="C272" s="225" t="s">
        <v>0</v>
      </c>
      <c r="D272" s="226" t="s">
        <v>1</v>
      </c>
      <c r="E272" s="226" t="s">
        <v>865</v>
      </c>
      <c r="F272" s="226" t="s">
        <v>408</v>
      </c>
      <c r="G272" s="226" t="s">
        <v>87</v>
      </c>
      <c r="H272" s="4"/>
    </row>
    <row r="273" spans="2:8" x14ac:dyDescent="0.3">
      <c r="C273" s="228" t="s">
        <v>67</v>
      </c>
      <c r="D273" s="229">
        <v>55</v>
      </c>
      <c r="E273" s="229">
        <f>(D273*150)</f>
        <v>8250</v>
      </c>
      <c r="F273" s="229">
        <f>(D273*50)</f>
        <v>2750</v>
      </c>
      <c r="G273" s="229">
        <f>(D273*100)</f>
        <v>5500</v>
      </c>
      <c r="H273" s="10" t="s">
        <v>7</v>
      </c>
    </row>
    <row r="274" spans="2:8" x14ac:dyDescent="0.3">
      <c r="C274" s="228" t="s">
        <v>68</v>
      </c>
      <c r="D274" s="229">
        <v>55</v>
      </c>
      <c r="E274" s="229">
        <f>(D274*150)</f>
        <v>8250</v>
      </c>
      <c r="F274" s="229">
        <f>(D274*50)</f>
        <v>2750</v>
      </c>
      <c r="G274" s="229">
        <f>(D274*100)</f>
        <v>5500</v>
      </c>
      <c r="H274" s="10" t="s">
        <v>7</v>
      </c>
    </row>
    <row r="275" spans="2:8" x14ac:dyDescent="0.3">
      <c r="C275" s="228" t="s">
        <v>404</v>
      </c>
      <c r="D275" s="229">
        <v>20</v>
      </c>
      <c r="E275" s="229">
        <f>(D275*150)</f>
        <v>3000</v>
      </c>
      <c r="F275" s="229">
        <f>(D275*50)</f>
        <v>1000</v>
      </c>
      <c r="G275" s="229">
        <f>(D275*100)</f>
        <v>2000</v>
      </c>
      <c r="H275" s="10" t="s">
        <v>7</v>
      </c>
    </row>
    <row r="276" spans="2:8" x14ac:dyDescent="0.3">
      <c r="C276" s="228" t="s">
        <v>386</v>
      </c>
      <c r="D276" s="229">
        <v>10</v>
      </c>
      <c r="E276" s="229">
        <f>(D276*150)</f>
        <v>1500</v>
      </c>
      <c r="F276" s="229">
        <f>(D276*50)</f>
        <v>500</v>
      </c>
      <c r="G276" s="229">
        <f>(D276*100)</f>
        <v>1000</v>
      </c>
      <c r="H276" s="10"/>
    </row>
    <row r="277" spans="2:8" x14ac:dyDescent="0.3">
      <c r="C277" s="228" t="s">
        <v>387</v>
      </c>
      <c r="D277" s="229">
        <v>5</v>
      </c>
      <c r="E277" s="229">
        <f>(D277*150)</f>
        <v>750</v>
      </c>
      <c r="F277" s="229">
        <f>(D277*50)</f>
        <v>250</v>
      </c>
      <c r="G277" s="229">
        <f>(D277*100)</f>
        <v>500</v>
      </c>
      <c r="H277" s="10" t="s">
        <v>7</v>
      </c>
    </row>
    <row r="278" spans="2:8" x14ac:dyDescent="0.3">
      <c r="C278" s="228" t="s">
        <v>405</v>
      </c>
      <c r="D278" s="230">
        <v>0.5</v>
      </c>
      <c r="E278" s="229">
        <f>(D278*150)</f>
        <v>75</v>
      </c>
      <c r="F278" s="229">
        <f>(D278*50)</f>
        <v>25</v>
      </c>
      <c r="G278" s="229">
        <f>(D278*100)</f>
        <v>50</v>
      </c>
      <c r="H278" s="10" t="s">
        <v>7</v>
      </c>
    </row>
    <row r="279" spans="2:8" x14ac:dyDescent="0.3">
      <c r="C279" s="228" t="s">
        <v>19</v>
      </c>
      <c r="D279" s="229">
        <v>20</v>
      </c>
      <c r="E279" s="229">
        <f>(D279*150)</f>
        <v>3000</v>
      </c>
      <c r="F279" s="229">
        <f>(D279*50)</f>
        <v>1000</v>
      </c>
      <c r="G279" s="229">
        <f>(D279*100)</f>
        <v>2000</v>
      </c>
      <c r="H279" s="5" t="s">
        <v>7</v>
      </c>
    </row>
    <row r="280" spans="2:8" x14ac:dyDescent="0.3">
      <c r="C280" s="228" t="s">
        <v>385</v>
      </c>
      <c r="D280" s="234">
        <v>2</v>
      </c>
      <c r="E280" s="229">
        <f>(D280*150)</f>
        <v>300</v>
      </c>
      <c r="F280" s="229">
        <f>(D280*50)</f>
        <v>100</v>
      </c>
      <c r="G280" s="229">
        <f>(D280*100)</f>
        <v>200</v>
      </c>
      <c r="H280" s="5"/>
    </row>
    <row r="281" spans="2:8" x14ac:dyDescent="0.3">
      <c r="C281" s="233" t="s">
        <v>16</v>
      </c>
      <c r="D281" s="229">
        <v>832</v>
      </c>
      <c r="E281" s="229">
        <f>(D281*150)</f>
        <v>124800</v>
      </c>
      <c r="F281" s="229">
        <f>(D281*50)</f>
        <v>41600</v>
      </c>
      <c r="G281" s="229">
        <f>(D281*100)</f>
        <v>83200</v>
      </c>
      <c r="H281" s="5" t="s">
        <v>7</v>
      </c>
    </row>
    <row r="282" spans="2:8" x14ac:dyDescent="0.3">
      <c r="C282" s="235"/>
      <c r="D282" s="236">
        <f>SUM(D273:D281)</f>
        <v>999.5</v>
      </c>
      <c r="E282" s="236">
        <f>SUM(E273:E281)</f>
        <v>149925</v>
      </c>
      <c r="F282" s="239">
        <f>SUM(F273:F281)</f>
        <v>49975</v>
      </c>
      <c r="G282" s="239">
        <f>SUM(G273:G281)</f>
        <v>99950</v>
      </c>
      <c r="H282" s="5" t="s">
        <v>7</v>
      </c>
    </row>
    <row r="286" spans="2:8" ht="23.4" x14ac:dyDescent="0.45">
      <c r="C286" s="172" t="s">
        <v>997</v>
      </c>
      <c r="D286" s="173"/>
      <c r="E286" s="173"/>
      <c r="F286" s="173"/>
      <c r="G286" s="173"/>
      <c r="H286" s="174"/>
    </row>
    <row r="287" spans="2:8" ht="46.8" x14ac:dyDescent="0.3">
      <c r="B287" s="1">
        <v>4</v>
      </c>
      <c r="C287" s="2" t="s">
        <v>0</v>
      </c>
      <c r="D287" s="3" t="s">
        <v>1</v>
      </c>
      <c r="E287" s="3" t="s">
        <v>545</v>
      </c>
      <c r="F287" s="3" t="s">
        <v>548</v>
      </c>
      <c r="G287" s="3" t="s">
        <v>87</v>
      </c>
      <c r="H287" s="4"/>
    </row>
    <row r="288" spans="2:8" x14ac:dyDescent="0.3">
      <c r="C288" s="5" t="s">
        <v>232</v>
      </c>
      <c r="D288" s="11">
        <v>915.5</v>
      </c>
      <c r="E288" s="6">
        <f>(D288*300)</f>
        <v>274650</v>
      </c>
      <c r="F288" s="6">
        <f>(D288*50)</f>
        <v>45775</v>
      </c>
      <c r="G288" s="6">
        <f>(D288*140)</f>
        <v>128170</v>
      </c>
      <c r="H288" s="10" t="s">
        <v>7</v>
      </c>
    </row>
    <row r="289" spans="2:8" x14ac:dyDescent="0.3">
      <c r="C289" s="5" t="s">
        <v>19</v>
      </c>
      <c r="D289" s="11">
        <v>50</v>
      </c>
      <c r="E289" s="6">
        <f>(D289*300)</f>
        <v>15000</v>
      </c>
      <c r="F289" s="6">
        <f>(D289*50)</f>
        <v>2500</v>
      </c>
      <c r="G289" s="6">
        <f>(D289*140)</f>
        <v>7000</v>
      </c>
      <c r="H289" s="10"/>
    </row>
    <row r="290" spans="2:8" x14ac:dyDescent="0.3">
      <c r="C290" s="5" t="s">
        <v>559</v>
      </c>
      <c r="D290" s="11">
        <v>20</v>
      </c>
      <c r="E290" s="6">
        <f>(D290*300)</f>
        <v>6000</v>
      </c>
      <c r="F290" s="6">
        <f>(D290*50)</f>
        <v>1000</v>
      </c>
      <c r="G290" s="6">
        <f>(D290*140)</f>
        <v>2800</v>
      </c>
      <c r="H290" s="10"/>
    </row>
    <row r="291" spans="2:8" x14ac:dyDescent="0.3">
      <c r="C291" s="24" t="s">
        <v>521</v>
      </c>
      <c r="D291" s="11">
        <v>5</v>
      </c>
      <c r="E291" s="6">
        <f>(D291*300)</f>
        <v>1500</v>
      </c>
      <c r="F291" s="6">
        <f>(D291*50)</f>
        <v>250</v>
      </c>
      <c r="G291" s="6">
        <f>(D291*140)</f>
        <v>700</v>
      </c>
      <c r="H291" s="10"/>
    </row>
    <row r="292" spans="2:8" x14ac:dyDescent="0.3">
      <c r="C292" s="5" t="s">
        <v>561</v>
      </c>
      <c r="D292" s="6">
        <v>5</v>
      </c>
      <c r="E292" s="6">
        <f>(D292*300)</f>
        <v>1500</v>
      </c>
      <c r="F292" s="6">
        <f>(D292*50)</f>
        <v>250</v>
      </c>
      <c r="G292" s="6">
        <f>(D292*140)</f>
        <v>700</v>
      </c>
      <c r="H292" s="10" t="s">
        <v>7</v>
      </c>
    </row>
    <row r="293" spans="2:8" x14ac:dyDescent="0.3">
      <c r="C293" s="5" t="s">
        <v>174</v>
      </c>
      <c r="D293" s="6">
        <v>2</v>
      </c>
      <c r="E293" s="6">
        <f>(D293*300)</f>
        <v>600</v>
      </c>
      <c r="F293" s="6">
        <f>(D293*50)</f>
        <v>100</v>
      </c>
      <c r="G293" s="6">
        <f>(D293*140)</f>
        <v>280</v>
      </c>
      <c r="H293" s="10"/>
    </row>
    <row r="294" spans="2:8" x14ac:dyDescent="0.3">
      <c r="C294" s="5" t="s">
        <v>287</v>
      </c>
      <c r="D294" s="6">
        <v>1</v>
      </c>
      <c r="E294" s="6">
        <f>(D294*300)</f>
        <v>300</v>
      </c>
      <c r="F294" s="6">
        <f>(D294*50)</f>
        <v>50</v>
      </c>
      <c r="G294" s="6">
        <f>(D294*140)</f>
        <v>140</v>
      </c>
      <c r="H294" s="10"/>
    </row>
    <row r="295" spans="2:8" x14ac:dyDescent="0.3">
      <c r="C295" s="5" t="s">
        <v>57</v>
      </c>
      <c r="D295" s="11">
        <v>0.5</v>
      </c>
      <c r="E295" s="6">
        <f>(D295*300)</f>
        <v>150</v>
      </c>
      <c r="F295" s="6">
        <f>(D295*50)</f>
        <v>25</v>
      </c>
      <c r="G295" s="6">
        <f>(D295*140)</f>
        <v>70</v>
      </c>
      <c r="H295" s="10"/>
    </row>
    <row r="296" spans="2:8" x14ac:dyDescent="0.3">
      <c r="C296" s="5" t="s">
        <v>286</v>
      </c>
      <c r="D296" s="6">
        <v>1</v>
      </c>
      <c r="E296" s="6">
        <f>(D296*300)</f>
        <v>300</v>
      </c>
      <c r="F296" s="6">
        <f>(D296*50)</f>
        <v>50</v>
      </c>
      <c r="G296" s="6">
        <f>(D296*140)</f>
        <v>140</v>
      </c>
      <c r="H296" s="10"/>
    </row>
    <row r="297" spans="2:8" x14ac:dyDescent="0.3">
      <c r="C297" s="27"/>
      <c r="D297" s="19">
        <f>SUM(D288:D296)</f>
        <v>1000</v>
      </c>
      <c r="E297" s="19">
        <f>SUM(E288:E296)</f>
        <v>300000</v>
      </c>
      <c r="F297" s="153">
        <f>SUM(F288:F296)</f>
        <v>50000</v>
      </c>
      <c r="G297" s="154">
        <f>SUM(G288:G296)</f>
        <v>140000</v>
      </c>
      <c r="H297" s="17"/>
    </row>
    <row r="300" spans="2:8" ht="23.4" x14ac:dyDescent="0.45">
      <c r="C300" s="172" t="s">
        <v>702</v>
      </c>
      <c r="D300" s="173"/>
      <c r="E300" s="173"/>
      <c r="F300" s="173"/>
      <c r="G300" s="173"/>
      <c r="H300" s="174"/>
    </row>
    <row r="301" spans="2:8" ht="46.8" x14ac:dyDescent="0.3">
      <c r="B301" s="1">
        <v>4</v>
      </c>
      <c r="C301" s="2" t="s">
        <v>0</v>
      </c>
      <c r="D301" s="3" t="s">
        <v>1</v>
      </c>
      <c r="E301" s="3" t="s">
        <v>704</v>
      </c>
      <c r="F301" s="3" t="s">
        <v>126</v>
      </c>
      <c r="G301" s="3" t="s">
        <v>408</v>
      </c>
      <c r="H301" s="4"/>
    </row>
    <row r="302" spans="2:8" x14ac:dyDescent="0.3">
      <c r="C302" s="5" t="s">
        <v>268</v>
      </c>
      <c r="D302" s="11">
        <v>680</v>
      </c>
      <c r="E302" s="6">
        <f>(D302*10)</f>
        <v>6800</v>
      </c>
      <c r="F302" s="6">
        <f>(D302*30)</f>
        <v>20400</v>
      </c>
      <c r="G302" s="6">
        <f>(D302*50)</f>
        <v>34000</v>
      </c>
      <c r="H302" s="10" t="s">
        <v>7</v>
      </c>
    </row>
    <row r="303" spans="2:8" x14ac:dyDescent="0.3">
      <c r="C303" s="24" t="s">
        <v>442</v>
      </c>
      <c r="D303" s="11">
        <v>20</v>
      </c>
      <c r="E303" s="6">
        <f>(D303*10)</f>
        <v>200</v>
      </c>
      <c r="F303" s="6">
        <f>(D303*30)</f>
        <v>600</v>
      </c>
      <c r="G303" s="6">
        <f>(D303*50)</f>
        <v>1000</v>
      </c>
      <c r="H303" s="10"/>
    </row>
    <row r="304" spans="2:8" x14ac:dyDescent="0.3">
      <c r="C304" s="5" t="s">
        <v>163</v>
      </c>
      <c r="D304" s="6">
        <v>50</v>
      </c>
      <c r="E304" s="6">
        <f>(D304*10)</f>
        <v>500</v>
      </c>
      <c r="F304" s="6">
        <f>(D304*30)</f>
        <v>1500</v>
      </c>
      <c r="G304" s="6">
        <f>(D304*50)</f>
        <v>2500</v>
      </c>
      <c r="H304" s="10" t="s">
        <v>7</v>
      </c>
    </row>
    <row r="305" spans="2:8" x14ac:dyDescent="0.3">
      <c r="C305" s="5" t="s">
        <v>372</v>
      </c>
      <c r="D305" s="6">
        <v>70</v>
      </c>
      <c r="E305" s="6">
        <f>(D305*10)</f>
        <v>700</v>
      </c>
      <c r="F305" s="6">
        <f>(D305*30)</f>
        <v>2100</v>
      </c>
      <c r="G305" s="6">
        <f>(D305*50)</f>
        <v>3500</v>
      </c>
      <c r="H305" s="10"/>
    </row>
    <row r="306" spans="2:8" x14ac:dyDescent="0.3">
      <c r="C306" s="5" t="s">
        <v>275</v>
      </c>
      <c r="D306" s="6">
        <v>70</v>
      </c>
      <c r="E306" s="6">
        <f>(D306*10)</f>
        <v>700</v>
      </c>
      <c r="F306" s="6">
        <f>(D306*30)</f>
        <v>2100</v>
      </c>
      <c r="G306" s="6">
        <f>(D306*50)</f>
        <v>3500</v>
      </c>
      <c r="H306" s="10"/>
    </row>
    <row r="307" spans="2:8" x14ac:dyDescent="0.3">
      <c r="C307" s="5" t="s">
        <v>404</v>
      </c>
      <c r="D307" s="6">
        <v>10</v>
      </c>
      <c r="E307" s="6">
        <f>(D307*10)</f>
        <v>100</v>
      </c>
      <c r="F307" s="6">
        <f>(D307*30)</f>
        <v>300</v>
      </c>
      <c r="G307" s="6">
        <f>(D307*50)</f>
        <v>500</v>
      </c>
      <c r="H307" s="10" t="s">
        <v>7</v>
      </c>
    </row>
    <row r="308" spans="2:8" x14ac:dyDescent="0.3">
      <c r="C308" s="5" t="s">
        <v>12</v>
      </c>
      <c r="D308" s="6">
        <v>100</v>
      </c>
      <c r="E308" s="6">
        <f>(D308*10)</f>
        <v>1000</v>
      </c>
      <c r="F308" s="6">
        <f>(D308*30)</f>
        <v>3000</v>
      </c>
      <c r="G308" s="6">
        <f>(D308*50)</f>
        <v>5000</v>
      </c>
      <c r="H308" s="10"/>
    </row>
    <row r="309" spans="2:8" x14ac:dyDescent="0.3">
      <c r="C309" s="5" t="s">
        <v>441</v>
      </c>
      <c r="D309" s="6">
        <v>2</v>
      </c>
      <c r="E309" s="6">
        <f>(D309*10)</f>
        <v>20</v>
      </c>
      <c r="F309" s="6">
        <f>(D309*30)</f>
        <v>60</v>
      </c>
      <c r="G309" s="6">
        <f>(D309*50)</f>
        <v>100</v>
      </c>
      <c r="H309" s="10" t="s">
        <v>7</v>
      </c>
    </row>
    <row r="310" spans="2:8" x14ac:dyDescent="0.3">
      <c r="C310" s="5" t="s">
        <v>703</v>
      </c>
      <c r="D310" s="6">
        <v>2</v>
      </c>
      <c r="E310" s="6">
        <f>(D310*10)</f>
        <v>20</v>
      </c>
      <c r="F310" s="6">
        <f>(D310*30)</f>
        <v>60</v>
      </c>
      <c r="G310" s="6">
        <f>(D310*50)</f>
        <v>100</v>
      </c>
      <c r="H310" s="5" t="s">
        <v>7</v>
      </c>
    </row>
    <row r="311" spans="2:8" x14ac:dyDescent="0.3">
      <c r="C311" s="24" t="s">
        <v>646</v>
      </c>
      <c r="D311" s="25">
        <v>2</v>
      </c>
      <c r="E311" s="6">
        <f>(D311*10)</f>
        <v>20</v>
      </c>
      <c r="F311" s="6">
        <f>(D311*30)</f>
        <v>60</v>
      </c>
      <c r="G311" s="6">
        <f>(D311*50)</f>
        <v>100</v>
      </c>
      <c r="H311" s="5"/>
    </row>
    <row r="312" spans="2:8" x14ac:dyDescent="0.3">
      <c r="C312" s="27"/>
      <c r="D312" s="13">
        <f>SUM(D302:D311)</f>
        <v>1006</v>
      </c>
      <c r="E312" s="13">
        <f>SUM(E302:E311)</f>
        <v>10060</v>
      </c>
      <c r="F312" s="128">
        <f>SUM(F302:F311)</f>
        <v>30180</v>
      </c>
      <c r="G312" s="84">
        <f>SUM(G302:G311)</f>
        <v>50300</v>
      </c>
      <c r="H312" s="17"/>
    </row>
    <row r="315" spans="2:8" ht="23.4" x14ac:dyDescent="0.45">
      <c r="C315" s="172" t="s">
        <v>711</v>
      </c>
      <c r="D315" s="173"/>
      <c r="E315" s="173"/>
      <c r="F315" s="173"/>
      <c r="G315" s="173"/>
      <c r="H315" s="174"/>
    </row>
    <row r="316" spans="2:8" ht="46.8" x14ac:dyDescent="0.3">
      <c r="B316" s="1">
        <v>4</v>
      </c>
      <c r="C316" s="2" t="s">
        <v>0</v>
      </c>
      <c r="D316" s="3" t="s">
        <v>1</v>
      </c>
      <c r="E316" s="3" t="s">
        <v>704</v>
      </c>
      <c r="F316" s="3" t="s">
        <v>126</v>
      </c>
      <c r="G316" s="3" t="s">
        <v>408</v>
      </c>
      <c r="H316" s="4"/>
    </row>
    <row r="317" spans="2:8" x14ac:dyDescent="0.3">
      <c r="C317" s="5" t="s">
        <v>78</v>
      </c>
      <c r="D317" s="11">
        <v>130</v>
      </c>
      <c r="E317" s="6">
        <f>(D317*10)</f>
        <v>1300</v>
      </c>
      <c r="F317" s="6">
        <f>(D317*30)</f>
        <v>3900</v>
      </c>
      <c r="G317" s="6">
        <f>(D317*50)</f>
        <v>6500</v>
      </c>
      <c r="H317" s="10" t="s">
        <v>7</v>
      </c>
    </row>
    <row r="318" spans="2:8" x14ac:dyDescent="0.3">
      <c r="C318" s="24" t="s">
        <v>712</v>
      </c>
      <c r="D318" s="11">
        <v>40</v>
      </c>
      <c r="E318" s="6">
        <f>(D318*10)</f>
        <v>400</v>
      </c>
      <c r="F318" s="6">
        <f>(D318*30)</f>
        <v>1200</v>
      </c>
      <c r="G318" s="6">
        <f>(D318*50)</f>
        <v>2000</v>
      </c>
      <c r="H318" s="10"/>
    </row>
    <row r="319" spans="2:8" x14ac:dyDescent="0.3">
      <c r="C319" s="5" t="s">
        <v>666</v>
      </c>
      <c r="D319" s="6">
        <v>150</v>
      </c>
      <c r="E319" s="6" t="s">
        <v>731</v>
      </c>
      <c r="F319" s="6">
        <f>(D319*30)</f>
        <v>4500</v>
      </c>
      <c r="G319" s="6">
        <f>(D319*50)</f>
        <v>7500</v>
      </c>
      <c r="H319" s="10" t="s">
        <v>7</v>
      </c>
    </row>
    <row r="320" spans="2:8" x14ac:dyDescent="0.3">
      <c r="C320" s="5" t="s">
        <v>404</v>
      </c>
      <c r="D320" s="6">
        <v>250</v>
      </c>
      <c r="E320" s="6">
        <f>(D320*10)</f>
        <v>2500</v>
      </c>
      <c r="F320" s="6">
        <f>(D320*30)</f>
        <v>7500</v>
      </c>
      <c r="G320" s="6">
        <f>(D320*50)</f>
        <v>12500</v>
      </c>
      <c r="H320" s="10"/>
    </row>
    <row r="321" spans="2:8" x14ac:dyDescent="0.3">
      <c r="C321" s="5" t="s">
        <v>103</v>
      </c>
      <c r="D321" s="6">
        <v>370</v>
      </c>
      <c r="E321" s="6">
        <f>(D321*10)</f>
        <v>3700</v>
      </c>
      <c r="F321" s="6">
        <f>(D321*30)</f>
        <v>11100</v>
      </c>
      <c r="G321" s="6">
        <f>(D321*50)</f>
        <v>18500</v>
      </c>
      <c r="H321" s="10"/>
    </row>
    <row r="322" spans="2:8" x14ac:dyDescent="0.3">
      <c r="C322" s="5" t="s">
        <v>713</v>
      </c>
      <c r="D322" s="6">
        <v>40</v>
      </c>
      <c r="E322" s="6">
        <f>(D322*10)</f>
        <v>400</v>
      </c>
      <c r="F322" s="6">
        <f>(D322*30)</f>
        <v>1200</v>
      </c>
      <c r="G322" s="6">
        <f>(D322*50)</f>
        <v>2000</v>
      </c>
      <c r="H322" s="10" t="s">
        <v>7</v>
      </c>
    </row>
    <row r="323" spans="2:8" x14ac:dyDescent="0.3">
      <c r="C323" s="5" t="s">
        <v>703</v>
      </c>
      <c r="D323" s="6">
        <v>5</v>
      </c>
      <c r="E323" s="6">
        <f>(D323*10)</f>
        <v>50</v>
      </c>
      <c r="F323" s="6" t="s">
        <v>180</v>
      </c>
      <c r="G323" s="6">
        <f>(D323*50)</f>
        <v>250</v>
      </c>
      <c r="H323" s="10"/>
    </row>
    <row r="324" spans="2:8" x14ac:dyDescent="0.3">
      <c r="C324" s="27"/>
      <c r="D324" s="13">
        <f>SUM(D317:D323)</f>
        <v>985</v>
      </c>
      <c r="E324" s="13">
        <f>SUM(E317:E323)</f>
        <v>8350</v>
      </c>
      <c r="F324" s="128">
        <f>SUM(F317:F323)</f>
        <v>29400</v>
      </c>
      <c r="G324" s="84">
        <f>SUM(G317:G323)</f>
        <v>49250</v>
      </c>
      <c r="H324" s="17"/>
    </row>
    <row r="327" spans="2:8" ht="23.4" x14ac:dyDescent="0.45">
      <c r="C327" s="221" t="s">
        <v>818</v>
      </c>
      <c r="D327" s="222"/>
      <c r="E327" s="222"/>
      <c r="F327" s="222"/>
      <c r="G327" s="222"/>
      <c r="H327" s="223"/>
    </row>
    <row r="328" spans="2:8" ht="46.8" x14ac:dyDescent="0.3">
      <c r="B328" s="224">
        <v>1</v>
      </c>
      <c r="C328" s="225" t="s">
        <v>0</v>
      </c>
      <c r="D328" s="226" t="s">
        <v>1</v>
      </c>
      <c r="E328" s="226" t="s">
        <v>407</v>
      </c>
      <c r="F328" s="226" t="s">
        <v>126</v>
      </c>
      <c r="G328" s="226" t="s">
        <v>408</v>
      </c>
      <c r="H328" s="227"/>
    </row>
    <row r="329" spans="2:8" x14ac:dyDescent="0.3">
      <c r="C329" s="228" t="s">
        <v>55</v>
      </c>
      <c r="D329" s="229">
        <v>860</v>
      </c>
      <c r="E329" s="229"/>
      <c r="F329" s="229"/>
      <c r="G329" s="229"/>
      <c r="H329" s="232" t="s">
        <v>7</v>
      </c>
    </row>
    <row r="330" spans="2:8" x14ac:dyDescent="0.3">
      <c r="C330" s="233" t="s">
        <v>442</v>
      </c>
      <c r="D330" s="229">
        <v>40</v>
      </c>
      <c r="E330" s="229"/>
      <c r="F330" s="229"/>
      <c r="G330" s="229"/>
      <c r="H330" s="232"/>
    </row>
    <row r="331" spans="2:8" x14ac:dyDescent="0.3">
      <c r="C331" s="228" t="s">
        <v>479</v>
      </c>
      <c r="D331" s="229">
        <v>40</v>
      </c>
      <c r="E331" s="229"/>
      <c r="F331" s="229"/>
      <c r="G331" s="229"/>
      <c r="H331" s="232" t="s">
        <v>7</v>
      </c>
    </row>
    <row r="332" spans="2:8" x14ac:dyDescent="0.3">
      <c r="C332" s="228" t="s">
        <v>9</v>
      </c>
      <c r="D332" s="229">
        <v>30</v>
      </c>
      <c r="E332" s="229"/>
      <c r="F332" s="229"/>
      <c r="G332" s="229"/>
      <c r="H332" s="232"/>
    </row>
    <row r="333" spans="2:8" x14ac:dyDescent="0.3">
      <c r="C333" s="228" t="s">
        <v>244</v>
      </c>
      <c r="D333" s="229">
        <v>5</v>
      </c>
      <c r="E333" s="229"/>
      <c r="F333" s="229"/>
      <c r="G333" s="229"/>
      <c r="H333" s="232"/>
    </row>
    <row r="334" spans="2:8" x14ac:dyDescent="0.3">
      <c r="C334" s="228" t="s">
        <v>419</v>
      </c>
      <c r="D334" s="229">
        <v>2</v>
      </c>
      <c r="E334" s="229"/>
      <c r="F334" s="229"/>
      <c r="G334" s="229"/>
      <c r="H334" s="232" t="s">
        <v>7</v>
      </c>
    </row>
    <row r="335" spans="2:8" x14ac:dyDescent="0.3">
      <c r="C335" s="228" t="s">
        <v>167</v>
      </c>
      <c r="D335" s="229">
        <v>8</v>
      </c>
      <c r="E335" s="229"/>
      <c r="F335" s="229"/>
      <c r="G335" s="229"/>
      <c r="H335" s="232" t="s">
        <v>7</v>
      </c>
    </row>
    <row r="336" spans="2:8" x14ac:dyDescent="0.3">
      <c r="C336" s="228" t="s">
        <v>820</v>
      </c>
      <c r="D336" s="229">
        <v>8</v>
      </c>
      <c r="E336" s="229"/>
      <c r="F336" s="229"/>
      <c r="G336" s="229"/>
      <c r="H336" s="228" t="s">
        <v>7</v>
      </c>
    </row>
    <row r="337" spans="2:8" x14ac:dyDescent="0.3">
      <c r="C337" s="233" t="s">
        <v>386</v>
      </c>
      <c r="D337" s="234">
        <v>7</v>
      </c>
      <c r="E337" s="229"/>
      <c r="F337" s="229"/>
      <c r="G337" s="229"/>
      <c r="H337" s="228"/>
    </row>
    <row r="338" spans="2:8" x14ac:dyDescent="0.3">
      <c r="C338" s="235"/>
      <c r="D338" s="236">
        <f>SUM(D329:D337)</f>
        <v>1000</v>
      </c>
      <c r="E338" s="236">
        <f t="shared" ref="E338:G338" si="3">SUM(E329:E337)</f>
        <v>0</v>
      </c>
      <c r="F338" s="239">
        <f t="shared" si="3"/>
        <v>0</v>
      </c>
      <c r="G338" s="239">
        <f t="shared" si="3"/>
        <v>0</v>
      </c>
      <c r="H338" s="240"/>
    </row>
    <row r="341" spans="2:8" ht="23.4" x14ac:dyDescent="0.45">
      <c r="C341" s="221" t="s">
        <v>821</v>
      </c>
      <c r="D341" s="222"/>
      <c r="E341" s="222"/>
      <c r="F341" s="222"/>
      <c r="G341" s="222"/>
      <c r="H341" s="223"/>
    </row>
    <row r="342" spans="2:8" ht="46.8" x14ac:dyDescent="0.3">
      <c r="B342" s="224">
        <v>3</v>
      </c>
      <c r="C342" s="225" t="s">
        <v>0</v>
      </c>
      <c r="D342" s="226" t="s">
        <v>1</v>
      </c>
      <c r="E342" s="226" t="s">
        <v>407</v>
      </c>
      <c r="F342" s="226" t="s">
        <v>126</v>
      </c>
      <c r="G342" s="226" t="s">
        <v>408</v>
      </c>
      <c r="H342" s="227"/>
    </row>
    <row r="343" spans="2:8" x14ac:dyDescent="0.3">
      <c r="C343" s="228" t="s">
        <v>55</v>
      </c>
      <c r="D343" s="229">
        <v>863</v>
      </c>
      <c r="E343" s="229"/>
      <c r="F343" s="229"/>
      <c r="G343" s="229"/>
      <c r="H343" s="232" t="s">
        <v>7</v>
      </c>
    </row>
    <row r="344" spans="2:8" x14ac:dyDescent="0.3">
      <c r="C344" s="233" t="s">
        <v>59</v>
      </c>
      <c r="D344" s="229">
        <v>40</v>
      </c>
      <c r="E344" s="229"/>
      <c r="F344" s="229"/>
      <c r="G344" s="229"/>
      <c r="H344" s="232"/>
    </row>
    <row r="345" spans="2:8" x14ac:dyDescent="0.3">
      <c r="C345" s="228" t="s">
        <v>9</v>
      </c>
      <c r="D345" s="229">
        <v>30</v>
      </c>
      <c r="E345" s="229"/>
      <c r="F345" s="229"/>
      <c r="G345" s="229"/>
      <c r="H345" s="232" t="s">
        <v>7</v>
      </c>
    </row>
    <row r="346" spans="2:8" x14ac:dyDescent="0.3">
      <c r="C346" s="228" t="s">
        <v>822</v>
      </c>
      <c r="D346" s="229">
        <v>20</v>
      </c>
      <c r="E346" s="229"/>
      <c r="F346" s="229"/>
      <c r="G346" s="229"/>
      <c r="H346" s="232"/>
    </row>
    <row r="347" spans="2:8" x14ac:dyDescent="0.3">
      <c r="C347" s="228" t="s">
        <v>166</v>
      </c>
      <c r="D347" s="229">
        <v>10</v>
      </c>
      <c r="E347" s="229"/>
      <c r="F347" s="229"/>
      <c r="G347" s="229"/>
      <c r="H347" s="232"/>
    </row>
    <row r="348" spans="2:8" x14ac:dyDescent="0.3">
      <c r="C348" s="228" t="s">
        <v>479</v>
      </c>
      <c r="D348" s="229">
        <v>20</v>
      </c>
      <c r="E348" s="229"/>
      <c r="F348" s="229"/>
      <c r="G348" s="229"/>
      <c r="H348" s="232"/>
    </row>
    <row r="349" spans="2:8" x14ac:dyDescent="0.3">
      <c r="C349" s="228" t="s">
        <v>521</v>
      </c>
      <c r="D349" s="229">
        <v>1</v>
      </c>
      <c r="E349" s="229"/>
      <c r="F349" s="229"/>
      <c r="G349" s="229"/>
      <c r="H349" s="232"/>
    </row>
    <row r="350" spans="2:8" x14ac:dyDescent="0.3">
      <c r="C350" s="228" t="s">
        <v>504</v>
      </c>
      <c r="D350" s="229">
        <v>3</v>
      </c>
      <c r="E350" s="229"/>
      <c r="F350" s="229"/>
      <c r="G350" s="229"/>
      <c r="H350" s="232"/>
    </row>
    <row r="351" spans="2:8" x14ac:dyDescent="0.3">
      <c r="C351" s="228" t="s">
        <v>286</v>
      </c>
      <c r="D351" s="229">
        <v>8</v>
      </c>
      <c r="E351" s="229"/>
      <c r="F351" s="229"/>
      <c r="G351" s="229"/>
      <c r="H351" s="232" t="s">
        <v>7</v>
      </c>
    </row>
    <row r="352" spans="2:8" x14ac:dyDescent="0.3">
      <c r="C352" s="228" t="s">
        <v>56</v>
      </c>
      <c r="D352" s="234">
        <v>1</v>
      </c>
      <c r="E352" s="229"/>
      <c r="F352" s="229"/>
      <c r="G352" s="229"/>
      <c r="H352" s="228"/>
    </row>
    <row r="353" spans="2:8" x14ac:dyDescent="0.3">
      <c r="C353" s="228" t="s">
        <v>231</v>
      </c>
      <c r="D353" s="234">
        <v>1</v>
      </c>
      <c r="E353" s="229"/>
      <c r="F353" s="229"/>
      <c r="G353" s="229"/>
      <c r="H353" s="228"/>
    </row>
    <row r="354" spans="2:8" x14ac:dyDescent="0.3">
      <c r="C354" s="241" t="s">
        <v>174</v>
      </c>
      <c r="D354" s="234">
        <v>1</v>
      </c>
      <c r="E354" s="229"/>
      <c r="F354" s="229"/>
      <c r="G354" s="229"/>
      <c r="H354" s="228"/>
    </row>
    <row r="355" spans="2:8" x14ac:dyDescent="0.3">
      <c r="C355" s="241" t="s">
        <v>384</v>
      </c>
      <c r="D355" s="234">
        <v>2</v>
      </c>
      <c r="E355" s="229"/>
      <c r="F355" s="229"/>
      <c r="G355" s="229"/>
      <c r="H355" s="228"/>
    </row>
    <row r="356" spans="2:8" x14ac:dyDescent="0.3">
      <c r="C356" s="235"/>
      <c r="D356" s="236">
        <f>SUM(D343:D355)</f>
        <v>1000</v>
      </c>
      <c r="E356" s="236">
        <f t="shared" ref="E356:G356" si="4">SUM(E343:E353)</f>
        <v>0</v>
      </c>
      <c r="F356" s="239">
        <f t="shared" si="4"/>
        <v>0</v>
      </c>
      <c r="G356" s="239">
        <f t="shared" si="4"/>
        <v>0</v>
      </c>
      <c r="H356" s="240"/>
    </row>
    <row r="359" spans="2:8" ht="23.4" x14ac:dyDescent="0.45">
      <c r="C359" s="221" t="s">
        <v>837</v>
      </c>
      <c r="D359" s="222"/>
      <c r="E359" s="222"/>
      <c r="F359" s="222"/>
      <c r="G359" s="222"/>
      <c r="H359" s="223"/>
    </row>
    <row r="360" spans="2:8" ht="46.8" x14ac:dyDescent="0.3">
      <c r="B360" s="224">
        <v>4</v>
      </c>
      <c r="C360" s="225" t="s">
        <v>0</v>
      </c>
      <c r="D360" s="226" t="s">
        <v>1</v>
      </c>
      <c r="E360" s="226" t="s">
        <v>407</v>
      </c>
      <c r="F360" s="226" t="s">
        <v>126</v>
      </c>
      <c r="G360" s="226" t="s">
        <v>408</v>
      </c>
      <c r="H360" s="227"/>
    </row>
    <row r="361" spans="2:8" x14ac:dyDescent="0.3">
      <c r="C361" s="228" t="s">
        <v>16</v>
      </c>
      <c r="D361" s="229">
        <v>859</v>
      </c>
      <c r="E361" s="229"/>
      <c r="F361" s="229"/>
      <c r="G361" s="229"/>
      <c r="H361" s="232" t="s">
        <v>7</v>
      </c>
    </row>
    <row r="362" spans="2:8" x14ac:dyDescent="0.3">
      <c r="C362" s="228" t="s">
        <v>19</v>
      </c>
      <c r="D362" s="229">
        <v>40</v>
      </c>
      <c r="E362" s="229"/>
      <c r="F362" s="229"/>
      <c r="G362" s="229"/>
      <c r="H362" s="232"/>
    </row>
    <row r="363" spans="2:8" x14ac:dyDescent="0.3">
      <c r="C363" s="228" t="s">
        <v>9</v>
      </c>
      <c r="D363" s="229">
        <v>30</v>
      </c>
      <c r="E363" s="229"/>
      <c r="F363" s="229"/>
      <c r="G363" s="229"/>
      <c r="H363" s="232"/>
    </row>
    <row r="364" spans="2:8" x14ac:dyDescent="0.3">
      <c r="C364" s="228" t="s">
        <v>286</v>
      </c>
      <c r="D364" s="229">
        <v>8</v>
      </c>
      <c r="E364" s="229"/>
      <c r="F364" s="229"/>
      <c r="G364" s="229"/>
      <c r="H364" s="232"/>
    </row>
    <row r="365" spans="2:8" x14ac:dyDescent="0.3">
      <c r="C365" s="228" t="s">
        <v>20</v>
      </c>
      <c r="D365" s="229">
        <v>8</v>
      </c>
      <c r="E365" s="229"/>
      <c r="F365" s="229"/>
      <c r="G365" s="229"/>
      <c r="H365" s="232"/>
    </row>
    <row r="366" spans="2:8" x14ac:dyDescent="0.3">
      <c r="C366" s="228" t="s">
        <v>386</v>
      </c>
      <c r="D366" s="229">
        <v>20</v>
      </c>
      <c r="E366" s="229"/>
      <c r="F366" s="229"/>
      <c r="G366" s="229"/>
      <c r="H366" s="232"/>
    </row>
    <row r="367" spans="2:8" x14ac:dyDescent="0.3">
      <c r="C367" s="228" t="s">
        <v>241</v>
      </c>
      <c r="D367" s="229">
        <v>10</v>
      </c>
      <c r="E367" s="229"/>
      <c r="F367" s="229"/>
      <c r="G367" s="229"/>
      <c r="H367" s="232"/>
    </row>
    <row r="368" spans="2:8" x14ac:dyDescent="0.3">
      <c r="C368" s="228" t="s">
        <v>642</v>
      </c>
      <c r="D368" s="229">
        <v>20</v>
      </c>
      <c r="E368" s="229"/>
      <c r="F368" s="229"/>
      <c r="G368" s="229"/>
      <c r="H368" s="232"/>
    </row>
    <row r="369" spans="2:8" x14ac:dyDescent="0.3">
      <c r="C369" s="228" t="s">
        <v>28</v>
      </c>
      <c r="D369" s="229">
        <v>2</v>
      </c>
      <c r="E369" s="229"/>
      <c r="F369" s="229"/>
      <c r="G369" s="229"/>
      <c r="H369" s="232"/>
    </row>
    <row r="370" spans="2:8" x14ac:dyDescent="0.3">
      <c r="C370" s="228" t="s">
        <v>29</v>
      </c>
      <c r="D370" s="229">
        <v>1</v>
      </c>
      <c r="E370" s="229"/>
      <c r="F370" s="229"/>
      <c r="G370" s="229"/>
      <c r="H370" s="232"/>
    </row>
    <row r="371" spans="2:8" x14ac:dyDescent="0.3">
      <c r="C371" s="228" t="s">
        <v>225</v>
      </c>
      <c r="D371" s="229">
        <v>1</v>
      </c>
      <c r="E371" s="229"/>
      <c r="F371" s="229"/>
      <c r="G371" s="229"/>
      <c r="H371" s="232"/>
    </row>
    <row r="372" spans="2:8" x14ac:dyDescent="0.3">
      <c r="C372" s="228" t="s">
        <v>174</v>
      </c>
      <c r="D372" s="229">
        <v>1</v>
      </c>
      <c r="E372" s="229"/>
      <c r="F372" s="229"/>
      <c r="G372" s="229"/>
      <c r="H372" s="232"/>
    </row>
    <row r="373" spans="2:8" x14ac:dyDescent="0.3">
      <c r="C373" s="235"/>
      <c r="D373" s="253">
        <f>SUM(D361:D372)</f>
        <v>1000</v>
      </c>
      <c r="E373" s="253">
        <f>SUM(E361:E372)</f>
        <v>0</v>
      </c>
      <c r="F373" s="258">
        <f>SUM(F361:F372)</f>
        <v>0</v>
      </c>
      <c r="G373" s="258">
        <f>SUM(G361:G372)</f>
        <v>0</v>
      </c>
      <c r="H373" s="257"/>
    </row>
    <row r="376" spans="2:8" ht="23.4" x14ac:dyDescent="0.45">
      <c r="C376" s="266" t="s">
        <v>896</v>
      </c>
      <c r="D376" s="222"/>
      <c r="E376" s="222"/>
      <c r="F376" s="222"/>
      <c r="G376" s="222"/>
    </row>
    <row r="377" spans="2:8" ht="46.8" x14ac:dyDescent="0.3">
      <c r="B377" s="224">
        <v>11</v>
      </c>
      <c r="C377" s="225" t="s">
        <v>0</v>
      </c>
      <c r="D377" s="226" t="s">
        <v>1</v>
      </c>
      <c r="E377" s="226" t="s">
        <v>407</v>
      </c>
      <c r="F377" s="226" t="s">
        <v>126</v>
      </c>
      <c r="G377" s="226" t="s">
        <v>408</v>
      </c>
    </row>
    <row r="378" spans="2:8" ht="15.6" x14ac:dyDescent="0.3">
      <c r="C378" s="289" t="s">
        <v>16</v>
      </c>
      <c r="D378" s="229">
        <v>851</v>
      </c>
      <c r="E378" s="229"/>
      <c r="F378" s="229"/>
      <c r="G378" s="229"/>
    </row>
    <row r="379" spans="2:8" ht="15.6" x14ac:dyDescent="0.3">
      <c r="C379" s="289" t="s">
        <v>67</v>
      </c>
      <c r="D379" s="229">
        <v>70</v>
      </c>
      <c r="E379" s="229"/>
      <c r="F379" s="229"/>
      <c r="G379" s="229"/>
    </row>
    <row r="380" spans="2:8" ht="15.6" x14ac:dyDescent="0.3">
      <c r="C380" s="289" t="s">
        <v>68</v>
      </c>
      <c r="D380" s="229">
        <v>70</v>
      </c>
      <c r="E380" s="229"/>
      <c r="F380" s="229"/>
      <c r="G380" s="229"/>
    </row>
    <row r="381" spans="2:8" ht="15.6" x14ac:dyDescent="0.3">
      <c r="C381" s="289" t="s">
        <v>520</v>
      </c>
      <c r="D381" s="230">
        <v>2.5</v>
      </c>
      <c r="E381" s="229"/>
      <c r="F381" s="229"/>
      <c r="G381" s="229"/>
    </row>
    <row r="382" spans="2:8" ht="15.6" x14ac:dyDescent="0.3">
      <c r="C382" s="289" t="s">
        <v>6</v>
      </c>
      <c r="D382" s="229">
        <v>50</v>
      </c>
      <c r="E382" s="229"/>
      <c r="F382" s="229"/>
      <c r="G382" s="229"/>
    </row>
    <row r="383" spans="2:8" ht="15.6" x14ac:dyDescent="0.3">
      <c r="C383" s="289" t="s">
        <v>60</v>
      </c>
      <c r="D383" s="230">
        <v>2.5</v>
      </c>
      <c r="E383" s="229"/>
      <c r="F383" s="229"/>
      <c r="G383" s="229"/>
    </row>
    <row r="384" spans="2:8" ht="15.6" x14ac:dyDescent="0.3">
      <c r="C384" s="289" t="s">
        <v>9</v>
      </c>
      <c r="D384" s="296">
        <v>160</v>
      </c>
      <c r="E384" s="296"/>
      <c r="F384" s="299"/>
      <c r="G384" s="299"/>
    </row>
    <row r="385" spans="2:9" x14ac:dyDescent="0.3">
      <c r="C385" s="235"/>
      <c r="D385" s="253">
        <f>SUM(D378:D384)</f>
        <v>1206</v>
      </c>
      <c r="E385" s="253">
        <f t="shared" ref="E385:G385" si="5">SUM(E378:E383)</f>
        <v>0</v>
      </c>
      <c r="F385" s="258">
        <f t="shared" si="5"/>
        <v>0</v>
      </c>
      <c r="G385" s="258">
        <f t="shared" si="5"/>
        <v>0</v>
      </c>
    </row>
    <row r="388" spans="2:9" ht="23.4" x14ac:dyDescent="0.45">
      <c r="C388" s="266" t="s">
        <v>920</v>
      </c>
      <c r="D388" s="222"/>
      <c r="E388" s="222"/>
      <c r="F388" s="222"/>
      <c r="G388" s="222"/>
      <c r="H388" s="222"/>
      <c r="I388" s="222"/>
    </row>
    <row r="389" spans="2:9" ht="46.8" x14ac:dyDescent="0.3">
      <c r="B389" s="224">
        <v>11</v>
      </c>
      <c r="C389" s="225" t="s">
        <v>0</v>
      </c>
      <c r="D389" s="226" t="s">
        <v>1</v>
      </c>
      <c r="E389" s="226" t="s">
        <v>2</v>
      </c>
      <c r="F389" s="226" t="s">
        <v>819</v>
      </c>
      <c r="G389" s="226" t="s">
        <v>407</v>
      </c>
      <c r="H389" s="226" t="s">
        <v>126</v>
      </c>
      <c r="I389" s="226" t="s">
        <v>408</v>
      </c>
    </row>
    <row r="390" spans="2:9" ht="15.6" x14ac:dyDescent="0.3">
      <c r="C390" s="302" t="s">
        <v>173</v>
      </c>
      <c r="D390" s="35">
        <v>767</v>
      </c>
      <c r="E390" s="303"/>
      <c r="F390" s="231">
        <f>(E390/1000)*D395</f>
        <v>0</v>
      </c>
      <c r="G390" s="229"/>
      <c r="H390" s="229"/>
      <c r="I390" s="229"/>
    </row>
    <row r="391" spans="2:9" ht="15.6" x14ac:dyDescent="0.3">
      <c r="C391" s="302" t="s">
        <v>19</v>
      </c>
      <c r="D391" s="35">
        <v>20</v>
      </c>
      <c r="E391" s="303"/>
      <c r="F391" s="231"/>
      <c r="G391" s="229"/>
      <c r="H391" s="229"/>
      <c r="I391" s="229"/>
    </row>
    <row r="392" spans="2:9" ht="15.6" x14ac:dyDescent="0.3">
      <c r="C392" s="302" t="s">
        <v>9</v>
      </c>
      <c r="D392" s="35">
        <v>15</v>
      </c>
      <c r="E392" s="303"/>
      <c r="F392" s="231"/>
      <c r="G392" s="229"/>
      <c r="H392" s="229"/>
      <c r="I392" s="229"/>
    </row>
    <row r="393" spans="2:9" ht="15.6" x14ac:dyDescent="0.3">
      <c r="C393" s="302" t="s">
        <v>124</v>
      </c>
      <c r="D393" s="35">
        <v>5</v>
      </c>
      <c r="E393" s="303"/>
      <c r="F393" s="231"/>
      <c r="G393" s="229"/>
      <c r="H393" s="229"/>
      <c r="I393" s="229"/>
    </row>
    <row r="394" spans="2:9" ht="15.6" x14ac:dyDescent="0.3">
      <c r="C394" s="302" t="s">
        <v>70</v>
      </c>
      <c r="D394" s="35">
        <v>30</v>
      </c>
      <c r="E394" s="303"/>
      <c r="F394" s="231"/>
      <c r="G394" s="229"/>
      <c r="H394" s="229"/>
      <c r="I394" s="229"/>
    </row>
    <row r="395" spans="2:9" ht="15.6" x14ac:dyDescent="0.3">
      <c r="C395" s="302" t="s">
        <v>340</v>
      </c>
      <c r="D395" s="307">
        <v>15</v>
      </c>
      <c r="E395" s="303"/>
      <c r="F395" s="231"/>
      <c r="G395" s="229"/>
      <c r="H395" s="229"/>
      <c r="I395" s="229"/>
    </row>
    <row r="396" spans="2:9" ht="15.6" x14ac:dyDescent="0.3">
      <c r="C396" s="302" t="s">
        <v>667</v>
      </c>
      <c r="D396" s="307">
        <v>60</v>
      </c>
      <c r="E396" s="303"/>
      <c r="F396" s="231"/>
      <c r="G396" s="229"/>
      <c r="H396" s="229"/>
      <c r="I396" s="229"/>
    </row>
    <row r="397" spans="2:9" ht="15.6" x14ac:dyDescent="0.3">
      <c r="C397" s="302" t="s">
        <v>368</v>
      </c>
      <c r="D397" s="307">
        <v>60</v>
      </c>
      <c r="E397" s="303"/>
      <c r="F397" s="231"/>
      <c r="G397" s="229"/>
      <c r="H397" s="229"/>
      <c r="I397" s="229"/>
    </row>
    <row r="398" spans="2:9" ht="15.6" x14ac:dyDescent="0.3">
      <c r="C398" s="302" t="s">
        <v>484</v>
      </c>
      <c r="D398" s="307">
        <v>5</v>
      </c>
      <c r="E398" s="303"/>
      <c r="F398" s="231"/>
      <c r="G398" s="229"/>
      <c r="H398" s="229"/>
      <c r="I398" s="229"/>
    </row>
    <row r="399" spans="2:9" ht="15.6" x14ac:dyDescent="0.3">
      <c r="C399" s="289" t="s">
        <v>921</v>
      </c>
      <c r="D399" s="259">
        <v>20</v>
      </c>
      <c r="E399" s="230"/>
      <c r="F399" s="231"/>
      <c r="G399" s="229"/>
      <c r="H399" s="229"/>
      <c r="I399" s="229"/>
    </row>
    <row r="400" spans="2:9" ht="15.6" x14ac:dyDescent="0.3">
      <c r="C400" s="290" t="s">
        <v>635</v>
      </c>
      <c r="D400" s="259">
        <v>2.5</v>
      </c>
      <c r="E400" s="259"/>
      <c r="F400" s="261"/>
      <c r="G400" s="262"/>
      <c r="H400" s="262"/>
      <c r="I400" s="262"/>
    </row>
    <row r="401" spans="2:10" x14ac:dyDescent="0.3">
      <c r="C401" s="235"/>
      <c r="D401" s="253">
        <f>SUM(D390:D400)</f>
        <v>999.5</v>
      </c>
      <c r="E401" s="254"/>
      <c r="F401" s="255">
        <f>SUM(F390:F399)</f>
        <v>0</v>
      </c>
      <c r="G401" s="253">
        <f>SUM(G390:G399)</f>
        <v>0</v>
      </c>
      <c r="H401" s="258">
        <f>SUM(H390:H399)</f>
        <v>0</v>
      </c>
      <c r="I401" s="258">
        <f>SUM(I390:I399)</f>
        <v>0</v>
      </c>
    </row>
    <row r="404" spans="2:10" ht="23.4" x14ac:dyDescent="0.45">
      <c r="C404" s="266" t="s">
        <v>942</v>
      </c>
      <c r="D404" s="222"/>
      <c r="E404" s="222"/>
      <c r="F404" s="222"/>
      <c r="G404" s="222"/>
      <c r="H404" s="222"/>
      <c r="I404" s="222"/>
      <c r="J404" s="223"/>
    </row>
    <row r="405" spans="2:10" ht="46.8" x14ac:dyDescent="0.3">
      <c r="B405" s="224">
        <v>16</v>
      </c>
      <c r="C405" s="225" t="s">
        <v>0</v>
      </c>
      <c r="D405" s="226" t="s">
        <v>135</v>
      </c>
      <c r="E405" s="226" t="s">
        <v>926</v>
      </c>
      <c r="F405" s="226" t="s">
        <v>819</v>
      </c>
      <c r="G405" s="226"/>
      <c r="H405" s="226" t="s">
        <v>126</v>
      </c>
      <c r="I405" s="226" t="s">
        <v>408</v>
      </c>
      <c r="J405" s="227"/>
    </row>
    <row r="406" spans="2:10" x14ac:dyDescent="0.3">
      <c r="C406" s="228" t="s">
        <v>943</v>
      </c>
      <c r="D406" s="229">
        <v>10</v>
      </c>
      <c r="E406" s="230"/>
      <c r="F406" s="231">
        <f>(E406/1000)*D406</f>
        <v>0</v>
      </c>
      <c r="G406" s="229"/>
      <c r="H406" s="229"/>
      <c r="I406" s="229"/>
      <c r="J406" s="232" t="s">
        <v>7</v>
      </c>
    </row>
    <row r="407" spans="2:10" x14ac:dyDescent="0.3">
      <c r="C407" s="228" t="s">
        <v>944</v>
      </c>
      <c r="D407" s="229">
        <v>30</v>
      </c>
      <c r="E407" s="230"/>
      <c r="F407" s="231"/>
      <c r="G407" s="229"/>
      <c r="H407" s="229"/>
      <c r="I407" s="229"/>
      <c r="J407" s="232"/>
    </row>
    <row r="408" spans="2:10" x14ac:dyDescent="0.3">
      <c r="C408" s="228" t="s">
        <v>945</v>
      </c>
      <c r="D408" s="229">
        <v>5</v>
      </c>
      <c r="E408" s="230"/>
      <c r="F408" s="231"/>
      <c r="G408" s="229"/>
      <c r="H408" s="229"/>
      <c r="I408" s="229"/>
      <c r="J408" s="232"/>
    </row>
    <row r="409" spans="2:10" x14ac:dyDescent="0.3">
      <c r="C409" s="228" t="s">
        <v>946</v>
      </c>
      <c r="D409" s="229">
        <v>3</v>
      </c>
      <c r="E409" s="230"/>
      <c r="F409" s="231"/>
      <c r="G409" s="229"/>
      <c r="H409" s="229"/>
      <c r="I409" s="229"/>
      <c r="J409" s="232"/>
    </row>
    <row r="410" spans="2:10" x14ac:dyDescent="0.3">
      <c r="C410" s="228" t="s">
        <v>517</v>
      </c>
      <c r="D410" s="229">
        <v>5</v>
      </c>
      <c r="E410" s="230"/>
      <c r="F410" s="231"/>
      <c r="G410" s="229"/>
      <c r="H410" s="229"/>
      <c r="I410" s="229"/>
      <c r="J410" s="232"/>
    </row>
    <row r="411" spans="2:10" x14ac:dyDescent="0.3">
      <c r="C411" s="228" t="s">
        <v>131</v>
      </c>
      <c r="D411" s="229">
        <v>1</v>
      </c>
      <c r="E411" s="230"/>
      <c r="F411" s="231"/>
      <c r="G411" s="229"/>
      <c r="H411" s="229"/>
      <c r="I411" s="229"/>
      <c r="J411" s="232"/>
    </row>
    <row r="412" spans="2:10" x14ac:dyDescent="0.3">
      <c r="C412" s="228" t="s">
        <v>132</v>
      </c>
      <c r="D412" s="230">
        <v>50</v>
      </c>
      <c r="E412" s="230"/>
      <c r="F412" s="231"/>
      <c r="G412" s="229"/>
      <c r="H412" s="229"/>
      <c r="I412" s="229"/>
      <c r="J412" s="232"/>
    </row>
    <row r="413" spans="2:10" x14ac:dyDescent="0.3">
      <c r="C413" s="228" t="s">
        <v>133</v>
      </c>
      <c r="D413" s="229">
        <v>398</v>
      </c>
      <c r="E413" s="230"/>
      <c r="F413" s="231"/>
      <c r="G413" s="229"/>
      <c r="H413" s="229"/>
      <c r="I413" s="229"/>
      <c r="J413" s="232"/>
    </row>
    <row r="414" spans="2:10" x14ac:dyDescent="0.3">
      <c r="C414" s="252" t="s">
        <v>163</v>
      </c>
      <c r="D414" s="229">
        <v>398</v>
      </c>
      <c r="E414" s="230"/>
      <c r="F414" s="231"/>
      <c r="G414" s="229"/>
      <c r="H414" s="229"/>
      <c r="I414" s="229"/>
      <c r="J414" s="232"/>
    </row>
    <row r="415" spans="2:10" x14ac:dyDescent="0.3">
      <c r="C415" s="235"/>
      <c r="D415" s="253">
        <f>SUM(D406:D414)</f>
        <v>900</v>
      </c>
      <c r="E415" s="254"/>
      <c r="F415" s="255">
        <f>SUM(F406:F414)</f>
        <v>0</v>
      </c>
      <c r="G415" s="253">
        <f>SUM(G406:G414)</f>
        <v>0</v>
      </c>
      <c r="H415" s="258">
        <f>SUM(H406:H414)</f>
        <v>0</v>
      </c>
      <c r="I415" s="258">
        <f>SUM(I406:I414)</f>
        <v>0</v>
      </c>
      <c r="J415" s="257"/>
    </row>
  </sheetData>
  <sortState xmlns:xlrd2="http://schemas.microsoft.com/office/spreadsheetml/2017/richdata2" ref="B45:H54">
    <sortCondition ref="G54"/>
  </sortState>
  <mergeCells count="34">
    <mergeCell ref="C404:J404"/>
    <mergeCell ref="C327:H327"/>
    <mergeCell ref="C341:H341"/>
    <mergeCell ref="C359:H359"/>
    <mergeCell ref="C376:G376"/>
    <mergeCell ref="C388:I388"/>
    <mergeCell ref="A71:A73"/>
    <mergeCell ref="B74:B75"/>
    <mergeCell ref="A76:A79"/>
    <mergeCell ref="C122:H122"/>
    <mergeCell ref="C111:H111"/>
    <mergeCell ref="C103:H103"/>
    <mergeCell ref="C86:H86"/>
    <mergeCell ref="B99:G100"/>
    <mergeCell ref="C286:H286"/>
    <mergeCell ref="C271:H271"/>
    <mergeCell ref="C242:H242"/>
    <mergeCell ref="C256:H256"/>
    <mergeCell ref="C315:H315"/>
    <mergeCell ref="C300:H300"/>
    <mergeCell ref="C3:H3"/>
    <mergeCell ref="C14:H14"/>
    <mergeCell ref="C22:H22"/>
    <mergeCell ref="C30:H30"/>
    <mergeCell ref="C133:H133"/>
    <mergeCell ref="C69:H69"/>
    <mergeCell ref="C57:H57"/>
    <mergeCell ref="C43:H43"/>
    <mergeCell ref="C226:H226"/>
    <mergeCell ref="C146:H146"/>
    <mergeCell ref="C208:H208"/>
    <mergeCell ref="C192:H192"/>
    <mergeCell ref="C159:H159"/>
    <mergeCell ref="C176:H176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91E8-5B1D-4444-B932-43389FD7A06A}">
  <dimension ref="A3:L350"/>
  <sheetViews>
    <sheetView topLeftCell="A335" workbookViewId="0">
      <selection activeCell="A158" sqref="A158:XFD158"/>
    </sheetView>
  </sheetViews>
  <sheetFormatPr baseColWidth="10" defaultRowHeight="14.4" x14ac:dyDescent="0.3"/>
  <cols>
    <col min="2" max="2" width="15.5546875" customWidth="1"/>
    <col min="3" max="3" width="28.44140625" customWidth="1"/>
    <col min="4" max="4" width="13.109375" bestFit="1" customWidth="1"/>
    <col min="5" max="5" width="11.44140625" hidden="1" customWidth="1"/>
    <col min="6" max="6" width="12.5546875" hidden="1" customWidth="1"/>
    <col min="7" max="7" width="14.6640625" customWidth="1"/>
    <col min="8" max="8" width="10.44140625" hidden="1" customWidth="1"/>
    <col min="9" max="9" width="16.109375" customWidth="1"/>
    <col min="10" max="10" width="21.5546875" customWidth="1"/>
  </cols>
  <sheetData>
    <row r="3" spans="2:12" ht="23.4" x14ac:dyDescent="0.3">
      <c r="C3" s="189" t="s">
        <v>237</v>
      </c>
      <c r="D3" s="190"/>
      <c r="E3" s="190"/>
      <c r="F3" s="190"/>
      <c r="G3" s="190"/>
      <c r="H3" s="190"/>
      <c r="I3" s="190"/>
      <c r="J3" s="191"/>
    </row>
    <row r="4" spans="2:12" ht="62.4" x14ac:dyDescent="0.3">
      <c r="B4" s="1">
        <v>1</v>
      </c>
      <c r="C4" s="2" t="s">
        <v>0</v>
      </c>
      <c r="D4" s="3" t="s">
        <v>1</v>
      </c>
      <c r="E4" s="3" t="s">
        <v>2</v>
      </c>
      <c r="F4" s="3" t="s">
        <v>3</v>
      </c>
      <c r="G4" s="3" t="s">
        <v>502</v>
      </c>
      <c r="H4" s="3" t="s">
        <v>5</v>
      </c>
      <c r="I4" s="3" t="s">
        <v>236</v>
      </c>
      <c r="J4" s="4"/>
    </row>
    <row r="5" spans="2:12" x14ac:dyDescent="0.3">
      <c r="B5" s="35">
        <v>2</v>
      </c>
      <c r="C5" s="5" t="s">
        <v>6</v>
      </c>
      <c r="D5" s="6">
        <v>3</v>
      </c>
      <c r="E5" s="7">
        <v>1000</v>
      </c>
      <c r="F5" s="8">
        <f>(E5/1000)*D5</f>
        <v>3</v>
      </c>
      <c r="G5" s="6">
        <f>(D5*4)</f>
        <v>12</v>
      </c>
      <c r="H5" s="7">
        <f>(E5/1000)*G5</f>
        <v>12</v>
      </c>
      <c r="I5" s="6">
        <f>(D5*60)</f>
        <v>180</v>
      </c>
      <c r="J5" s="10" t="s">
        <v>7</v>
      </c>
    </row>
    <row r="6" spans="2:12" x14ac:dyDescent="0.3">
      <c r="B6" s="35">
        <v>1</v>
      </c>
      <c r="C6" s="5" t="s">
        <v>8</v>
      </c>
      <c r="D6" s="6">
        <v>845</v>
      </c>
      <c r="E6" s="7">
        <v>7</v>
      </c>
      <c r="F6" s="8">
        <f>(E6/1000)*D6</f>
        <v>5.915</v>
      </c>
      <c r="G6" s="6">
        <f t="shared" ref="G6:G9" si="0">(D6*4)</f>
        <v>3380</v>
      </c>
      <c r="H6" s="7">
        <f>(E6/1000)*G6</f>
        <v>23.66</v>
      </c>
      <c r="I6" s="6">
        <f>(D6*60)</f>
        <v>50700</v>
      </c>
      <c r="J6" s="10" t="s">
        <v>7</v>
      </c>
    </row>
    <row r="7" spans="2:12" x14ac:dyDescent="0.3">
      <c r="B7" s="35">
        <v>4</v>
      </c>
      <c r="C7" s="5" t="s">
        <v>9</v>
      </c>
      <c r="D7" s="6">
        <v>50</v>
      </c>
      <c r="E7" s="7">
        <v>20</v>
      </c>
      <c r="F7" s="8">
        <f>(E7/1000)*D7</f>
        <v>1</v>
      </c>
      <c r="G7" s="6">
        <f t="shared" si="0"/>
        <v>200</v>
      </c>
      <c r="H7" s="7">
        <f>(E7/1000)*G7</f>
        <v>4</v>
      </c>
      <c r="I7" s="6">
        <f>(D7*60)</f>
        <v>3000</v>
      </c>
      <c r="J7" s="10" t="s">
        <v>7</v>
      </c>
    </row>
    <row r="8" spans="2:12" x14ac:dyDescent="0.3">
      <c r="B8" s="35">
        <v>3</v>
      </c>
      <c r="C8" s="5" t="s">
        <v>10</v>
      </c>
      <c r="D8" s="11">
        <v>2.5</v>
      </c>
      <c r="E8" s="12">
        <v>400</v>
      </c>
      <c r="F8" s="8">
        <f>(E8/1000)*D8</f>
        <v>1</v>
      </c>
      <c r="G8" s="6">
        <f t="shared" si="0"/>
        <v>10</v>
      </c>
      <c r="H8" s="7">
        <f>(E8/1000)*G8</f>
        <v>4</v>
      </c>
      <c r="I8" s="6">
        <f>(D8*60)</f>
        <v>150</v>
      </c>
      <c r="J8" s="10" t="s">
        <v>7</v>
      </c>
    </row>
    <row r="9" spans="2:12" x14ac:dyDescent="0.3">
      <c r="B9" s="35">
        <v>5</v>
      </c>
      <c r="C9" s="5" t="s">
        <v>11</v>
      </c>
      <c r="D9" s="6">
        <v>100</v>
      </c>
      <c r="E9" s="12">
        <v>0.6</v>
      </c>
      <c r="F9" s="8">
        <f>(E9/1000)*D9</f>
        <v>0.06</v>
      </c>
      <c r="G9" s="6">
        <f t="shared" si="0"/>
        <v>400</v>
      </c>
      <c r="H9" s="7">
        <f>(E9/1000)*G9</f>
        <v>0.24</v>
      </c>
      <c r="I9" s="6">
        <f>(D9*60)</f>
        <v>6000</v>
      </c>
      <c r="J9" s="10" t="s">
        <v>7</v>
      </c>
    </row>
    <row r="10" spans="2:12" x14ac:dyDescent="0.3">
      <c r="D10" s="13">
        <f>SUM(D5:D9)</f>
        <v>1000.5</v>
      </c>
      <c r="E10" s="14"/>
      <c r="F10" s="15">
        <f>SUM(F5:F9)</f>
        <v>10.975</v>
      </c>
      <c r="G10" s="13">
        <f>SUM(G5:G9)</f>
        <v>4002</v>
      </c>
      <c r="H10" s="16">
        <f>SUM(H5:H9)</f>
        <v>43.9</v>
      </c>
      <c r="I10" s="13">
        <f>SUM(I5:I9)</f>
        <v>60030</v>
      </c>
      <c r="J10" s="17"/>
    </row>
    <row r="12" spans="2:12" x14ac:dyDescent="0.3">
      <c r="I12" t="s">
        <v>180</v>
      </c>
    </row>
    <row r="15" spans="2:12" ht="23.4" x14ac:dyDescent="0.3">
      <c r="C15" s="189" t="s">
        <v>273</v>
      </c>
      <c r="D15" s="190"/>
      <c r="E15" s="190"/>
      <c r="F15" s="190"/>
      <c r="G15" s="190"/>
      <c r="H15" s="190"/>
      <c r="I15" s="190"/>
      <c r="J15" s="191"/>
    </row>
    <row r="16" spans="2:12" ht="62.4" x14ac:dyDescent="0.3">
      <c r="B16" s="1">
        <v>2</v>
      </c>
      <c r="C16" s="2" t="s">
        <v>0</v>
      </c>
      <c r="D16" s="3" t="s">
        <v>272</v>
      </c>
      <c r="E16" s="3" t="s">
        <v>2</v>
      </c>
      <c r="F16" s="3" t="s">
        <v>3</v>
      </c>
      <c r="G16" s="3" t="s">
        <v>4</v>
      </c>
      <c r="H16" s="3" t="s">
        <v>5</v>
      </c>
      <c r="I16" s="4" t="s">
        <v>271</v>
      </c>
      <c r="J16" s="4"/>
      <c r="L16" s="94" t="s">
        <v>114</v>
      </c>
    </row>
    <row r="17" spans="2:10" x14ac:dyDescent="0.3">
      <c r="B17" s="35">
        <v>2</v>
      </c>
      <c r="C17" s="5" t="s">
        <v>12</v>
      </c>
      <c r="D17" s="6">
        <v>170</v>
      </c>
      <c r="E17" s="7">
        <v>2000</v>
      </c>
      <c r="F17" s="8">
        <f>(E17/1000)*D17</f>
        <v>340</v>
      </c>
      <c r="G17" s="6">
        <f>(D17*10)</f>
        <v>1700</v>
      </c>
      <c r="H17" s="7">
        <f>(E17/1000)*G17</f>
        <v>3400</v>
      </c>
      <c r="I17" s="9">
        <f>(D17*20)</f>
        <v>3400</v>
      </c>
      <c r="J17" s="10" t="s">
        <v>7</v>
      </c>
    </row>
    <row r="18" spans="2:10" x14ac:dyDescent="0.3">
      <c r="B18" s="35">
        <v>1</v>
      </c>
      <c r="C18" s="5" t="s">
        <v>8</v>
      </c>
      <c r="D18" s="6">
        <v>400</v>
      </c>
      <c r="E18" s="7">
        <v>5</v>
      </c>
      <c r="F18" s="8">
        <f>(E18/1000)*D18</f>
        <v>2</v>
      </c>
      <c r="G18" s="6">
        <f>(D18*10)</f>
        <v>4000</v>
      </c>
      <c r="H18" s="7">
        <f>(E18/1000)*G18</f>
        <v>20</v>
      </c>
      <c r="I18" s="9">
        <f>(D18*20)</f>
        <v>8000</v>
      </c>
      <c r="J18" s="10" t="s">
        <v>7</v>
      </c>
    </row>
    <row r="19" spans="2:10" x14ac:dyDescent="0.3">
      <c r="B19" s="35">
        <v>3</v>
      </c>
      <c r="C19" s="5" t="s">
        <v>9</v>
      </c>
      <c r="D19" s="6">
        <v>400</v>
      </c>
      <c r="E19" s="7">
        <v>20</v>
      </c>
      <c r="F19" s="8">
        <f>(E19/1000)*D19</f>
        <v>8</v>
      </c>
      <c r="G19" s="6">
        <f>(D19*10)</f>
        <v>4000</v>
      </c>
      <c r="H19" s="7">
        <f>(E19/1000)*G19</f>
        <v>80</v>
      </c>
      <c r="I19" s="9">
        <f>(D19*20)</f>
        <v>8000</v>
      </c>
      <c r="J19" s="10" t="s">
        <v>7</v>
      </c>
    </row>
    <row r="20" spans="2:10" x14ac:dyDescent="0.3">
      <c r="B20" s="35">
        <v>4</v>
      </c>
      <c r="C20" s="5" t="s">
        <v>13</v>
      </c>
      <c r="D20" s="11">
        <v>5</v>
      </c>
      <c r="E20" s="12">
        <v>400</v>
      </c>
      <c r="F20" s="8">
        <f>(E20/1000)*D20</f>
        <v>2</v>
      </c>
      <c r="G20" s="6">
        <f>(D20*10)</f>
        <v>50</v>
      </c>
      <c r="H20" s="7">
        <f>(E20/1000)*G20</f>
        <v>20</v>
      </c>
      <c r="I20" s="9">
        <f>(D20*20)</f>
        <v>100</v>
      </c>
      <c r="J20" s="10" t="s">
        <v>7</v>
      </c>
    </row>
    <row r="21" spans="2:10" x14ac:dyDescent="0.3">
      <c r="B21" s="35">
        <v>5</v>
      </c>
      <c r="C21" s="5" t="s">
        <v>11</v>
      </c>
      <c r="D21" s="6">
        <v>25</v>
      </c>
      <c r="E21" s="12"/>
      <c r="F21" s="8">
        <f>(E21/1000)*D21</f>
        <v>0</v>
      </c>
      <c r="G21" s="6">
        <f>(D21*10)</f>
        <v>250</v>
      </c>
      <c r="H21" s="7">
        <f>(E21/1000)*G21</f>
        <v>0</v>
      </c>
      <c r="I21" s="9">
        <f>(D21*20)</f>
        <v>500</v>
      </c>
      <c r="J21" s="10" t="s">
        <v>7</v>
      </c>
    </row>
    <row r="22" spans="2:10" x14ac:dyDescent="0.3">
      <c r="D22" s="13">
        <f>SUM(D17:D21)</f>
        <v>1000</v>
      </c>
      <c r="E22" s="14"/>
      <c r="F22" s="15">
        <f>SUM(F17:F21)</f>
        <v>352</v>
      </c>
      <c r="G22" s="13">
        <f>SUM(G17:G21)</f>
        <v>10000</v>
      </c>
      <c r="H22" s="16">
        <f>SUM(H17:H21)</f>
        <v>3520</v>
      </c>
      <c r="I22" s="13">
        <f>SUM(I17:I21)</f>
        <v>20000</v>
      </c>
      <c r="J22" s="17"/>
    </row>
    <row r="25" spans="2:10" ht="23.4" x14ac:dyDescent="0.3">
      <c r="C25" s="189" t="s">
        <v>106</v>
      </c>
      <c r="D25" s="190"/>
      <c r="E25" s="190"/>
      <c r="F25" s="190"/>
      <c r="G25" s="190"/>
      <c r="H25" s="190"/>
      <c r="I25" s="190"/>
      <c r="J25" s="191"/>
    </row>
    <row r="26" spans="2:10" ht="57.75" customHeight="1" x14ac:dyDescent="0.3">
      <c r="B26" s="1">
        <v>3</v>
      </c>
      <c r="C26" s="2" t="s">
        <v>0</v>
      </c>
      <c r="D26" s="3" t="s">
        <v>1</v>
      </c>
      <c r="E26" s="3" t="s">
        <v>2</v>
      </c>
      <c r="F26" s="3" t="s">
        <v>24</v>
      </c>
      <c r="G26" s="3" t="s">
        <v>100</v>
      </c>
      <c r="H26" s="3" t="s">
        <v>101</v>
      </c>
      <c r="I26" s="3" t="s">
        <v>102</v>
      </c>
      <c r="J26" s="4"/>
    </row>
    <row r="27" spans="2:10" x14ac:dyDescent="0.3">
      <c r="B27">
        <v>1</v>
      </c>
      <c r="C27" s="24" t="s">
        <v>103</v>
      </c>
      <c r="D27" s="9">
        <v>990</v>
      </c>
      <c r="E27" s="55">
        <v>12.5</v>
      </c>
      <c r="F27" s="56">
        <f>(E27/1000)*D27</f>
        <v>12.375</v>
      </c>
      <c r="G27" s="9">
        <f>(D27*10)</f>
        <v>9900</v>
      </c>
      <c r="H27" s="57">
        <f>(E27/1000)*G27</f>
        <v>123.75</v>
      </c>
      <c r="I27" s="9">
        <f>(D27*60)</f>
        <v>59400</v>
      </c>
      <c r="J27" s="14" t="s">
        <v>7</v>
      </c>
    </row>
    <row r="28" spans="2:10" x14ac:dyDescent="0.3">
      <c r="B28">
        <v>2</v>
      </c>
      <c r="C28" s="24" t="s">
        <v>104</v>
      </c>
      <c r="D28" s="58">
        <v>5</v>
      </c>
      <c r="E28" s="55">
        <v>133</v>
      </c>
      <c r="F28" s="56">
        <f>(E28/1000)*D28</f>
        <v>0.66500000000000004</v>
      </c>
      <c r="G28" s="9">
        <f>(D28*10)</f>
        <v>50</v>
      </c>
      <c r="H28" s="57">
        <f>(E28/1000)*G28</f>
        <v>6.65</v>
      </c>
      <c r="I28" s="9">
        <f>(D28*60)</f>
        <v>300</v>
      </c>
      <c r="J28" s="59" t="s">
        <v>7</v>
      </c>
    </row>
    <row r="29" spans="2:10" x14ac:dyDescent="0.3">
      <c r="B29">
        <v>3</v>
      </c>
      <c r="C29" s="24" t="s">
        <v>105</v>
      </c>
      <c r="D29" s="9">
        <v>5</v>
      </c>
      <c r="E29" s="55">
        <v>390</v>
      </c>
      <c r="F29" s="56">
        <f>(E29/1000)*D29</f>
        <v>1.9500000000000002</v>
      </c>
      <c r="G29" s="9">
        <f>(D29*10)</f>
        <v>50</v>
      </c>
      <c r="H29" s="57">
        <f>(E29/1000)*G29</f>
        <v>19.5</v>
      </c>
      <c r="I29" s="9">
        <f>(D29*60)</f>
        <v>300</v>
      </c>
      <c r="J29" s="59" t="s">
        <v>7</v>
      </c>
    </row>
    <row r="30" spans="2:10" x14ac:dyDescent="0.3">
      <c r="D30" s="13">
        <f>SUM(D27:D29)</f>
        <v>1000</v>
      </c>
      <c r="E30" s="14"/>
      <c r="F30" s="15">
        <f>SUM(F27:F29)</f>
        <v>14.989999999999998</v>
      </c>
      <c r="G30" s="13">
        <f>SUM(G27:G29)</f>
        <v>10000</v>
      </c>
      <c r="H30" s="15">
        <f>SUM(H27:H29)</f>
        <v>149.9</v>
      </c>
      <c r="I30" s="13">
        <f>SUM(I27:I29)</f>
        <v>60000</v>
      </c>
      <c r="J30" s="60"/>
    </row>
    <row r="33" spans="2:10" ht="23.4" x14ac:dyDescent="0.45">
      <c r="C33" s="172" t="s">
        <v>137</v>
      </c>
      <c r="D33" s="173"/>
      <c r="E33" s="173"/>
      <c r="F33" s="173"/>
      <c r="G33" s="173"/>
      <c r="H33" s="173"/>
      <c r="I33" s="173"/>
      <c r="J33" s="174"/>
    </row>
    <row r="34" spans="2:10" ht="62.4" x14ac:dyDescent="0.3">
      <c r="B34" s="1">
        <v>4</v>
      </c>
      <c r="C34" s="2" t="s">
        <v>0</v>
      </c>
      <c r="D34" s="3" t="s">
        <v>1</v>
      </c>
      <c r="E34" s="3" t="s">
        <v>2</v>
      </c>
      <c r="F34" s="3" t="s">
        <v>24</v>
      </c>
      <c r="G34" s="3" t="s">
        <v>235</v>
      </c>
      <c r="H34" s="3" t="s">
        <v>109</v>
      </c>
      <c r="I34" s="3" t="s">
        <v>46</v>
      </c>
      <c r="J34" s="4"/>
    </row>
    <row r="35" spans="2:10" x14ac:dyDescent="0.3">
      <c r="B35">
        <v>1</v>
      </c>
      <c r="C35" s="5" t="s">
        <v>16</v>
      </c>
      <c r="D35" s="6">
        <v>927</v>
      </c>
      <c r="E35" s="11">
        <v>0.3</v>
      </c>
      <c r="F35" s="8">
        <f t="shared" ref="F35:F41" si="1">(E35/1000)*D35</f>
        <v>0.27809999999999996</v>
      </c>
      <c r="G35" s="6">
        <f>(D35*5)</f>
        <v>4635</v>
      </c>
      <c r="H35" s="7">
        <f t="shared" ref="H35:H41" si="2">(E35/1000)*G35</f>
        <v>1.3904999999999998</v>
      </c>
      <c r="I35" s="6">
        <f>(D35*20)</f>
        <v>18540</v>
      </c>
      <c r="J35" s="10" t="s">
        <v>7</v>
      </c>
    </row>
    <row r="36" spans="2:10" x14ac:dyDescent="0.3">
      <c r="B36">
        <v>3</v>
      </c>
      <c r="C36" s="5" t="s">
        <v>17</v>
      </c>
      <c r="D36" s="6">
        <v>8</v>
      </c>
      <c r="E36" s="6">
        <v>98</v>
      </c>
      <c r="F36" s="8">
        <f t="shared" si="1"/>
        <v>0.78400000000000003</v>
      </c>
      <c r="G36" s="6">
        <f t="shared" ref="G36:G41" si="3">(D36*5)</f>
        <v>40</v>
      </c>
      <c r="H36" s="7">
        <f t="shared" si="2"/>
        <v>3.92</v>
      </c>
      <c r="I36" s="6">
        <f t="shared" ref="I36:I41" si="4">(D36*20)</f>
        <v>160</v>
      </c>
      <c r="J36" s="10" t="s">
        <v>7</v>
      </c>
    </row>
    <row r="37" spans="2:10" x14ac:dyDescent="0.3">
      <c r="B37">
        <v>5</v>
      </c>
      <c r="C37" s="5" t="s">
        <v>112</v>
      </c>
      <c r="D37" s="6">
        <v>2.5</v>
      </c>
      <c r="E37" s="6">
        <v>20</v>
      </c>
      <c r="F37" s="8">
        <f t="shared" si="1"/>
        <v>0.05</v>
      </c>
      <c r="G37" s="6">
        <f t="shared" si="3"/>
        <v>12.5</v>
      </c>
      <c r="H37" s="7">
        <f t="shared" si="2"/>
        <v>0.25</v>
      </c>
      <c r="I37" s="6">
        <f t="shared" si="4"/>
        <v>50</v>
      </c>
      <c r="J37" s="10" t="s">
        <v>7</v>
      </c>
    </row>
    <row r="38" spans="2:10" x14ac:dyDescent="0.3">
      <c r="B38">
        <v>6</v>
      </c>
      <c r="C38" s="5" t="s">
        <v>59</v>
      </c>
      <c r="D38" s="6">
        <v>50</v>
      </c>
      <c r="E38" s="11">
        <v>250</v>
      </c>
      <c r="F38" s="8">
        <f t="shared" si="1"/>
        <v>12.5</v>
      </c>
      <c r="G38" s="6">
        <f t="shared" si="3"/>
        <v>250</v>
      </c>
      <c r="H38" s="7">
        <f t="shared" si="2"/>
        <v>62.5</v>
      </c>
      <c r="I38" s="6">
        <f t="shared" si="4"/>
        <v>1000</v>
      </c>
      <c r="J38" s="10" t="s">
        <v>7</v>
      </c>
    </row>
    <row r="39" spans="2:10" x14ac:dyDescent="0.3">
      <c r="B39">
        <v>4</v>
      </c>
      <c r="C39" s="5" t="s">
        <v>53</v>
      </c>
      <c r="D39" s="6">
        <v>8</v>
      </c>
      <c r="E39" s="11">
        <v>50</v>
      </c>
      <c r="F39" s="8">
        <f t="shared" si="1"/>
        <v>0.4</v>
      </c>
      <c r="G39" s="6">
        <f t="shared" si="3"/>
        <v>40</v>
      </c>
      <c r="H39" s="7">
        <f t="shared" si="2"/>
        <v>2</v>
      </c>
      <c r="I39" s="6">
        <f t="shared" si="4"/>
        <v>160</v>
      </c>
      <c r="J39" s="10" t="s">
        <v>7</v>
      </c>
    </row>
    <row r="40" spans="2:10" x14ac:dyDescent="0.3">
      <c r="B40">
        <v>2</v>
      </c>
      <c r="C40" s="5" t="s">
        <v>138</v>
      </c>
      <c r="D40" s="6">
        <v>1</v>
      </c>
      <c r="E40" s="11">
        <v>650</v>
      </c>
      <c r="F40" s="8">
        <f t="shared" si="1"/>
        <v>0.65</v>
      </c>
      <c r="G40" s="6">
        <f t="shared" si="3"/>
        <v>5</v>
      </c>
      <c r="H40" s="7">
        <f t="shared" si="2"/>
        <v>3.25</v>
      </c>
      <c r="I40" s="6">
        <f t="shared" si="4"/>
        <v>20</v>
      </c>
      <c r="J40" s="5" t="s">
        <v>7</v>
      </c>
    </row>
    <row r="41" spans="2:10" x14ac:dyDescent="0.3">
      <c r="C41" s="133" t="s">
        <v>384</v>
      </c>
      <c r="D41" s="6">
        <v>2.5</v>
      </c>
      <c r="E41" s="6">
        <v>960</v>
      </c>
      <c r="F41" s="8">
        <f t="shared" si="1"/>
        <v>2.4</v>
      </c>
      <c r="G41" s="6">
        <f t="shared" si="3"/>
        <v>12.5</v>
      </c>
      <c r="H41" s="7">
        <f t="shared" si="2"/>
        <v>12</v>
      </c>
      <c r="I41" s="6">
        <f t="shared" si="4"/>
        <v>50</v>
      </c>
      <c r="J41" s="5"/>
    </row>
    <row r="42" spans="2:10" x14ac:dyDescent="0.3">
      <c r="C42" s="27"/>
      <c r="D42" s="13">
        <f>SUM(D35:D41)</f>
        <v>999</v>
      </c>
      <c r="E42" s="14"/>
      <c r="F42" s="15">
        <f>SUM(F35:F41)</f>
        <v>17.062100000000001</v>
      </c>
      <c r="G42" s="13">
        <f>SUM(G35:G41)</f>
        <v>4995</v>
      </c>
      <c r="H42" s="16">
        <f>SUM(H35:H41)</f>
        <v>85.310500000000005</v>
      </c>
      <c r="I42" s="17">
        <f>SUM(I35:I41)</f>
        <v>19980</v>
      </c>
      <c r="J42" s="17"/>
    </row>
    <row r="45" spans="2:10" ht="23.4" x14ac:dyDescent="0.45">
      <c r="C45" s="175" t="s">
        <v>598</v>
      </c>
      <c r="D45" s="175"/>
      <c r="E45" s="175"/>
      <c r="F45" s="175"/>
      <c r="G45" s="175"/>
      <c r="H45" s="175"/>
      <c r="I45" s="175"/>
      <c r="J45" s="175"/>
    </row>
    <row r="46" spans="2:10" ht="62.4" x14ac:dyDescent="0.3">
      <c r="B46" s="1">
        <v>5</v>
      </c>
      <c r="C46" s="2" t="s">
        <v>0</v>
      </c>
      <c r="D46" s="3" t="s">
        <v>1</v>
      </c>
      <c r="E46" s="3" t="s">
        <v>2</v>
      </c>
      <c r="F46" s="3" t="s">
        <v>139</v>
      </c>
      <c r="G46" s="3" t="s">
        <v>596</v>
      </c>
      <c r="H46" s="3" t="s">
        <v>140</v>
      </c>
      <c r="I46" s="3" t="s">
        <v>597</v>
      </c>
      <c r="J46" s="3" t="s">
        <v>700</v>
      </c>
    </row>
    <row r="47" spans="2:10" x14ac:dyDescent="0.3">
      <c r="C47" s="5" t="s">
        <v>141</v>
      </c>
      <c r="D47" s="6">
        <v>50</v>
      </c>
      <c r="E47" s="7">
        <v>62</v>
      </c>
      <c r="F47" s="8">
        <f t="shared" ref="F47:F51" si="5">(E47/1000)*D47</f>
        <v>3.1</v>
      </c>
      <c r="G47" s="6">
        <f>(D47*10)</f>
        <v>500</v>
      </c>
      <c r="H47" s="7">
        <f t="shared" ref="H47:H51" si="6">(E47/1000)*G47</f>
        <v>31</v>
      </c>
      <c r="I47" s="6">
        <f>(D47*45)</f>
        <v>2250</v>
      </c>
      <c r="J47" s="6">
        <f>(D47*60)</f>
        <v>3000</v>
      </c>
    </row>
    <row r="48" spans="2:10" x14ac:dyDescent="0.3">
      <c r="C48" s="5" t="s">
        <v>16</v>
      </c>
      <c r="D48" s="6">
        <v>205</v>
      </c>
      <c r="E48" s="7">
        <v>1380.6</v>
      </c>
      <c r="F48" s="8">
        <f t="shared" si="5"/>
        <v>283.02299999999997</v>
      </c>
      <c r="G48" s="6">
        <f t="shared" ref="G48:G51" si="7">(D48*10)</f>
        <v>2050</v>
      </c>
      <c r="H48" s="7">
        <f t="shared" si="6"/>
        <v>2830.2299999999996</v>
      </c>
      <c r="I48" s="6">
        <f t="shared" ref="I48:I51" si="8">(D48*45)</f>
        <v>9225</v>
      </c>
      <c r="J48" s="6">
        <f t="shared" ref="J48:J51" si="9">(D48*60)</f>
        <v>12300</v>
      </c>
    </row>
    <row r="49" spans="2:10" x14ac:dyDescent="0.3">
      <c r="C49" s="5" t="s">
        <v>142</v>
      </c>
      <c r="D49" s="6">
        <v>5</v>
      </c>
      <c r="E49" s="63">
        <v>6</v>
      </c>
      <c r="F49" s="8">
        <f t="shared" si="5"/>
        <v>0.03</v>
      </c>
      <c r="G49" s="6">
        <f t="shared" si="7"/>
        <v>50</v>
      </c>
      <c r="H49" s="7">
        <f t="shared" si="6"/>
        <v>0.3</v>
      </c>
      <c r="I49" s="6">
        <f t="shared" si="8"/>
        <v>225</v>
      </c>
      <c r="J49" s="6">
        <f t="shared" si="9"/>
        <v>300</v>
      </c>
    </row>
    <row r="50" spans="2:10" x14ac:dyDescent="0.3">
      <c r="C50" s="5" t="s">
        <v>59</v>
      </c>
      <c r="D50" s="6">
        <v>34</v>
      </c>
      <c r="E50" s="63">
        <v>396</v>
      </c>
      <c r="F50" s="8">
        <f t="shared" si="5"/>
        <v>13.464</v>
      </c>
      <c r="G50" s="6">
        <f t="shared" si="7"/>
        <v>340</v>
      </c>
      <c r="H50" s="7">
        <f t="shared" si="6"/>
        <v>134.64000000000001</v>
      </c>
      <c r="I50" s="6">
        <f t="shared" si="8"/>
        <v>1530</v>
      </c>
      <c r="J50" s="6">
        <f t="shared" si="9"/>
        <v>2040</v>
      </c>
    </row>
    <row r="51" spans="2:10" x14ac:dyDescent="0.3">
      <c r="C51" s="5" t="s">
        <v>143</v>
      </c>
      <c r="D51" s="6">
        <v>706</v>
      </c>
      <c r="E51" s="63">
        <v>7</v>
      </c>
      <c r="F51" s="8">
        <f t="shared" si="5"/>
        <v>4.9420000000000002</v>
      </c>
      <c r="G51" s="6">
        <f t="shared" si="7"/>
        <v>7060</v>
      </c>
      <c r="H51" s="7">
        <f t="shared" si="6"/>
        <v>49.42</v>
      </c>
      <c r="I51" s="6">
        <f t="shared" si="8"/>
        <v>31770</v>
      </c>
      <c r="J51" s="6">
        <f t="shared" si="9"/>
        <v>42360</v>
      </c>
    </row>
    <row r="52" spans="2:10" x14ac:dyDescent="0.3">
      <c r="D52" s="13">
        <f>SUM(D47:D51)</f>
        <v>1000</v>
      </c>
      <c r="E52" s="14"/>
      <c r="F52" s="15">
        <f>SUM(F47:F51)</f>
        <v>304.55899999999997</v>
      </c>
      <c r="G52" s="13">
        <f>SUM(G47:G51)</f>
        <v>10000</v>
      </c>
      <c r="H52" s="17">
        <f>SUM(H47:H51)</f>
        <v>3045.5899999999997</v>
      </c>
      <c r="I52" s="158">
        <f>SUM(I47:I51)</f>
        <v>45000</v>
      </c>
      <c r="J52" s="158">
        <f>SUM(J47:J51)</f>
        <v>60000</v>
      </c>
    </row>
    <row r="55" spans="2:10" ht="23.4" x14ac:dyDescent="0.45">
      <c r="C55" s="172" t="s">
        <v>192</v>
      </c>
      <c r="D55" s="173"/>
      <c r="E55" s="173"/>
      <c r="F55" s="173"/>
      <c r="G55" s="173"/>
      <c r="H55" s="173"/>
      <c r="I55" s="173"/>
      <c r="J55" s="174"/>
    </row>
    <row r="56" spans="2:10" ht="62.4" x14ac:dyDescent="0.3">
      <c r="B56" s="1">
        <v>6</v>
      </c>
      <c r="C56" s="2" t="s">
        <v>0</v>
      </c>
      <c r="D56" s="3" t="s">
        <v>1</v>
      </c>
      <c r="E56" s="3" t="s">
        <v>2</v>
      </c>
      <c r="F56" s="3" t="s">
        <v>24</v>
      </c>
      <c r="G56" s="3" t="s">
        <v>46</v>
      </c>
      <c r="H56" s="3" t="s">
        <v>109</v>
      </c>
      <c r="I56" s="3" t="s">
        <v>94</v>
      </c>
      <c r="J56" s="4"/>
    </row>
    <row r="57" spans="2:10" x14ac:dyDescent="0.3">
      <c r="B57">
        <v>1</v>
      </c>
      <c r="C57" s="5" t="s">
        <v>16</v>
      </c>
      <c r="D57" s="6">
        <v>927</v>
      </c>
      <c r="E57" s="11">
        <v>0.3</v>
      </c>
      <c r="F57" s="8">
        <f t="shared" ref="F57:F62" si="10">(E57/1000)*D57</f>
        <v>0.27809999999999996</v>
      </c>
      <c r="G57" s="6">
        <f>(D57*20)</f>
        <v>18540</v>
      </c>
      <c r="H57" s="7">
        <f t="shared" ref="H57:H62" si="11">(E57/1000)*G57</f>
        <v>5.5619999999999994</v>
      </c>
      <c r="I57" s="61"/>
      <c r="J57" s="10" t="s">
        <v>7</v>
      </c>
    </row>
    <row r="58" spans="2:10" x14ac:dyDescent="0.3">
      <c r="B58">
        <v>3</v>
      </c>
      <c r="C58" s="5" t="s">
        <v>125</v>
      </c>
      <c r="D58" s="6">
        <v>8</v>
      </c>
      <c r="E58" s="6">
        <v>98</v>
      </c>
      <c r="F58" s="8">
        <f t="shared" si="10"/>
        <v>0.78400000000000003</v>
      </c>
      <c r="G58" s="6">
        <f t="shared" ref="G58:G62" si="12">(D58*20)</f>
        <v>160</v>
      </c>
      <c r="H58" s="7">
        <f t="shared" si="11"/>
        <v>15.68</v>
      </c>
      <c r="I58" s="61"/>
      <c r="J58" s="10" t="s">
        <v>7</v>
      </c>
    </row>
    <row r="59" spans="2:10" x14ac:dyDescent="0.3">
      <c r="B59">
        <v>5</v>
      </c>
      <c r="C59" s="5" t="s">
        <v>193</v>
      </c>
      <c r="D59" s="6">
        <v>5</v>
      </c>
      <c r="E59" s="6">
        <v>20</v>
      </c>
      <c r="F59" s="8">
        <f t="shared" si="10"/>
        <v>0.1</v>
      </c>
      <c r="G59" s="6">
        <f t="shared" si="12"/>
        <v>100</v>
      </c>
      <c r="H59" s="7">
        <f t="shared" si="11"/>
        <v>2</v>
      </c>
      <c r="I59" s="61"/>
      <c r="J59" s="10" t="s">
        <v>7</v>
      </c>
    </row>
    <row r="60" spans="2:10" x14ac:dyDescent="0.3">
      <c r="B60">
        <v>6</v>
      </c>
      <c r="C60" s="5" t="s">
        <v>194</v>
      </c>
      <c r="D60" s="6">
        <v>50</v>
      </c>
      <c r="E60" s="11">
        <v>250</v>
      </c>
      <c r="F60" s="8">
        <f t="shared" si="10"/>
        <v>12.5</v>
      </c>
      <c r="G60" s="6">
        <f t="shared" si="12"/>
        <v>1000</v>
      </c>
      <c r="H60" s="7">
        <f t="shared" si="11"/>
        <v>250</v>
      </c>
      <c r="I60" s="61"/>
      <c r="J60" s="10" t="s">
        <v>7</v>
      </c>
    </row>
    <row r="61" spans="2:10" x14ac:dyDescent="0.3">
      <c r="B61">
        <v>4</v>
      </c>
      <c r="C61" s="5" t="s">
        <v>53</v>
      </c>
      <c r="D61" s="6">
        <v>8</v>
      </c>
      <c r="E61" s="11">
        <v>50</v>
      </c>
      <c r="F61" s="8">
        <f t="shared" si="10"/>
        <v>0.4</v>
      </c>
      <c r="G61" s="6">
        <f t="shared" si="12"/>
        <v>160</v>
      </c>
      <c r="H61" s="7">
        <f t="shared" si="11"/>
        <v>8</v>
      </c>
      <c r="I61" s="61"/>
      <c r="J61" s="10" t="s">
        <v>7</v>
      </c>
    </row>
    <row r="62" spans="2:10" x14ac:dyDescent="0.3">
      <c r="B62">
        <v>2</v>
      </c>
      <c r="C62" s="5" t="s">
        <v>138</v>
      </c>
      <c r="D62" s="6">
        <v>1</v>
      </c>
      <c r="E62" s="11">
        <v>650</v>
      </c>
      <c r="F62" s="8">
        <f t="shared" si="10"/>
        <v>0.65</v>
      </c>
      <c r="G62" s="6">
        <f t="shared" si="12"/>
        <v>20</v>
      </c>
      <c r="H62" s="7">
        <f t="shared" si="11"/>
        <v>13</v>
      </c>
      <c r="I62" s="61"/>
      <c r="J62" s="5" t="s">
        <v>7</v>
      </c>
    </row>
    <row r="63" spans="2:10" x14ac:dyDescent="0.3">
      <c r="C63" s="27"/>
      <c r="D63" s="13">
        <f>SUM(D57:D62)</f>
        <v>999</v>
      </c>
      <c r="E63" s="14"/>
      <c r="F63" s="15">
        <f>SUM(F57:F62)</f>
        <v>14.712100000000001</v>
      </c>
      <c r="G63" s="13">
        <f>SUM(G57:G62)</f>
        <v>19980</v>
      </c>
      <c r="H63" s="16">
        <f>SUM(H57:H62)</f>
        <v>294.24200000000002</v>
      </c>
      <c r="I63" s="17"/>
      <c r="J63" s="17"/>
    </row>
    <row r="66" spans="1:11" ht="23.4" x14ac:dyDescent="0.45">
      <c r="C66" s="172" t="s">
        <v>296</v>
      </c>
      <c r="D66" s="173"/>
      <c r="E66" s="173"/>
      <c r="F66" s="173"/>
      <c r="G66" s="173"/>
      <c r="H66" s="173"/>
      <c r="I66" s="173"/>
      <c r="J66" s="174"/>
    </row>
    <row r="67" spans="1:11" ht="62.4" x14ac:dyDescent="0.3">
      <c r="B67" s="1">
        <v>6</v>
      </c>
      <c r="C67" s="2" t="s">
        <v>0</v>
      </c>
      <c r="D67" s="3" t="s">
        <v>1</v>
      </c>
      <c r="E67" s="3" t="s">
        <v>2</v>
      </c>
      <c r="F67" s="3" t="s">
        <v>24</v>
      </c>
      <c r="G67" s="3" t="s">
        <v>306</v>
      </c>
      <c r="H67" s="3" t="s">
        <v>109</v>
      </c>
      <c r="I67" s="3" t="s">
        <v>251</v>
      </c>
      <c r="J67" s="3"/>
    </row>
    <row r="68" spans="1:11" x14ac:dyDescent="0.3">
      <c r="A68" s="96"/>
      <c r="B68" s="202" t="s">
        <v>300</v>
      </c>
      <c r="C68" s="100" t="s">
        <v>132</v>
      </c>
      <c r="D68" s="101">
        <v>770</v>
      </c>
      <c r="E68" s="102">
        <v>0.6</v>
      </c>
      <c r="F68" s="103">
        <f>(E68/1000)*D68</f>
        <v>0.46199999999999997</v>
      </c>
      <c r="G68" s="101">
        <f>(D68*10)</f>
        <v>7700</v>
      </c>
      <c r="H68" s="101">
        <f>(E68*10)</f>
        <v>6</v>
      </c>
      <c r="I68" s="101">
        <f>(D68*20)</f>
        <v>15400</v>
      </c>
      <c r="J68" s="104" t="s">
        <v>7</v>
      </c>
    </row>
    <row r="69" spans="1:11" x14ac:dyDescent="0.3">
      <c r="A69" s="96"/>
      <c r="B69" s="203"/>
      <c r="C69" s="5" t="s">
        <v>297</v>
      </c>
      <c r="D69" s="6">
        <v>100</v>
      </c>
      <c r="E69" s="6">
        <v>124</v>
      </c>
      <c r="F69" s="8">
        <f>(E69/1000)*D69</f>
        <v>12.4</v>
      </c>
      <c r="G69" s="101">
        <f>(D69*10)</f>
        <v>1000</v>
      </c>
      <c r="H69" s="7">
        <f t="shared" ref="H69:H80" si="13">(E69/1000)*G69</f>
        <v>124</v>
      </c>
      <c r="I69" s="101">
        <f t="shared" ref="I69:I80" si="14">(D69*20)</f>
        <v>2000</v>
      </c>
      <c r="J69" s="105" t="s">
        <v>7</v>
      </c>
    </row>
    <row r="70" spans="1:11" x14ac:dyDescent="0.3">
      <c r="A70" s="96"/>
      <c r="B70" s="203"/>
      <c r="C70" s="5" t="s">
        <v>298</v>
      </c>
      <c r="D70" s="6">
        <v>9</v>
      </c>
      <c r="E70" s="6">
        <v>98</v>
      </c>
      <c r="F70" s="8">
        <f t="shared" ref="F70:F80" si="15">(E70/1000)*D70</f>
        <v>0.88200000000000001</v>
      </c>
      <c r="G70" s="101">
        <f>(D70*10)</f>
        <v>90</v>
      </c>
      <c r="H70" s="7">
        <f t="shared" si="13"/>
        <v>8.82</v>
      </c>
      <c r="I70" s="101">
        <f t="shared" si="14"/>
        <v>180</v>
      </c>
      <c r="J70" s="105" t="s">
        <v>7</v>
      </c>
    </row>
    <row r="71" spans="1:11" x14ac:dyDescent="0.3">
      <c r="A71" s="96"/>
      <c r="B71" s="203"/>
      <c r="C71" s="5" t="s">
        <v>53</v>
      </c>
      <c r="D71" s="6">
        <v>9</v>
      </c>
      <c r="E71" s="11">
        <v>18</v>
      </c>
      <c r="F71" s="8">
        <f t="shared" si="15"/>
        <v>0.16199999999999998</v>
      </c>
      <c r="G71" s="101">
        <f>(D71*10)</f>
        <v>90</v>
      </c>
      <c r="H71" s="7">
        <f t="shared" si="13"/>
        <v>1.6199999999999999</v>
      </c>
      <c r="I71" s="101">
        <f t="shared" si="14"/>
        <v>180</v>
      </c>
      <c r="J71" s="105" t="s">
        <v>7</v>
      </c>
    </row>
    <row r="72" spans="1:11" x14ac:dyDescent="0.3">
      <c r="A72" s="96"/>
      <c r="B72" s="204"/>
      <c r="C72" s="106" t="s">
        <v>59</v>
      </c>
      <c r="D72" s="107">
        <v>30</v>
      </c>
      <c r="E72" s="108">
        <v>8</v>
      </c>
      <c r="F72" s="109">
        <f t="shared" si="15"/>
        <v>0.24</v>
      </c>
      <c r="G72" s="101">
        <f>(D72*10)</f>
        <v>300</v>
      </c>
      <c r="H72" s="110">
        <f t="shared" si="13"/>
        <v>2.4</v>
      </c>
      <c r="I72" s="101">
        <f t="shared" si="14"/>
        <v>600</v>
      </c>
      <c r="J72" s="111" t="s">
        <v>7</v>
      </c>
    </row>
    <row r="73" spans="1:11" x14ac:dyDescent="0.3">
      <c r="B73" s="205" t="s">
        <v>304</v>
      </c>
      <c r="C73" s="34" t="s">
        <v>301</v>
      </c>
      <c r="D73" s="97">
        <v>20</v>
      </c>
      <c r="E73" s="98">
        <v>140</v>
      </c>
      <c r="F73" s="99">
        <f t="shared" si="15"/>
        <v>2.8000000000000003</v>
      </c>
      <c r="G73" s="97">
        <f>(D73*10)</f>
        <v>200</v>
      </c>
      <c r="H73" s="44">
        <f t="shared" si="13"/>
        <v>28.000000000000004</v>
      </c>
      <c r="I73" s="101">
        <f t="shared" si="14"/>
        <v>400</v>
      </c>
      <c r="J73" s="122"/>
    </row>
    <row r="74" spans="1:11" x14ac:dyDescent="0.3">
      <c r="B74" s="206"/>
      <c r="C74" s="5" t="s">
        <v>302</v>
      </c>
      <c r="D74" s="6">
        <v>20</v>
      </c>
      <c r="E74" s="11">
        <v>124</v>
      </c>
      <c r="F74" s="99">
        <f t="shared" si="15"/>
        <v>2.48</v>
      </c>
      <c r="G74" s="97">
        <f t="shared" ref="G74:G80" si="16">(D74*10)</f>
        <v>200</v>
      </c>
      <c r="H74" s="7"/>
      <c r="I74" s="101">
        <f t="shared" si="14"/>
        <v>400</v>
      </c>
      <c r="J74" s="116"/>
    </row>
    <row r="75" spans="1:11" x14ac:dyDescent="0.3">
      <c r="B75" s="206"/>
      <c r="C75" s="5" t="s">
        <v>262</v>
      </c>
      <c r="D75" s="6">
        <v>20</v>
      </c>
      <c r="E75" s="11">
        <v>124</v>
      </c>
      <c r="F75" s="99">
        <f t="shared" si="15"/>
        <v>2.48</v>
      </c>
      <c r="G75" s="97">
        <f t="shared" si="16"/>
        <v>200</v>
      </c>
      <c r="H75" s="7"/>
      <c r="I75" s="101">
        <f t="shared" si="14"/>
        <v>400</v>
      </c>
      <c r="J75" s="116"/>
    </row>
    <row r="76" spans="1:11" x14ac:dyDescent="0.3">
      <c r="B76" s="207"/>
      <c r="C76" s="93" t="s">
        <v>303</v>
      </c>
      <c r="D76" s="25">
        <v>20</v>
      </c>
      <c r="E76" s="32">
        <v>124</v>
      </c>
      <c r="F76" s="99">
        <f t="shared" si="15"/>
        <v>2.48</v>
      </c>
      <c r="G76" s="97">
        <f t="shared" si="16"/>
        <v>200</v>
      </c>
      <c r="H76" s="92"/>
      <c r="I76" s="101">
        <f t="shared" si="14"/>
        <v>400</v>
      </c>
      <c r="J76" s="123"/>
      <c r="K76" s="126"/>
    </row>
    <row r="77" spans="1:11" x14ac:dyDescent="0.3">
      <c r="B77" s="208" t="s">
        <v>305</v>
      </c>
      <c r="C77" s="112" t="s">
        <v>131</v>
      </c>
      <c r="D77" s="113">
        <v>0.125</v>
      </c>
      <c r="E77" s="113">
        <v>25</v>
      </c>
      <c r="F77" s="99">
        <f t="shared" si="15"/>
        <v>3.1250000000000002E-3</v>
      </c>
      <c r="G77" s="97">
        <f t="shared" si="16"/>
        <v>1.25</v>
      </c>
      <c r="H77" s="114"/>
      <c r="I77" s="101">
        <f t="shared" si="14"/>
        <v>2.5</v>
      </c>
      <c r="J77" s="115"/>
    </row>
    <row r="78" spans="1:11" x14ac:dyDescent="0.3">
      <c r="B78" s="209"/>
      <c r="C78" s="5" t="s">
        <v>56</v>
      </c>
      <c r="D78" s="6">
        <v>1</v>
      </c>
      <c r="E78" s="11">
        <v>45</v>
      </c>
      <c r="F78" s="99">
        <f t="shared" si="15"/>
        <v>4.4999999999999998E-2</v>
      </c>
      <c r="G78" s="97">
        <f t="shared" si="16"/>
        <v>10</v>
      </c>
      <c r="H78" s="7"/>
      <c r="I78" s="101">
        <f t="shared" si="14"/>
        <v>20</v>
      </c>
      <c r="J78" s="116"/>
    </row>
    <row r="79" spans="1:11" x14ac:dyDescent="0.3">
      <c r="B79" s="209"/>
      <c r="C79" s="5" t="s">
        <v>231</v>
      </c>
      <c r="D79" s="11">
        <v>0.5</v>
      </c>
      <c r="E79" s="11">
        <v>60</v>
      </c>
      <c r="F79" s="8">
        <f t="shared" si="15"/>
        <v>0.03</v>
      </c>
      <c r="G79" s="97">
        <f t="shared" si="16"/>
        <v>5</v>
      </c>
      <c r="H79" s="7">
        <f t="shared" si="13"/>
        <v>0.3</v>
      </c>
      <c r="I79" s="101">
        <f t="shared" si="14"/>
        <v>10</v>
      </c>
      <c r="J79" s="124" t="s">
        <v>7</v>
      </c>
    </row>
    <row r="80" spans="1:11" x14ac:dyDescent="0.3">
      <c r="B80" s="210"/>
      <c r="C80" s="117" t="s">
        <v>174</v>
      </c>
      <c r="D80" s="119">
        <v>0.3</v>
      </c>
      <c r="E80" s="118">
        <v>25</v>
      </c>
      <c r="F80" s="120">
        <f t="shared" si="15"/>
        <v>7.4999999999999997E-3</v>
      </c>
      <c r="G80" s="97">
        <f t="shared" si="16"/>
        <v>3</v>
      </c>
      <c r="H80" s="121">
        <f t="shared" si="13"/>
        <v>7.5000000000000011E-2</v>
      </c>
      <c r="I80" s="101">
        <f t="shared" si="14"/>
        <v>6</v>
      </c>
      <c r="J80" s="125" t="s">
        <v>7</v>
      </c>
    </row>
    <row r="81" spans="2:10" x14ac:dyDescent="0.3">
      <c r="C81" s="27"/>
      <c r="D81" s="19">
        <f>SUM(D68:D80)</f>
        <v>999.92499999999995</v>
      </c>
      <c r="E81" s="20"/>
      <c r="F81" s="21">
        <f>SUM(F68:F80)</f>
        <v>24.471625000000007</v>
      </c>
      <c r="G81" s="19">
        <f>SUM(G68:G80)</f>
        <v>9999.25</v>
      </c>
      <c r="H81" s="22">
        <f>SUM(H68:H80)</f>
        <v>171.215</v>
      </c>
      <c r="I81" s="23"/>
      <c r="J81" s="23"/>
    </row>
    <row r="82" spans="2:10" x14ac:dyDescent="0.3">
      <c r="C82" s="27"/>
      <c r="D82" s="134"/>
      <c r="E82" s="58"/>
      <c r="F82" s="135"/>
      <c r="G82" s="134"/>
      <c r="H82" s="136"/>
      <c r="I82" s="137"/>
      <c r="J82" s="137"/>
    </row>
    <row r="83" spans="2:10" x14ac:dyDescent="0.3">
      <c r="C83" s="27"/>
      <c r="D83" s="134"/>
      <c r="E83" s="58"/>
      <c r="F83" s="135"/>
      <c r="G83" s="134"/>
      <c r="H83" s="136"/>
      <c r="I83" s="137"/>
      <c r="J83" s="137"/>
    </row>
    <row r="85" spans="2:10" ht="23.4" x14ac:dyDescent="0.45">
      <c r="C85" s="172" t="s">
        <v>345</v>
      </c>
      <c r="D85" s="173"/>
      <c r="E85" s="173"/>
      <c r="F85" s="173"/>
      <c r="G85" s="173"/>
      <c r="H85" s="173"/>
      <c r="I85" s="173"/>
      <c r="J85" s="174"/>
    </row>
    <row r="86" spans="2:10" ht="62.4" x14ac:dyDescent="0.3">
      <c r="B86" s="1">
        <v>22</v>
      </c>
      <c r="C86" s="2" t="s">
        <v>0</v>
      </c>
      <c r="D86" s="3" t="s">
        <v>1</v>
      </c>
      <c r="E86" s="3" t="s">
        <v>2</v>
      </c>
      <c r="F86" s="3" t="s">
        <v>24</v>
      </c>
      <c r="G86" s="3" t="s">
        <v>235</v>
      </c>
      <c r="H86" s="3" t="s">
        <v>184</v>
      </c>
      <c r="I86" s="3" t="s">
        <v>755</v>
      </c>
      <c r="J86" s="3" t="s">
        <v>756</v>
      </c>
    </row>
    <row r="87" spans="2:10" x14ac:dyDescent="0.3">
      <c r="B87">
        <v>6</v>
      </c>
      <c r="C87" s="24" t="s">
        <v>343</v>
      </c>
      <c r="D87" s="6">
        <v>5</v>
      </c>
      <c r="E87" s="7">
        <v>90</v>
      </c>
      <c r="F87" s="7">
        <f>(E87/1000)*D87</f>
        <v>0.44999999999999996</v>
      </c>
      <c r="G87" s="6">
        <f>(D87*5)</f>
        <v>25</v>
      </c>
      <c r="H87" s="130">
        <f>(D87*10)</f>
        <v>50</v>
      </c>
      <c r="I87" s="130">
        <f>(D87*10)</f>
        <v>50</v>
      </c>
      <c r="J87" s="130">
        <f>(D87*15)</f>
        <v>75</v>
      </c>
    </row>
    <row r="88" spans="2:10" x14ac:dyDescent="0.3">
      <c r="B88">
        <v>7</v>
      </c>
      <c r="C88" s="24" t="s">
        <v>285</v>
      </c>
      <c r="D88" s="6">
        <v>10</v>
      </c>
      <c r="E88" s="7">
        <v>170</v>
      </c>
      <c r="F88" s="7">
        <f t="shared" ref="F88:F95" si="17">(E88/1000)*D88</f>
        <v>1.7000000000000002</v>
      </c>
      <c r="G88" s="6">
        <f t="shared" ref="G88:G94" si="18">(D88*5)</f>
        <v>50</v>
      </c>
      <c r="H88" s="130">
        <f t="shared" ref="H88:H95" si="19">(D88*10)</f>
        <v>100</v>
      </c>
      <c r="I88" s="130">
        <f t="shared" ref="I88:I94" si="20">(D88*10)</f>
        <v>100</v>
      </c>
      <c r="J88" s="130">
        <f t="shared" ref="J88:J95" si="21">(D88*15)</f>
        <v>150</v>
      </c>
    </row>
    <row r="89" spans="2:10" x14ac:dyDescent="0.3">
      <c r="B89">
        <v>5</v>
      </c>
      <c r="C89" s="24" t="s">
        <v>9</v>
      </c>
      <c r="D89" s="6">
        <v>30</v>
      </c>
      <c r="E89" s="7">
        <v>15</v>
      </c>
      <c r="F89" s="7">
        <f t="shared" si="17"/>
        <v>0.44999999999999996</v>
      </c>
      <c r="G89" s="6">
        <f t="shared" si="18"/>
        <v>150</v>
      </c>
      <c r="H89" s="130">
        <f t="shared" si="19"/>
        <v>300</v>
      </c>
      <c r="I89" s="130">
        <f t="shared" si="20"/>
        <v>300</v>
      </c>
      <c r="J89" s="130">
        <f t="shared" si="21"/>
        <v>450</v>
      </c>
    </row>
    <row r="90" spans="2:10" x14ac:dyDescent="0.3">
      <c r="B90">
        <v>9</v>
      </c>
      <c r="C90" s="24" t="s">
        <v>59</v>
      </c>
      <c r="D90" s="6">
        <v>20</v>
      </c>
      <c r="E90" s="7">
        <v>8</v>
      </c>
      <c r="F90" s="7">
        <f t="shared" si="17"/>
        <v>0.16</v>
      </c>
      <c r="G90" s="6">
        <f>(D90*5)</f>
        <v>100</v>
      </c>
      <c r="H90" s="130">
        <f t="shared" si="19"/>
        <v>200</v>
      </c>
      <c r="I90" s="130">
        <f t="shared" si="20"/>
        <v>200</v>
      </c>
      <c r="J90" s="130">
        <f t="shared" si="21"/>
        <v>300</v>
      </c>
    </row>
    <row r="91" spans="2:10" x14ac:dyDescent="0.3">
      <c r="B91">
        <v>8</v>
      </c>
      <c r="C91" s="24" t="s">
        <v>164</v>
      </c>
      <c r="D91" s="6">
        <v>10</v>
      </c>
      <c r="E91" s="7">
        <v>250</v>
      </c>
      <c r="F91" s="7">
        <f t="shared" si="17"/>
        <v>2.5</v>
      </c>
      <c r="G91" s="6">
        <f t="shared" si="18"/>
        <v>50</v>
      </c>
      <c r="H91" s="130">
        <f t="shared" si="19"/>
        <v>100</v>
      </c>
      <c r="I91" s="130">
        <f t="shared" si="20"/>
        <v>100</v>
      </c>
      <c r="J91" s="130">
        <f t="shared" si="21"/>
        <v>150</v>
      </c>
    </row>
    <row r="92" spans="2:10" x14ac:dyDescent="0.3">
      <c r="B92">
        <v>4</v>
      </c>
      <c r="C92" s="24" t="s">
        <v>286</v>
      </c>
      <c r="D92" s="6">
        <v>5</v>
      </c>
      <c r="E92" s="7">
        <v>98</v>
      </c>
      <c r="F92" s="7">
        <f t="shared" si="17"/>
        <v>0.49</v>
      </c>
      <c r="G92" s="6">
        <f t="shared" si="18"/>
        <v>25</v>
      </c>
      <c r="H92" s="130">
        <f t="shared" si="19"/>
        <v>50</v>
      </c>
      <c r="I92" s="130">
        <f t="shared" si="20"/>
        <v>50</v>
      </c>
      <c r="J92" s="130">
        <f t="shared" si="21"/>
        <v>75</v>
      </c>
    </row>
    <row r="93" spans="2:10" x14ac:dyDescent="0.3">
      <c r="B93">
        <v>3</v>
      </c>
      <c r="C93" s="24" t="s">
        <v>287</v>
      </c>
      <c r="D93" s="6">
        <v>1</v>
      </c>
      <c r="E93" s="7">
        <v>45</v>
      </c>
      <c r="F93" s="7">
        <f t="shared" si="17"/>
        <v>4.4999999999999998E-2</v>
      </c>
      <c r="G93" s="6">
        <f t="shared" si="18"/>
        <v>5</v>
      </c>
      <c r="H93" s="130">
        <f t="shared" si="19"/>
        <v>10</v>
      </c>
      <c r="I93" s="130">
        <f t="shared" si="20"/>
        <v>10</v>
      </c>
      <c r="J93" s="130">
        <f t="shared" si="21"/>
        <v>15</v>
      </c>
    </row>
    <row r="94" spans="2:10" x14ac:dyDescent="0.3">
      <c r="B94">
        <v>2</v>
      </c>
      <c r="C94" s="24" t="s">
        <v>231</v>
      </c>
      <c r="D94" s="6">
        <v>0.5</v>
      </c>
      <c r="E94" s="7">
        <v>60</v>
      </c>
      <c r="F94" s="7">
        <f t="shared" si="17"/>
        <v>0.03</v>
      </c>
      <c r="G94" s="6">
        <f t="shared" si="18"/>
        <v>2.5</v>
      </c>
      <c r="H94" s="130">
        <f t="shared" si="19"/>
        <v>5</v>
      </c>
      <c r="I94" s="130">
        <f t="shared" si="20"/>
        <v>5</v>
      </c>
      <c r="J94" s="130">
        <f t="shared" si="21"/>
        <v>7.5</v>
      </c>
    </row>
    <row r="95" spans="2:10" x14ac:dyDescent="0.3">
      <c r="B95">
        <v>1</v>
      </c>
      <c r="C95" s="24" t="s">
        <v>27</v>
      </c>
      <c r="D95" s="11">
        <v>918</v>
      </c>
      <c r="E95" s="7">
        <v>0.6</v>
      </c>
      <c r="F95" s="7">
        <f t="shared" si="17"/>
        <v>0.55079999999999996</v>
      </c>
      <c r="G95" s="6">
        <f>(D95*5)</f>
        <v>4590</v>
      </c>
      <c r="H95" s="130">
        <f t="shared" si="19"/>
        <v>9180</v>
      </c>
      <c r="I95" s="130">
        <f>(D95*10)</f>
        <v>9180</v>
      </c>
      <c r="J95" s="130">
        <f t="shared" si="21"/>
        <v>13770</v>
      </c>
    </row>
    <row r="96" spans="2:10" ht="18" x14ac:dyDescent="0.3">
      <c r="C96" s="199" t="s">
        <v>344</v>
      </c>
      <c r="D96" s="200"/>
      <c r="E96" s="200"/>
      <c r="F96" s="200"/>
      <c r="G96" s="200"/>
      <c r="H96" s="200"/>
      <c r="I96" s="200"/>
      <c r="J96" s="201"/>
    </row>
    <row r="97" spans="2:10" x14ac:dyDescent="0.3">
      <c r="C97" s="27"/>
      <c r="D97" s="19">
        <f>SUM(D87:D95)</f>
        <v>999.5</v>
      </c>
      <c r="E97" s="20"/>
      <c r="F97" s="21">
        <f>SUM(F87:F96)</f>
        <v>6.3758000000000008</v>
      </c>
      <c r="G97" s="19">
        <f>SUM(G87:G95)</f>
        <v>4997.5</v>
      </c>
      <c r="H97" s="22">
        <f>SUM(H87:H95)</f>
        <v>9995</v>
      </c>
      <c r="I97" s="19">
        <f>SUM(I87:I96)</f>
        <v>9995</v>
      </c>
      <c r="J97" s="147">
        <f>SUM(J87:J95)</f>
        <v>14992.5</v>
      </c>
    </row>
    <row r="100" spans="2:10" ht="23.4" x14ac:dyDescent="0.45">
      <c r="C100" s="172" t="s">
        <v>616</v>
      </c>
      <c r="D100" s="173"/>
      <c r="E100" s="173"/>
      <c r="F100" s="173"/>
      <c r="G100" s="173"/>
      <c r="H100" s="173"/>
      <c r="I100" s="173"/>
      <c r="J100" s="174"/>
    </row>
    <row r="101" spans="2:10" ht="62.4" x14ac:dyDescent="0.3">
      <c r="B101" s="1">
        <v>22</v>
      </c>
      <c r="C101" s="2" t="s">
        <v>0</v>
      </c>
      <c r="D101" s="3" t="s">
        <v>1</v>
      </c>
      <c r="E101" s="3" t="s">
        <v>2</v>
      </c>
      <c r="F101" s="3" t="s">
        <v>24</v>
      </c>
      <c r="G101" s="3" t="s">
        <v>235</v>
      </c>
      <c r="H101" s="3" t="s">
        <v>184</v>
      </c>
      <c r="I101" s="3" t="s">
        <v>184</v>
      </c>
      <c r="J101" s="3" t="s">
        <v>346</v>
      </c>
    </row>
    <row r="102" spans="2:10" x14ac:dyDescent="0.3">
      <c r="B102">
        <v>6</v>
      </c>
      <c r="C102" s="24" t="s">
        <v>27</v>
      </c>
      <c r="D102" s="6">
        <v>785</v>
      </c>
      <c r="E102" s="7">
        <v>0.6</v>
      </c>
      <c r="F102" s="7">
        <f>(E102/1000)*D102</f>
        <v>0.47099999999999997</v>
      </c>
      <c r="G102" s="6">
        <f>(D102*5)</f>
        <v>3925</v>
      </c>
      <c r="H102" s="35">
        <f>(D102*10)</f>
        <v>7850</v>
      </c>
      <c r="I102" s="35">
        <f>(E102*10)</f>
        <v>6</v>
      </c>
      <c r="J102" s="35">
        <f>(D102/1000*100)</f>
        <v>78.5</v>
      </c>
    </row>
    <row r="103" spans="2:10" x14ac:dyDescent="0.3">
      <c r="B103">
        <v>7</v>
      </c>
      <c r="C103" s="24" t="s">
        <v>59</v>
      </c>
      <c r="D103" s="6">
        <v>30</v>
      </c>
      <c r="E103" s="7">
        <v>8</v>
      </c>
      <c r="F103" s="7">
        <f t="shared" ref="F103:F109" si="22">(E103/1000)*D103</f>
        <v>0.24</v>
      </c>
      <c r="G103" s="6">
        <f t="shared" ref="G103:G109" si="23">(D103*5)</f>
        <v>150</v>
      </c>
      <c r="H103" s="35">
        <f t="shared" ref="H103:H109" si="24">(D103*10)</f>
        <v>300</v>
      </c>
      <c r="I103" s="6">
        <f t="shared" ref="I103:I104" si="25">(D103*25)</f>
        <v>750</v>
      </c>
      <c r="J103" s="35">
        <f t="shared" ref="J103:J109" si="26">(D103/1000*100)</f>
        <v>3</v>
      </c>
    </row>
    <row r="104" spans="2:10" x14ac:dyDescent="0.3">
      <c r="B104">
        <v>5</v>
      </c>
      <c r="C104" s="24" t="s">
        <v>164</v>
      </c>
      <c r="D104" s="6">
        <v>10</v>
      </c>
      <c r="E104" s="7">
        <v>250</v>
      </c>
      <c r="F104" s="7">
        <f t="shared" si="22"/>
        <v>2.5</v>
      </c>
      <c r="G104" s="6">
        <f t="shared" si="23"/>
        <v>50</v>
      </c>
      <c r="H104" s="35">
        <f t="shared" si="24"/>
        <v>100</v>
      </c>
      <c r="I104" s="6">
        <f t="shared" si="25"/>
        <v>250</v>
      </c>
      <c r="J104" s="35">
        <f t="shared" si="26"/>
        <v>1</v>
      </c>
    </row>
    <row r="105" spans="2:10" x14ac:dyDescent="0.3">
      <c r="B105">
        <v>9</v>
      </c>
      <c r="C105" s="24" t="s">
        <v>617</v>
      </c>
      <c r="D105" s="6">
        <v>3</v>
      </c>
      <c r="E105" s="7">
        <v>120</v>
      </c>
      <c r="F105" s="7">
        <f t="shared" si="22"/>
        <v>0.36</v>
      </c>
      <c r="G105" s="6">
        <f t="shared" si="23"/>
        <v>15</v>
      </c>
      <c r="H105" s="35">
        <f t="shared" si="24"/>
        <v>30</v>
      </c>
      <c r="I105" s="6"/>
      <c r="J105" s="35">
        <f t="shared" si="26"/>
        <v>0.3</v>
      </c>
    </row>
    <row r="106" spans="2:10" x14ac:dyDescent="0.3">
      <c r="B106">
        <v>8</v>
      </c>
      <c r="C106" s="24" t="s">
        <v>621</v>
      </c>
      <c r="D106" s="6">
        <v>30</v>
      </c>
      <c r="E106" s="7">
        <v>100</v>
      </c>
      <c r="F106" s="7">
        <f t="shared" si="22"/>
        <v>3</v>
      </c>
      <c r="G106" s="6">
        <f t="shared" si="23"/>
        <v>150</v>
      </c>
      <c r="H106" s="35">
        <f t="shared" si="24"/>
        <v>300</v>
      </c>
      <c r="I106" s="6">
        <f t="shared" ref="I106:I109" si="27">(D106*25)</f>
        <v>750</v>
      </c>
      <c r="J106" s="35">
        <f t="shared" si="26"/>
        <v>3</v>
      </c>
    </row>
    <row r="107" spans="2:10" x14ac:dyDescent="0.3">
      <c r="B107">
        <v>4</v>
      </c>
      <c r="C107" s="24" t="s">
        <v>368</v>
      </c>
      <c r="D107" s="6">
        <v>60</v>
      </c>
      <c r="E107" s="7">
        <v>55</v>
      </c>
      <c r="F107" s="7">
        <f t="shared" si="22"/>
        <v>3.3</v>
      </c>
      <c r="G107" s="6">
        <f t="shared" si="23"/>
        <v>300</v>
      </c>
      <c r="H107" s="35">
        <f t="shared" si="24"/>
        <v>600</v>
      </c>
      <c r="I107" s="6">
        <f t="shared" si="27"/>
        <v>1500</v>
      </c>
      <c r="J107" s="35">
        <f t="shared" si="26"/>
        <v>6</v>
      </c>
    </row>
    <row r="108" spans="2:10" x14ac:dyDescent="0.3">
      <c r="B108">
        <v>3</v>
      </c>
      <c r="C108" s="24" t="s">
        <v>171</v>
      </c>
      <c r="D108" s="6">
        <v>70</v>
      </c>
      <c r="E108" s="7">
        <v>22</v>
      </c>
      <c r="F108" s="7">
        <f t="shared" si="22"/>
        <v>1.5399999999999998</v>
      </c>
      <c r="G108" s="6">
        <f t="shared" si="23"/>
        <v>350</v>
      </c>
      <c r="H108" s="35">
        <f t="shared" si="24"/>
        <v>700</v>
      </c>
      <c r="I108" s="6">
        <f t="shared" si="27"/>
        <v>1750</v>
      </c>
      <c r="J108" s="35">
        <f t="shared" si="26"/>
        <v>7.0000000000000009</v>
      </c>
    </row>
    <row r="109" spans="2:10" x14ac:dyDescent="0.3">
      <c r="B109">
        <v>2</v>
      </c>
      <c r="C109" s="24" t="s">
        <v>390</v>
      </c>
      <c r="D109" s="6">
        <v>5</v>
      </c>
      <c r="E109" s="7">
        <v>300</v>
      </c>
      <c r="F109" s="7">
        <f t="shared" si="22"/>
        <v>1.5</v>
      </c>
      <c r="G109" s="6">
        <f t="shared" si="23"/>
        <v>25</v>
      </c>
      <c r="H109" s="35">
        <f t="shared" si="24"/>
        <v>50</v>
      </c>
      <c r="I109" s="6">
        <f t="shared" si="27"/>
        <v>125</v>
      </c>
      <c r="J109" s="35">
        <f t="shared" si="26"/>
        <v>0.5</v>
      </c>
    </row>
    <row r="110" spans="2:10" x14ac:dyDescent="0.3">
      <c r="C110" s="24" t="s">
        <v>287</v>
      </c>
      <c r="D110" s="6">
        <v>1</v>
      </c>
      <c r="E110" s="7">
        <v>45</v>
      </c>
      <c r="F110" s="7">
        <f t="shared" ref="F110:F111" si="28">(E110/1000)*D110</f>
        <v>4.4999999999999998E-2</v>
      </c>
      <c r="G110" s="6">
        <f t="shared" ref="G110:G111" si="29">(D110*5)</f>
        <v>5</v>
      </c>
      <c r="H110" s="35">
        <f t="shared" ref="H110:H111" si="30">(D110*10)</f>
        <v>10</v>
      </c>
      <c r="I110" s="6">
        <f t="shared" ref="I110:I111" si="31">(D110*25)</f>
        <v>25</v>
      </c>
      <c r="J110" s="35">
        <f t="shared" ref="J110:J111" si="32">(D110/1000*100)</f>
        <v>0.1</v>
      </c>
    </row>
    <row r="111" spans="2:10" x14ac:dyDescent="0.3">
      <c r="C111" s="24" t="s">
        <v>231</v>
      </c>
      <c r="D111" s="6">
        <v>0.5</v>
      </c>
      <c r="E111" s="7">
        <v>60</v>
      </c>
      <c r="F111" s="7">
        <f t="shared" si="28"/>
        <v>0.03</v>
      </c>
      <c r="G111" s="6">
        <f t="shared" si="29"/>
        <v>2.5</v>
      </c>
      <c r="H111" s="35">
        <f t="shared" si="30"/>
        <v>5</v>
      </c>
      <c r="I111" s="6">
        <f t="shared" si="31"/>
        <v>12.5</v>
      </c>
      <c r="J111" s="35">
        <f t="shared" si="32"/>
        <v>0.05</v>
      </c>
    </row>
    <row r="112" spans="2:10" x14ac:dyDescent="0.3">
      <c r="C112" s="27"/>
      <c r="D112" s="19">
        <f>SUM(D102:D111)</f>
        <v>994.5</v>
      </c>
      <c r="E112" s="20"/>
      <c r="F112" s="21">
        <f>SUM(F102:F111)</f>
        <v>12.985999999999997</v>
      </c>
      <c r="G112" s="19">
        <f>SUM(G102:G111)</f>
        <v>4972.5</v>
      </c>
      <c r="H112" s="22">
        <f>SUM(H102:H111)</f>
        <v>9945</v>
      </c>
      <c r="I112" s="19">
        <f>SUM(I102:I111)</f>
        <v>5168.5</v>
      </c>
      <c r="J112" s="131">
        <f>SUM(J102:J111)</f>
        <v>99.449999999999989</v>
      </c>
    </row>
    <row r="116" spans="2:10" ht="23.4" x14ac:dyDescent="0.45">
      <c r="C116" s="172" t="s">
        <v>690</v>
      </c>
      <c r="D116" s="173"/>
      <c r="E116" s="173"/>
      <c r="F116" s="173"/>
      <c r="G116" s="173"/>
      <c r="H116" s="173"/>
      <c r="I116" s="173"/>
      <c r="J116" s="174"/>
    </row>
    <row r="117" spans="2:10" ht="62.4" x14ac:dyDescent="0.3">
      <c r="B117" s="1">
        <v>6</v>
      </c>
      <c r="C117" s="2" t="s">
        <v>0</v>
      </c>
      <c r="D117" s="3" t="s">
        <v>1</v>
      </c>
      <c r="E117" s="3" t="s">
        <v>2</v>
      </c>
      <c r="F117" s="3" t="s">
        <v>24</v>
      </c>
      <c r="G117" s="3" t="s">
        <v>100</v>
      </c>
      <c r="H117" s="3" t="s">
        <v>109</v>
      </c>
      <c r="I117" s="3" t="s">
        <v>46</v>
      </c>
      <c r="J117" s="3" t="s">
        <v>691</v>
      </c>
    </row>
    <row r="118" spans="2:10" x14ac:dyDescent="0.3">
      <c r="C118" s="5" t="s">
        <v>16</v>
      </c>
      <c r="D118" s="6">
        <v>860</v>
      </c>
      <c r="E118" s="11">
        <v>0.3</v>
      </c>
      <c r="F118" s="8">
        <f t="shared" ref="F118:F128" si="33">(E118/1000)*D118</f>
        <v>0.25799999999999995</v>
      </c>
      <c r="G118" s="6">
        <f>(D118*10)</f>
        <v>8600</v>
      </c>
      <c r="H118" s="7">
        <f>(E118/1000)*G118</f>
        <v>2.5799999999999996</v>
      </c>
      <c r="I118" s="6">
        <f>(D118*20)</f>
        <v>17200</v>
      </c>
      <c r="J118" s="6">
        <f>(D118*51)</f>
        <v>43860</v>
      </c>
    </row>
    <row r="119" spans="2:10" x14ac:dyDescent="0.3">
      <c r="C119" s="5" t="s">
        <v>125</v>
      </c>
      <c r="D119" s="6">
        <v>50</v>
      </c>
      <c r="E119" s="6">
        <v>98</v>
      </c>
      <c r="F119" s="8">
        <f t="shared" si="33"/>
        <v>4.9000000000000004</v>
      </c>
      <c r="G119" s="6">
        <f t="shared" ref="G119:G128" si="34">(D119*10)</f>
        <v>500</v>
      </c>
      <c r="H119" s="7">
        <f>(E119/1000)*G119</f>
        <v>49</v>
      </c>
      <c r="I119" s="6">
        <f t="shared" ref="I119:I128" si="35">(D119*20)</f>
        <v>1000</v>
      </c>
      <c r="J119" s="6">
        <f t="shared" ref="J119:J128" si="36">(D119*51)</f>
        <v>2550</v>
      </c>
    </row>
    <row r="120" spans="2:10" x14ac:dyDescent="0.3">
      <c r="C120" s="5" t="s">
        <v>194</v>
      </c>
      <c r="D120" s="6">
        <v>5</v>
      </c>
      <c r="E120" s="6">
        <v>80</v>
      </c>
      <c r="F120" s="8">
        <f t="shared" si="33"/>
        <v>0.4</v>
      </c>
      <c r="G120" s="6">
        <f t="shared" si="34"/>
        <v>50</v>
      </c>
      <c r="H120" s="7"/>
      <c r="I120" s="6">
        <f t="shared" si="35"/>
        <v>100</v>
      </c>
      <c r="J120" s="6">
        <f t="shared" si="36"/>
        <v>255</v>
      </c>
    </row>
    <row r="121" spans="2:10" x14ac:dyDescent="0.3">
      <c r="C121" s="5" t="s">
        <v>244</v>
      </c>
      <c r="D121" s="6">
        <v>20</v>
      </c>
      <c r="E121" s="6">
        <v>250</v>
      </c>
      <c r="F121" s="8">
        <f t="shared" si="33"/>
        <v>5</v>
      </c>
      <c r="G121" s="6">
        <f t="shared" si="34"/>
        <v>200</v>
      </c>
      <c r="H121" s="7">
        <f>(E121/1000)*G121</f>
        <v>50</v>
      </c>
      <c r="I121" s="6">
        <f t="shared" si="35"/>
        <v>400</v>
      </c>
      <c r="J121" s="6">
        <f t="shared" si="36"/>
        <v>1020</v>
      </c>
    </row>
    <row r="122" spans="2:10" x14ac:dyDescent="0.3">
      <c r="C122" s="5" t="s">
        <v>59</v>
      </c>
      <c r="D122" s="6">
        <v>50</v>
      </c>
      <c r="E122" s="6">
        <v>8</v>
      </c>
      <c r="F122" s="8">
        <f t="shared" si="33"/>
        <v>0.4</v>
      </c>
      <c r="G122" s="6">
        <f t="shared" si="34"/>
        <v>500</v>
      </c>
      <c r="H122" s="7"/>
      <c r="I122" s="6">
        <f t="shared" si="35"/>
        <v>1000</v>
      </c>
      <c r="J122" s="6">
        <f t="shared" si="36"/>
        <v>2550</v>
      </c>
    </row>
    <row r="123" spans="2:10" x14ac:dyDescent="0.3">
      <c r="C123" s="5" t="s">
        <v>389</v>
      </c>
      <c r="D123" s="6">
        <v>5</v>
      </c>
      <c r="E123" s="6">
        <v>124</v>
      </c>
      <c r="F123" s="8">
        <f t="shared" si="33"/>
        <v>0.62</v>
      </c>
      <c r="G123" s="6">
        <f t="shared" si="34"/>
        <v>50</v>
      </c>
      <c r="H123" s="7"/>
      <c r="I123" s="6">
        <f t="shared" si="35"/>
        <v>100</v>
      </c>
      <c r="J123" s="6">
        <f t="shared" si="36"/>
        <v>255</v>
      </c>
    </row>
    <row r="124" spans="2:10" x14ac:dyDescent="0.3">
      <c r="C124" s="5" t="s">
        <v>390</v>
      </c>
      <c r="D124" s="6">
        <v>5</v>
      </c>
      <c r="E124" s="11">
        <v>300</v>
      </c>
      <c r="F124" s="8">
        <f t="shared" si="33"/>
        <v>1.5</v>
      </c>
      <c r="G124" s="6">
        <f t="shared" si="34"/>
        <v>50</v>
      </c>
      <c r="H124" s="7">
        <f>(E124/1000)*G124</f>
        <v>15</v>
      </c>
      <c r="I124" s="6">
        <f t="shared" si="35"/>
        <v>100</v>
      </c>
      <c r="J124" s="6">
        <f t="shared" si="36"/>
        <v>255</v>
      </c>
    </row>
    <row r="125" spans="2:10" x14ac:dyDescent="0.3">
      <c r="C125" s="5" t="s">
        <v>138</v>
      </c>
      <c r="D125" s="6">
        <v>1</v>
      </c>
      <c r="E125" s="11">
        <v>60</v>
      </c>
      <c r="F125" s="8">
        <f t="shared" si="33"/>
        <v>0.06</v>
      </c>
      <c r="G125" s="6">
        <f t="shared" si="34"/>
        <v>10</v>
      </c>
      <c r="H125" s="7"/>
      <c r="I125" s="6">
        <f t="shared" si="35"/>
        <v>20</v>
      </c>
      <c r="J125" s="6">
        <f t="shared" si="36"/>
        <v>51</v>
      </c>
    </row>
    <row r="126" spans="2:10" x14ac:dyDescent="0.3">
      <c r="C126" s="5" t="s">
        <v>391</v>
      </c>
      <c r="D126" s="6">
        <v>20</v>
      </c>
      <c r="E126" s="11">
        <v>68</v>
      </c>
      <c r="F126" s="8">
        <f t="shared" si="33"/>
        <v>1.36</v>
      </c>
      <c r="G126" s="6">
        <f t="shared" si="34"/>
        <v>200</v>
      </c>
      <c r="H126" s="7">
        <f>(E126/1000)*G126</f>
        <v>13.600000000000001</v>
      </c>
      <c r="I126" s="6">
        <f t="shared" si="35"/>
        <v>400</v>
      </c>
      <c r="J126" s="6">
        <f t="shared" si="36"/>
        <v>1020</v>
      </c>
    </row>
    <row r="127" spans="2:10" x14ac:dyDescent="0.3">
      <c r="C127" s="93" t="s">
        <v>167</v>
      </c>
      <c r="D127" s="6">
        <v>8</v>
      </c>
      <c r="E127" s="11">
        <v>98</v>
      </c>
      <c r="F127" s="8">
        <f t="shared" si="33"/>
        <v>0.78400000000000003</v>
      </c>
      <c r="G127" s="6">
        <f t="shared" si="34"/>
        <v>80</v>
      </c>
      <c r="H127" s="7"/>
      <c r="I127" s="6">
        <f t="shared" si="35"/>
        <v>160</v>
      </c>
      <c r="J127" s="6">
        <f t="shared" si="36"/>
        <v>408</v>
      </c>
    </row>
    <row r="128" spans="2:10" x14ac:dyDescent="0.3">
      <c r="C128" s="5" t="s">
        <v>394</v>
      </c>
      <c r="D128" s="6">
        <v>8</v>
      </c>
      <c r="E128" s="11">
        <v>20</v>
      </c>
      <c r="F128" s="8">
        <f t="shared" si="33"/>
        <v>0.16</v>
      </c>
      <c r="G128" s="6">
        <f t="shared" si="34"/>
        <v>80</v>
      </c>
      <c r="H128" s="7"/>
      <c r="I128" s="6">
        <f t="shared" si="35"/>
        <v>160</v>
      </c>
      <c r="J128" s="6">
        <f t="shared" si="36"/>
        <v>408</v>
      </c>
    </row>
    <row r="129" spans="2:10" x14ac:dyDescent="0.3">
      <c r="C129" s="27"/>
      <c r="D129" s="13">
        <f>SUM(D118:D128)</f>
        <v>1032</v>
      </c>
      <c r="E129" s="14"/>
      <c r="F129" s="15">
        <f>SUM(F118:F128)</f>
        <v>15.442</v>
      </c>
      <c r="G129" s="13">
        <f>SUM(G118:G126)</f>
        <v>10160</v>
      </c>
      <c r="H129" s="16">
        <f>SUM(H118:H126)</f>
        <v>130.18</v>
      </c>
      <c r="I129" s="84">
        <f>SUM(I118:I128)</f>
        <v>20640</v>
      </c>
      <c r="J129" s="84">
        <f>SUM(J118:J128)</f>
        <v>52632</v>
      </c>
    </row>
    <row r="130" spans="2:10" x14ac:dyDescent="0.3">
      <c r="C130" s="192" t="s">
        <v>392</v>
      </c>
      <c r="D130" s="192"/>
      <c r="E130" s="192"/>
      <c r="F130" s="192"/>
      <c r="G130" s="192"/>
      <c r="H130" s="192"/>
      <c r="I130" s="192"/>
      <c r="J130" s="192"/>
    </row>
    <row r="131" spans="2:10" x14ac:dyDescent="0.3">
      <c r="C131" s="192"/>
      <c r="D131" s="192"/>
      <c r="E131" s="192"/>
      <c r="F131" s="192"/>
      <c r="G131" s="192"/>
      <c r="H131" s="192"/>
      <c r="I131" s="192"/>
      <c r="J131" s="192"/>
    </row>
    <row r="133" spans="2:10" ht="23.4" x14ac:dyDescent="0.45">
      <c r="C133" s="172" t="s">
        <v>709</v>
      </c>
      <c r="D133" s="173"/>
      <c r="E133" s="173"/>
      <c r="F133" s="173"/>
      <c r="G133" s="173"/>
      <c r="H133" s="173"/>
      <c r="I133" s="173"/>
      <c r="J133" s="174"/>
    </row>
    <row r="134" spans="2:10" ht="62.4" x14ac:dyDescent="0.3">
      <c r="B134" s="1">
        <v>18</v>
      </c>
      <c r="C134" s="2" t="s">
        <v>0</v>
      </c>
      <c r="D134" s="3" t="s">
        <v>1</v>
      </c>
      <c r="E134" s="3" t="s">
        <v>2</v>
      </c>
      <c r="F134" s="3" t="s">
        <v>24</v>
      </c>
      <c r="G134" s="3" t="s">
        <v>15</v>
      </c>
      <c r="H134" s="3" t="s">
        <v>47</v>
      </c>
      <c r="I134" s="3" t="s">
        <v>126</v>
      </c>
      <c r="J134" s="4"/>
    </row>
    <row r="135" spans="2:10" x14ac:dyDescent="0.3">
      <c r="C135" s="5" t="s">
        <v>16</v>
      </c>
      <c r="D135" s="6">
        <v>809</v>
      </c>
      <c r="E135" s="11">
        <v>0.6</v>
      </c>
      <c r="F135" s="8">
        <f t="shared" ref="F135:F143" si="37">(E135/1000)*D135</f>
        <v>0.48539999999999994</v>
      </c>
      <c r="G135" s="6">
        <f>(D135*15)</f>
        <v>12135</v>
      </c>
      <c r="H135" s="7">
        <f>(E135/1000)*G135</f>
        <v>7.2809999999999997</v>
      </c>
      <c r="I135" s="6">
        <f>(D135*36)</f>
        <v>29124</v>
      </c>
      <c r="J135" s="161" t="s">
        <v>7</v>
      </c>
    </row>
    <row r="136" spans="2:10" x14ac:dyDescent="0.3">
      <c r="C136" s="5" t="s">
        <v>171</v>
      </c>
      <c r="D136" s="6">
        <v>70</v>
      </c>
      <c r="E136" s="11">
        <v>25</v>
      </c>
      <c r="F136" s="8">
        <f t="shared" si="37"/>
        <v>1.75</v>
      </c>
      <c r="G136" s="6">
        <f t="shared" ref="G136:G143" si="38">(D136*15)</f>
        <v>1050</v>
      </c>
      <c r="H136" s="7"/>
      <c r="I136" s="6">
        <f t="shared" ref="I136:I143" si="39">(D136*36)</f>
        <v>2520</v>
      </c>
      <c r="J136" s="161"/>
    </row>
    <row r="137" spans="2:10" x14ac:dyDescent="0.3">
      <c r="C137" s="5" t="s">
        <v>372</v>
      </c>
      <c r="D137" s="6">
        <v>70</v>
      </c>
      <c r="E137" s="11">
        <v>25</v>
      </c>
      <c r="F137" s="8">
        <f t="shared" si="37"/>
        <v>1.75</v>
      </c>
      <c r="G137" s="6">
        <f t="shared" si="38"/>
        <v>1050</v>
      </c>
      <c r="H137" s="7"/>
      <c r="I137" s="6">
        <f t="shared" si="39"/>
        <v>2520</v>
      </c>
      <c r="J137" s="161"/>
    </row>
    <row r="138" spans="2:10" x14ac:dyDescent="0.3">
      <c r="C138" s="5" t="s">
        <v>59</v>
      </c>
      <c r="D138" s="6">
        <v>10</v>
      </c>
      <c r="E138" s="11">
        <v>8</v>
      </c>
      <c r="F138" s="8">
        <f t="shared" si="37"/>
        <v>0.08</v>
      </c>
      <c r="G138" s="6">
        <f t="shared" si="38"/>
        <v>150</v>
      </c>
      <c r="H138" s="7"/>
      <c r="I138" s="6">
        <f t="shared" si="39"/>
        <v>360</v>
      </c>
      <c r="J138" s="161"/>
    </row>
    <row r="139" spans="2:10" x14ac:dyDescent="0.3">
      <c r="C139" s="5" t="s">
        <v>434</v>
      </c>
      <c r="D139" s="6">
        <v>10</v>
      </c>
      <c r="E139" s="11">
        <v>60</v>
      </c>
      <c r="F139" s="8">
        <f t="shared" si="37"/>
        <v>0.6</v>
      </c>
      <c r="G139" s="6">
        <f t="shared" si="38"/>
        <v>150</v>
      </c>
      <c r="H139" s="7"/>
      <c r="I139" s="6">
        <f t="shared" si="39"/>
        <v>360</v>
      </c>
      <c r="J139" s="161"/>
    </row>
    <row r="140" spans="2:10" x14ac:dyDescent="0.3">
      <c r="C140" s="5" t="s">
        <v>425</v>
      </c>
      <c r="D140" s="6">
        <v>10</v>
      </c>
      <c r="E140" s="11">
        <v>45</v>
      </c>
      <c r="F140" s="8">
        <f t="shared" si="37"/>
        <v>0.44999999999999996</v>
      </c>
      <c r="G140" s="6">
        <f t="shared" si="38"/>
        <v>150</v>
      </c>
      <c r="H140" s="7"/>
      <c r="I140" s="6">
        <f t="shared" si="39"/>
        <v>360</v>
      </c>
      <c r="J140" s="161"/>
    </row>
    <row r="141" spans="2:10" x14ac:dyDescent="0.3">
      <c r="C141" s="5" t="s">
        <v>567</v>
      </c>
      <c r="D141" s="6">
        <v>5</v>
      </c>
      <c r="E141" s="11">
        <v>60</v>
      </c>
      <c r="F141" s="8">
        <f t="shared" si="37"/>
        <v>0.3</v>
      </c>
      <c r="G141" s="6">
        <f t="shared" si="38"/>
        <v>75</v>
      </c>
      <c r="H141" s="7"/>
      <c r="I141" s="6">
        <f t="shared" si="39"/>
        <v>180</v>
      </c>
      <c r="J141" s="161"/>
    </row>
    <row r="142" spans="2:10" x14ac:dyDescent="0.3">
      <c r="C142" s="5" t="s">
        <v>60</v>
      </c>
      <c r="D142" s="11">
        <v>2.5</v>
      </c>
      <c r="E142" s="6">
        <v>20</v>
      </c>
      <c r="F142" s="8">
        <f t="shared" si="37"/>
        <v>0.05</v>
      </c>
      <c r="G142" s="6">
        <f t="shared" si="38"/>
        <v>37.5</v>
      </c>
      <c r="H142" s="7">
        <f>(E142/1000)*G142</f>
        <v>0.75</v>
      </c>
      <c r="I142" s="6">
        <f t="shared" si="39"/>
        <v>90</v>
      </c>
      <c r="J142" s="161" t="s">
        <v>7</v>
      </c>
    </row>
    <row r="143" spans="2:10" x14ac:dyDescent="0.3">
      <c r="C143" s="5" t="s">
        <v>174</v>
      </c>
      <c r="D143" s="6">
        <v>1</v>
      </c>
      <c r="E143" s="6">
        <v>124</v>
      </c>
      <c r="F143" s="8">
        <f t="shared" si="37"/>
        <v>0.124</v>
      </c>
      <c r="G143" s="6">
        <f t="shared" si="38"/>
        <v>15</v>
      </c>
      <c r="H143" s="7"/>
      <c r="I143" s="6">
        <f t="shared" si="39"/>
        <v>36</v>
      </c>
      <c r="J143" s="161"/>
    </row>
    <row r="144" spans="2:10" x14ac:dyDescent="0.3">
      <c r="C144" s="27"/>
      <c r="D144" s="13">
        <f>SUM(D135:D143)</f>
        <v>987.5</v>
      </c>
      <c r="E144" s="14"/>
      <c r="F144" s="15">
        <f>SUM(F135:F143)</f>
        <v>5.5893999999999986</v>
      </c>
      <c r="G144" s="13">
        <f>SUM(G135:G143)</f>
        <v>14812.5</v>
      </c>
      <c r="H144" s="16">
        <f>SUM(H135:H143)</f>
        <v>8.0309999999999988</v>
      </c>
      <c r="I144" s="160">
        <f>SUM(I135:I143)</f>
        <v>35550</v>
      </c>
      <c r="J144" s="17"/>
    </row>
    <row r="148" spans="2:10" ht="23.4" x14ac:dyDescent="0.45">
      <c r="C148" s="172" t="s">
        <v>547</v>
      </c>
      <c r="D148" s="173"/>
      <c r="E148" s="173"/>
      <c r="F148" s="173"/>
      <c r="G148" s="173"/>
      <c r="H148" s="173"/>
      <c r="I148" s="173"/>
      <c r="J148" s="174"/>
    </row>
    <row r="149" spans="2:10" ht="62.4" x14ac:dyDescent="0.3">
      <c r="B149" s="1">
        <v>4</v>
      </c>
      <c r="C149" s="2" t="s">
        <v>0</v>
      </c>
      <c r="D149" s="3" t="s">
        <v>1</v>
      </c>
      <c r="E149" s="3" t="s">
        <v>2</v>
      </c>
      <c r="F149" s="3" t="s">
        <v>24</v>
      </c>
      <c r="G149" s="3" t="s">
        <v>545</v>
      </c>
      <c r="H149" s="3" t="s">
        <v>548</v>
      </c>
      <c r="I149" s="3" t="s">
        <v>87</v>
      </c>
      <c r="J149" s="4"/>
    </row>
    <row r="150" spans="2:10" x14ac:dyDescent="0.3">
      <c r="C150" s="5" t="s">
        <v>481</v>
      </c>
      <c r="D150" s="11">
        <v>150</v>
      </c>
      <c r="E150" s="11">
        <v>8</v>
      </c>
      <c r="F150" s="8">
        <f t="shared" ref="F150:F165" si="40">(E150/1000)*D150</f>
        <v>1.2</v>
      </c>
      <c r="G150" s="6">
        <f>(D150*300)</f>
        <v>45000</v>
      </c>
      <c r="H150" s="6">
        <f>(D150*50)</f>
        <v>7500</v>
      </c>
      <c r="I150" s="6">
        <f>(D150*100)</f>
        <v>15000</v>
      </c>
      <c r="J150" s="10" t="s">
        <v>7</v>
      </c>
    </row>
    <row r="151" spans="2:10" x14ac:dyDescent="0.3">
      <c r="C151" s="5" t="s">
        <v>542</v>
      </c>
      <c r="D151" s="11">
        <v>1</v>
      </c>
      <c r="E151" s="11">
        <v>20</v>
      </c>
      <c r="F151" s="8">
        <f t="shared" si="40"/>
        <v>0.02</v>
      </c>
      <c r="G151" s="6">
        <f t="shared" ref="G151:G165" si="41">(D151*300)</f>
        <v>300</v>
      </c>
      <c r="H151" s="6">
        <f t="shared" ref="H151:H165" si="42">(D151*50)</f>
        <v>50</v>
      </c>
      <c r="I151" s="6">
        <f t="shared" ref="I151:I165" si="43">(D151*100)</f>
        <v>100</v>
      </c>
      <c r="J151" s="10"/>
    </row>
    <row r="152" spans="2:10" x14ac:dyDescent="0.3">
      <c r="C152" s="5" t="s">
        <v>543</v>
      </c>
      <c r="D152" s="11">
        <v>10</v>
      </c>
      <c r="E152" s="11">
        <v>15</v>
      </c>
      <c r="F152" s="8">
        <f t="shared" si="40"/>
        <v>0.15</v>
      </c>
      <c r="G152" s="6">
        <f t="shared" si="41"/>
        <v>3000</v>
      </c>
      <c r="H152" s="6">
        <f t="shared" si="42"/>
        <v>500</v>
      </c>
      <c r="I152" s="6">
        <f t="shared" si="43"/>
        <v>1000</v>
      </c>
      <c r="J152" s="10"/>
    </row>
    <row r="153" spans="2:10" x14ac:dyDescent="0.3">
      <c r="C153" s="24" t="s">
        <v>203</v>
      </c>
      <c r="D153" s="11">
        <v>50</v>
      </c>
      <c r="E153" s="11">
        <v>8</v>
      </c>
      <c r="F153" s="8">
        <f t="shared" si="40"/>
        <v>0.4</v>
      </c>
      <c r="G153" s="6">
        <f t="shared" si="41"/>
        <v>15000</v>
      </c>
      <c r="H153" s="6">
        <f t="shared" si="42"/>
        <v>2500</v>
      </c>
      <c r="I153" s="6">
        <f t="shared" si="43"/>
        <v>5000</v>
      </c>
      <c r="J153" s="10"/>
    </row>
    <row r="154" spans="2:10" x14ac:dyDescent="0.3">
      <c r="C154" s="24" t="s">
        <v>244</v>
      </c>
      <c r="D154" s="11">
        <v>3</v>
      </c>
      <c r="E154" s="11"/>
      <c r="F154" s="8"/>
      <c r="G154" s="6">
        <f t="shared" si="41"/>
        <v>900</v>
      </c>
      <c r="H154" s="6">
        <f t="shared" si="42"/>
        <v>150</v>
      </c>
      <c r="I154" s="6">
        <f t="shared" si="43"/>
        <v>300</v>
      </c>
      <c r="J154" s="10"/>
    </row>
    <row r="155" spans="2:10" x14ac:dyDescent="0.3">
      <c r="C155" s="24" t="s">
        <v>12</v>
      </c>
      <c r="D155" s="11">
        <v>0.5</v>
      </c>
      <c r="E155" s="11">
        <v>33</v>
      </c>
      <c r="F155" s="8">
        <f t="shared" si="40"/>
        <v>1.6500000000000001E-2</v>
      </c>
      <c r="G155" s="6">
        <f t="shared" si="41"/>
        <v>150</v>
      </c>
      <c r="H155" s="6">
        <f t="shared" si="42"/>
        <v>25</v>
      </c>
      <c r="I155" s="6">
        <f t="shared" si="43"/>
        <v>50</v>
      </c>
      <c r="J155" s="10"/>
    </row>
    <row r="156" spans="2:10" x14ac:dyDescent="0.3">
      <c r="C156" s="5" t="s">
        <v>544</v>
      </c>
      <c r="D156" s="6">
        <v>20</v>
      </c>
      <c r="E156" s="6">
        <v>1.8</v>
      </c>
      <c r="F156" s="8">
        <f t="shared" si="40"/>
        <v>3.5999999999999997E-2</v>
      </c>
      <c r="G156" s="6">
        <f t="shared" si="41"/>
        <v>6000</v>
      </c>
      <c r="H156" s="6">
        <f t="shared" si="42"/>
        <v>1000</v>
      </c>
      <c r="I156" s="6">
        <f t="shared" si="43"/>
        <v>2000</v>
      </c>
      <c r="J156" s="10" t="s">
        <v>7</v>
      </c>
    </row>
    <row r="157" spans="2:10" x14ac:dyDescent="0.3">
      <c r="C157" s="5" t="s">
        <v>174</v>
      </c>
      <c r="D157" s="6">
        <v>1</v>
      </c>
      <c r="E157" s="6">
        <v>25</v>
      </c>
      <c r="F157" s="8">
        <f t="shared" si="40"/>
        <v>2.5000000000000001E-2</v>
      </c>
      <c r="G157" s="6">
        <f t="shared" si="41"/>
        <v>300</v>
      </c>
      <c r="H157" s="6">
        <f t="shared" si="42"/>
        <v>50</v>
      </c>
      <c r="I157" s="6">
        <f t="shared" si="43"/>
        <v>100</v>
      </c>
      <c r="J157" s="10"/>
    </row>
    <row r="158" spans="2:10" x14ac:dyDescent="0.3">
      <c r="C158" s="5" t="s">
        <v>469</v>
      </c>
      <c r="D158" s="11">
        <v>20</v>
      </c>
      <c r="E158" s="6">
        <v>320</v>
      </c>
      <c r="F158" s="8">
        <f t="shared" si="40"/>
        <v>6.4</v>
      </c>
      <c r="G158" s="6">
        <f t="shared" si="41"/>
        <v>6000</v>
      </c>
      <c r="H158" s="6">
        <f t="shared" si="42"/>
        <v>1000</v>
      </c>
      <c r="I158" s="6">
        <f t="shared" si="43"/>
        <v>2000</v>
      </c>
      <c r="J158" s="10"/>
    </row>
    <row r="159" spans="2:10" x14ac:dyDescent="0.3">
      <c r="C159" s="5" t="s">
        <v>536</v>
      </c>
      <c r="D159" s="11">
        <v>20</v>
      </c>
      <c r="E159" s="6"/>
      <c r="F159" s="8"/>
      <c r="G159" s="6">
        <f t="shared" si="41"/>
        <v>6000</v>
      </c>
      <c r="H159" s="6">
        <f t="shared" si="42"/>
        <v>1000</v>
      </c>
      <c r="I159" s="6">
        <f t="shared" si="43"/>
        <v>2000</v>
      </c>
      <c r="J159" s="10"/>
    </row>
    <row r="160" spans="2:10" x14ac:dyDescent="0.3">
      <c r="C160" s="5" t="s">
        <v>714</v>
      </c>
      <c r="D160" s="11">
        <v>20</v>
      </c>
      <c r="E160" s="6"/>
      <c r="F160" s="8"/>
      <c r="G160" s="6">
        <f t="shared" si="41"/>
        <v>6000</v>
      </c>
      <c r="H160" s="6">
        <f t="shared" si="42"/>
        <v>1000</v>
      </c>
      <c r="I160" s="6">
        <f t="shared" si="43"/>
        <v>2000</v>
      </c>
      <c r="J160" s="10"/>
    </row>
    <row r="161" spans="2:10" x14ac:dyDescent="0.3">
      <c r="C161" s="5" t="s">
        <v>521</v>
      </c>
      <c r="D161" s="6">
        <v>10</v>
      </c>
      <c r="E161" s="6">
        <v>190</v>
      </c>
      <c r="F161" s="8">
        <f t="shared" si="40"/>
        <v>1.9</v>
      </c>
      <c r="G161" s="6">
        <f t="shared" si="41"/>
        <v>3000</v>
      </c>
      <c r="H161" s="6">
        <f t="shared" si="42"/>
        <v>500</v>
      </c>
      <c r="I161" s="6">
        <f t="shared" si="43"/>
        <v>1000</v>
      </c>
      <c r="J161" s="10" t="s">
        <v>7</v>
      </c>
    </row>
    <row r="162" spans="2:10" x14ac:dyDescent="0.3">
      <c r="C162" s="24" t="s">
        <v>287</v>
      </c>
      <c r="D162" s="11">
        <v>2</v>
      </c>
      <c r="E162" s="6">
        <v>45</v>
      </c>
      <c r="F162" s="8">
        <f t="shared" si="40"/>
        <v>0.09</v>
      </c>
      <c r="G162" s="6">
        <f t="shared" si="41"/>
        <v>600</v>
      </c>
      <c r="H162" s="6">
        <f t="shared" si="42"/>
        <v>100</v>
      </c>
      <c r="I162" s="6">
        <f t="shared" si="43"/>
        <v>200</v>
      </c>
      <c r="J162" s="5"/>
    </row>
    <row r="163" spans="2:10" x14ac:dyDescent="0.3">
      <c r="C163" s="24" t="s">
        <v>57</v>
      </c>
      <c r="D163" s="11">
        <v>1</v>
      </c>
      <c r="E163" s="6">
        <v>60</v>
      </c>
      <c r="F163" s="8">
        <f t="shared" si="40"/>
        <v>0.06</v>
      </c>
      <c r="G163" s="6">
        <f t="shared" si="41"/>
        <v>300</v>
      </c>
      <c r="H163" s="6">
        <f t="shared" si="42"/>
        <v>50</v>
      </c>
      <c r="I163" s="6">
        <f t="shared" si="43"/>
        <v>100</v>
      </c>
      <c r="J163" s="5"/>
    </row>
    <row r="164" spans="2:10" x14ac:dyDescent="0.3">
      <c r="C164" s="24" t="s">
        <v>761</v>
      </c>
      <c r="D164" s="11">
        <v>2</v>
      </c>
      <c r="E164" s="6">
        <v>70</v>
      </c>
      <c r="F164" s="8">
        <f t="shared" si="40"/>
        <v>0.14000000000000001</v>
      </c>
      <c r="G164" s="6">
        <f t="shared" si="41"/>
        <v>600</v>
      </c>
      <c r="H164" s="6">
        <f t="shared" si="42"/>
        <v>100</v>
      </c>
      <c r="I164" s="6">
        <f t="shared" si="43"/>
        <v>200</v>
      </c>
      <c r="J164" s="5"/>
    </row>
    <row r="165" spans="2:10" x14ac:dyDescent="0.3">
      <c r="C165" s="24" t="s">
        <v>232</v>
      </c>
      <c r="D165" s="11">
        <v>744</v>
      </c>
      <c r="E165" s="11">
        <v>0.6</v>
      </c>
      <c r="F165" s="8">
        <f t="shared" si="40"/>
        <v>0.44639999999999996</v>
      </c>
      <c r="G165" s="6">
        <f t="shared" si="41"/>
        <v>223200</v>
      </c>
      <c r="H165" s="6">
        <f t="shared" si="42"/>
        <v>37200</v>
      </c>
      <c r="I165" s="6">
        <f t="shared" si="43"/>
        <v>74400</v>
      </c>
      <c r="J165" s="5"/>
    </row>
    <row r="166" spans="2:10" x14ac:dyDescent="0.3">
      <c r="C166" s="27"/>
      <c r="D166" s="19">
        <f>SUM(D150:D165)</f>
        <v>1054.5</v>
      </c>
      <c r="E166" s="20"/>
      <c r="F166" s="21">
        <f>SUM(F150:F165)</f>
        <v>10.883900000000002</v>
      </c>
      <c r="G166" s="19">
        <f>SUM(G150:G165)</f>
        <v>316350</v>
      </c>
      <c r="H166" s="153">
        <f>SUM(H150:H165)</f>
        <v>52725</v>
      </c>
      <c r="I166" s="154">
        <f>SUM(I150:I165)</f>
        <v>105450</v>
      </c>
      <c r="J166" s="17"/>
    </row>
    <row r="169" spans="2:10" ht="23.4" x14ac:dyDescent="0.45">
      <c r="C169" s="172" t="s">
        <v>725</v>
      </c>
      <c r="D169" s="173"/>
      <c r="E169" s="173"/>
      <c r="F169" s="173"/>
      <c r="G169" s="173"/>
      <c r="H169" s="173"/>
      <c r="I169" s="173"/>
      <c r="J169" s="174"/>
    </row>
    <row r="170" spans="2:10" ht="62.4" x14ac:dyDescent="0.3">
      <c r="B170" s="1">
        <v>6</v>
      </c>
      <c r="C170" s="2" t="s">
        <v>0</v>
      </c>
      <c r="D170" s="3" t="s">
        <v>1</v>
      </c>
      <c r="E170" s="3" t="s">
        <v>2</v>
      </c>
      <c r="F170" s="3" t="s">
        <v>24</v>
      </c>
      <c r="G170" s="3" t="s">
        <v>100</v>
      </c>
      <c r="H170" s="3" t="s">
        <v>109</v>
      </c>
      <c r="I170" s="3" t="s">
        <v>46</v>
      </c>
      <c r="J170" s="3" t="s">
        <v>691</v>
      </c>
    </row>
    <row r="171" spans="2:10" x14ac:dyDescent="0.3">
      <c r="C171" s="5" t="s">
        <v>726</v>
      </c>
      <c r="D171" s="6">
        <v>80</v>
      </c>
      <c r="E171" s="11">
        <v>765</v>
      </c>
      <c r="F171" s="8">
        <f t="shared" ref="F171:F175" si="44">(E171/1000)*D171</f>
        <v>61.2</v>
      </c>
      <c r="G171" s="6">
        <f>(D171*10)</f>
        <v>800</v>
      </c>
      <c r="H171" s="7">
        <f>(E171/1000)*G171</f>
        <v>612</v>
      </c>
      <c r="I171" s="6">
        <f>(D171*20)</f>
        <v>1600</v>
      </c>
      <c r="J171" s="6">
        <f>(D171*51)</f>
        <v>4080</v>
      </c>
    </row>
    <row r="172" spans="2:10" x14ac:dyDescent="0.3">
      <c r="C172" s="5" t="s">
        <v>727</v>
      </c>
      <c r="D172" s="6">
        <v>700</v>
      </c>
      <c r="E172" s="6">
        <v>8</v>
      </c>
      <c r="F172" s="8">
        <f t="shared" si="44"/>
        <v>5.6000000000000005</v>
      </c>
      <c r="G172" s="6">
        <f t="shared" ref="G172:G175" si="45">(D172*10)</f>
        <v>7000</v>
      </c>
      <c r="H172" s="7">
        <f>(E172/1000)*G172</f>
        <v>56</v>
      </c>
      <c r="I172" s="6">
        <f t="shared" ref="I172:I175" si="46">(D172*20)</f>
        <v>14000</v>
      </c>
      <c r="J172" s="6">
        <f t="shared" ref="J172:J175" si="47">(D172*51)</f>
        <v>35700</v>
      </c>
    </row>
    <row r="173" spans="2:10" x14ac:dyDescent="0.3">
      <c r="C173" s="5" t="s">
        <v>163</v>
      </c>
      <c r="D173" s="6">
        <v>200</v>
      </c>
      <c r="E173" s="6">
        <v>25</v>
      </c>
      <c r="F173" s="8">
        <f t="shared" si="44"/>
        <v>5</v>
      </c>
      <c r="G173" s="6">
        <f t="shared" si="45"/>
        <v>2000</v>
      </c>
      <c r="H173" s="7"/>
      <c r="I173" s="6">
        <f t="shared" si="46"/>
        <v>4000</v>
      </c>
      <c r="J173" s="6">
        <f t="shared" si="47"/>
        <v>10200</v>
      </c>
    </row>
    <row r="174" spans="2:10" x14ac:dyDescent="0.3">
      <c r="C174" s="5" t="s">
        <v>444</v>
      </c>
      <c r="D174" s="6">
        <v>20</v>
      </c>
      <c r="E174" s="6">
        <v>1.5</v>
      </c>
      <c r="F174" s="8">
        <f t="shared" si="44"/>
        <v>0.03</v>
      </c>
      <c r="G174" s="6">
        <f t="shared" si="45"/>
        <v>200</v>
      </c>
      <c r="H174" s="7">
        <f>(E174/1000)*G174</f>
        <v>0.3</v>
      </c>
      <c r="I174" s="6">
        <f t="shared" si="46"/>
        <v>400</v>
      </c>
      <c r="J174" s="6">
        <f t="shared" si="47"/>
        <v>1020</v>
      </c>
    </row>
    <row r="175" spans="2:10" x14ac:dyDescent="0.3">
      <c r="C175" s="5" t="s">
        <v>389</v>
      </c>
      <c r="D175" s="6">
        <v>5</v>
      </c>
      <c r="E175" s="6">
        <v>95</v>
      </c>
      <c r="F175" s="8">
        <f t="shared" si="44"/>
        <v>0.47499999999999998</v>
      </c>
      <c r="G175" s="6">
        <f t="shared" si="45"/>
        <v>50</v>
      </c>
      <c r="H175" s="7"/>
      <c r="I175" s="6">
        <f t="shared" si="46"/>
        <v>100</v>
      </c>
      <c r="J175" s="6">
        <f t="shared" si="47"/>
        <v>255</v>
      </c>
    </row>
    <row r="176" spans="2:10" x14ac:dyDescent="0.3">
      <c r="C176" s="27"/>
      <c r="D176" s="13">
        <f>SUM(D171:D175)</f>
        <v>1005</v>
      </c>
      <c r="E176" s="14"/>
      <c r="F176" s="15">
        <f>SUM(F171:F175)</f>
        <v>72.304999999999993</v>
      </c>
      <c r="G176" s="13">
        <f>SUM(G171:G175)</f>
        <v>10050</v>
      </c>
      <c r="H176" s="16">
        <f>SUM(H171:H175)</f>
        <v>668.3</v>
      </c>
      <c r="I176" s="84">
        <f>SUM(I171:I175)</f>
        <v>20100</v>
      </c>
      <c r="J176" s="84">
        <f>SUM(J171:J175)</f>
        <v>51255</v>
      </c>
    </row>
    <row r="180" spans="2:10" ht="23.4" x14ac:dyDescent="0.45">
      <c r="C180" s="172" t="s">
        <v>792</v>
      </c>
      <c r="D180" s="173"/>
      <c r="E180" s="173"/>
      <c r="F180" s="173"/>
      <c r="G180" s="173"/>
      <c r="H180" s="173"/>
      <c r="I180" s="173"/>
      <c r="J180" s="174"/>
    </row>
    <row r="181" spans="2:10" ht="62.4" x14ac:dyDescent="0.3">
      <c r="B181" s="1">
        <v>2</v>
      </c>
      <c r="C181" s="36" t="s">
        <v>0</v>
      </c>
      <c r="D181" s="4" t="s">
        <v>1</v>
      </c>
      <c r="E181" s="4" t="s">
        <v>2</v>
      </c>
      <c r="F181" s="4" t="s">
        <v>14</v>
      </c>
      <c r="G181" s="4" t="s">
        <v>793</v>
      </c>
      <c r="H181" s="4" t="s">
        <v>75</v>
      </c>
      <c r="I181" s="4" t="s">
        <v>715</v>
      </c>
      <c r="J181" s="4" t="s">
        <v>76</v>
      </c>
    </row>
    <row r="182" spans="2:10" x14ac:dyDescent="0.3">
      <c r="B182" s="35"/>
      <c r="C182" s="5" t="s">
        <v>16</v>
      </c>
      <c r="D182" s="6">
        <v>868</v>
      </c>
      <c r="E182" s="37">
        <v>0.6</v>
      </c>
      <c r="F182" s="8">
        <f t="shared" ref="F182:F191" si="48">(E182/1000)*D182</f>
        <v>0.52079999999999993</v>
      </c>
      <c r="G182" s="6">
        <f>(D182*18)</f>
        <v>15624</v>
      </c>
      <c r="H182" s="38">
        <f>(E182/1000)*G182</f>
        <v>9.3743999999999996</v>
      </c>
      <c r="I182" s="6">
        <f>(D182*10)</f>
        <v>8680</v>
      </c>
      <c r="J182" s="6">
        <f>(D182*50)</f>
        <v>43400</v>
      </c>
    </row>
    <row r="183" spans="2:10" x14ac:dyDescent="0.3">
      <c r="B183" s="35"/>
      <c r="C183" s="5" t="s">
        <v>550</v>
      </c>
      <c r="D183" s="6">
        <v>20</v>
      </c>
      <c r="E183" s="37">
        <v>124</v>
      </c>
      <c r="F183" s="8">
        <f t="shared" si="48"/>
        <v>2.48</v>
      </c>
      <c r="G183" s="6">
        <f t="shared" ref="G183:G191" si="49">(D183*18)</f>
        <v>360</v>
      </c>
      <c r="H183" s="38">
        <f t="shared" ref="H183:H191" si="50">(E183/1000)*G183</f>
        <v>44.64</v>
      </c>
      <c r="I183" s="6">
        <f t="shared" ref="I183:I191" si="51">(D183*10)</f>
        <v>200</v>
      </c>
      <c r="J183" s="6">
        <f t="shared" ref="J183:J191" si="52">(D183*50)</f>
        <v>1000</v>
      </c>
    </row>
    <row r="184" spans="2:10" x14ac:dyDescent="0.3">
      <c r="B184" s="35"/>
      <c r="C184" s="5" t="s">
        <v>59</v>
      </c>
      <c r="D184" s="6">
        <v>30</v>
      </c>
      <c r="E184" s="37">
        <v>8</v>
      </c>
      <c r="F184" s="8">
        <f t="shared" si="48"/>
        <v>0.24</v>
      </c>
      <c r="G184" s="6">
        <f t="shared" si="49"/>
        <v>540</v>
      </c>
      <c r="H184" s="38">
        <f t="shared" si="50"/>
        <v>4.32</v>
      </c>
      <c r="I184" s="6">
        <f t="shared" si="51"/>
        <v>300</v>
      </c>
      <c r="J184" s="6">
        <f t="shared" si="52"/>
        <v>1500</v>
      </c>
    </row>
    <row r="185" spans="2:10" x14ac:dyDescent="0.3">
      <c r="B185" s="35"/>
      <c r="C185" s="5" t="s">
        <v>517</v>
      </c>
      <c r="D185" s="6">
        <v>20</v>
      </c>
      <c r="E185" s="37">
        <v>130</v>
      </c>
      <c r="F185" s="8">
        <f t="shared" si="48"/>
        <v>2.6</v>
      </c>
      <c r="G185" s="6">
        <f t="shared" si="49"/>
        <v>360</v>
      </c>
      <c r="H185" s="38">
        <f t="shared" si="50"/>
        <v>46.800000000000004</v>
      </c>
      <c r="I185" s="6">
        <f t="shared" si="51"/>
        <v>200</v>
      </c>
      <c r="J185" s="6">
        <f t="shared" si="52"/>
        <v>1000</v>
      </c>
    </row>
    <row r="186" spans="2:10" x14ac:dyDescent="0.3">
      <c r="B186" s="35"/>
      <c r="C186" s="5" t="s">
        <v>551</v>
      </c>
      <c r="D186" s="6">
        <v>20</v>
      </c>
      <c r="E186" s="37">
        <v>124</v>
      </c>
      <c r="F186" s="8">
        <f t="shared" si="48"/>
        <v>2.48</v>
      </c>
      <c r="G186" s="6">
        <f t="shared" si="49"/>
        <v>360</v>
      </c>
      <c r="H186" s="38">
        <f t="shared" si="50"/>
        <v>44.64</v>
      </c>
      <c r="I186" s="6">
        <f t="shared" si="51"/>
        <v>200</v>
      </c>
      <c r="J186" s="6">
        <f t="shared" si="52"/>
        <v>1000</v>
      </c>
    </row>
    <row r="187" spans="2:10" x14ac:dyDescent="0.3">
      <c r="B187" s="35"/>
      <c r="C187" s="5" t="s">
        <v>226</v>
      </c>
      <c r="D187" s="6">
        <v>20</v>
      </c>
      <c r="E187" s="37">
        <v>124</v>
      </c>
      <c r="F187" s="8">
        <f t="shared" si="48"/>
        <v>2.48</v>
      </c>
      <c r="G187" s="6">
        <f t="shared" si="49"/>
        <v>360</v>
      </c>
      <c r="H187" s="38">
        <f t="shared" si="50"/>
        <v>44.64</v>
      </c>
      <c r="I187" s="6">
        <f t="shared" si="51"/>
        <v>200</v>
      </c>
      <c r="J187" s="6">
        <f t="shared" si="52"/>
        <v>1000</v>
      </c>
    </row>
    <row r="188" spans="2:10" x14ac:dyDescent="0.3">
      <c r="B188" s="35"/>
      <c r="C188" s="5" t="s">
        <v>552</v>
      </c>
      <c r="D188" s="6">
        <v>20</v>
      </c>
      <c r="E188" s="37">
        <v>124</v>
      </c>
      <c r="F188" s="8">
        <f t="shared" si="48"/>
        <v>2.48</v>
      </c>
      <c r="G188" s="6">
        <f t="shared" si="49"/>
        <v>360</v>
      </c>
      <c r="H188" s="38">
        <f t="shared" si="50"/>
        <v>44.64</v>
      </c>
      <c r="I188" s="6">
        <f t="shared" si="51"/>
        <v>200</v>
      </c>
      <c r="J188" s="6">
        <f t="shared" si="52"/>
        <v>1000</v>
      </c>
    </row>
    <row r="189" spans="2:10" x14ac:dyDescent="0.3">
      <c r="B189" s="35"/>
      <c r="C189" s="5" t="s">
        <v>208</v>
      </c>
      <c r="D189" s="6">
        <v>1</v>
      </c>
      <c r="E189" s="37">
        <v>25</v>
      </c>
      <c r="F189" s="8">
        <f t="shared" si="48"/>
        <v>2.5000000000000001E-2</v>
      </c>
      <c r="G189" s="6">
        <f t="shared" si="49"/>
        <v>18</v>
      </c>
      <c r="H189" s="38">
        <f t="shared" si="50"/>
        <v>0.45</v>
      </c>
      <c r="I189" s="6">
        <f t="shared" si="51"/>
        <v>10</v>
      </c>
      <c r="J189" s="6">
        <f t="shared" si="52"/>
        <v>50</v>
      </c>
    </row>
    <row r="190" spans="2:10" x14ac:dyDescent="0.3">
      <c r="B190" s="35"/>
      <c r="C190" s="5" t="s">
        <v>701</v>
      </c>
      <c r="D190" s="11">
        <v>2.5</v>
      </c>
      <c r="E190" s="37">
        <v>45</v>
      </c>
      <c r="F190" s="8">
        <f t="shared" si="48"/>
        <v>0.11249999999999999</v>
      </c>
      <c r="G190" s="6">
        <f t="shared" si="49"/>
        <v>45</v>
      </c>
      <c r="H190" s="38">
        <f t="shared" si="50"/>
        <v>2.0249999999999999</v>
      </c>
      <c r="I190" s="6">
        <f t="shared" si="51"/>
        <v>25</v>
      </c>
      <c r="J190" s="6">
        <f t="shared" si="52"/>
        <v>125</v>
      </c>
    </row>
    <row r="191" spans="2:10" x14ac:dyDescent="0.3">
      <c r="B191" s="35"/>
      <c r="C191" s="5" t="s">
        <v>174</v>
      </c>
      <c r="D191" s="11">
        <v>0.3</v>
      </c>
      <c r="E191" s="37">
        <v>25</v>
      </c>
      <c r="F191" s="8">
        <f t="shared" si="48"/>
        <v>7.4999999999999997E-3</v>
      </c>
      <c r="G191" s="6">
        <f t="shared" si="49"/>
        <v>5.3999999999999995</v>
      </c>
      <c r="H191" s="38">
        <f t="shared" si="50"/>
        <v>0.13499999999999998</v>
      </c>
      <c r="I191" s="6">
        <f t="shared" si="51"/>
        <v>3</v>
      </c>
      <c r="J191" s="6">
        <f t="shared" si="52"/>
        <v>15</v>
      </c>
    </row>
    <row r="192" spans="2:10" x14ac:dyDescent="0.3">
      <c r="D192" s="13">
        <f>SUM(D182:D191)</f>
        <v>1001.8</v>
      </c>
      <c r="E192" s="14"/>
      <c r="F192" s="15">
        <f>SUM(F182:F191)</f>
        <v>13.425800000000002</v>
      </c>
      <c r="G192" s="13">
        <f>SUM(G182:G191)</f>
        <v>18032.400000000001</v>
      </c>
      <c r="H192" s="39">
        <f>SUM(H182:H191)</f>
        <v>241.66439999999997</v>
      </c>
      <c r="I192" s="13">
        <f>SUM(I182:I191)</f>
        <v>10018</v>
      </c>
      <c r="J192" s="84">
        <f>SUM(J182:J191)</f>
        <v>50090</v>
      </c>
    </row>
    <row r="196" spans="2:10" ht="23.4" x14ac:dyDescent="0.45">
      <c r="C196" s="221" t="s">
        <v>863</v>
      </c>
      <c r="D196" s="222"/>
      <c r="E196" s="222"/>
      <c r="F196" s="222"/>
      <c r="G196" s="222"/>
      <c r="H196" s="222"/>
      <c r="I196" s="222"/>
      <c r="J196" s="223"/>
    </row>
    <row r="197" spans="2:10" ht="62.4" x14ac:dyDescent="0.3">
      <c r="B197" s="224">
        <v>4</v>
      </c>
      <c r="C197" s="225" t="s">
        <v>0</v>
      </c>
      <c r="D197" s="226" t="s">
        <v>1</v>
      </c>
      <c r="E197" s="226" t="s">
        <v>2</v>
      </c>
      <c r="F197" s="226" t="s">
        <v>819</v>
      </c>
      <c r="G197" s="226" t="s">
        <v>407</v>
      </c>
      <c r="H197" s="226" t="s">
        <v>126</v>
      </c>
      <c r="I197" s="226" t="s">
        <v>408</v>
      </c>
      <c r="J197" s="227"/>
    </row>
    <row r="198" spans="2:10" x14ac:dyDescent="0.3">
      <c r="C198" s="228" t="s">
        <v>203</v>
      </c>
      <c r="D198" s="229">
        <v>50</v>
      </c>
      <c r="E198" s="230"/>
      <c r="F198" s="231"/>
      <c r="G198" s="229"/>
      <c r="H198" s="229"/>
      <c r="I198" s="229"/>
      <c r="J198" s="232"/>
    </row>
    <row r="199" spans="2:10" x14ac:dyDescent="0.3">
      <c r="C199" s="228" t="s">
        <v>794</v>
      </c>
      <c r="D199" s="229">
        <v>50</v>
      </c>
      <c r="E199" s="230"/>
      <c r="F199" s="231"/>
      <c r="G199" s="229"/>
      <c r="H199" s="229"/>
      <c r="I199" s="229"/>
      <c r="J199" s="232"/>
    </row>
    <row r="200" spans="2:10" x14ac:dyDescent="0.3">
      <c r="C200" s="228" t="s">
        <v>19</v>
      </c>
      <c r="D200" s="229">
        <v>30</v>
      </c>
      <c r="E200" s="230"/>
      <c r="F200" s="231"/>
      <c r="G200" s="229"/>
      <c r="H200" s="229"/>
      <c r="I200" s="229"/>
      <c r="J200" s="232"/>
    </row>
    <row r="201" spans="2:10" x14ac:dyDescent="0.3">
      <c r="C201" s="228" t="s">
        <v>551</v>
      </c>
      <c r="D201" s="229">
        <v>20</v>
      </c>
      <c r="E201" s="230"/>
      <c r="F201" s="231"/>
      <c r="G201" s="229"/>
      <c r="H201" s="229"/>
      <c r="I201" s="229"/>
      <c r="J201" s="232"/>
    </row>
    <row r="202" spans="2:10" x14ac:dyDescent="0.3">
      <c r="C202" s="228" t="s">
        <v>415</v>
      </c>
      <c r="D202" s="229">
        <v>50</v>
      </c>
      <c r="E202" s="230"/>
      <c r="F202" s="231"/>
      <c r="G202" s="229"/>
      <c r="H202" s="229"/>
      <c r="I202" s="229"/>
      <c r="J202" s="232"/>
    </row>
    <row r="203" spans="2:10" x14ac:dyDescent="0.3">
      <c r="C203" s="228" t="s">
        <v>167</v>
      </c>
      <c r="D203" s="229">
        <v>16.600000000000001</v>
      </c>
      <c r="E203" s="230"/>
      <c r="F203" s="231"/>
      <c r="G203" s="229"/>
      <c r="H203" s="229"/>
      <c r="I203" s="229"/>
      <c r="J203" s="232"/>
    </row>
    <row r="204" spans="2:10" x14ac:dyDescent="0.3">
      <c r="C204" s="228" t="s">
        <v>60</v>
      </c>
      <c r="D204" s="230">
        <v>2.5</v>
      </c>
      <c r="E204" s="230"/>
      <c r="F204" s="231"/>
      <c r="G204" s="229"/>
      <c r="H204" s="229"/>
      <c r="I204" s="229"/>
      <c r="J204" s="232"/>
    </row>
    <row r="205" spans="2:10" x14ac:dyDescent="0.3">
      <c r="C205" s="228" t="s">
        <v>864</v>
      </c>
      <c r="D205" s="229">
        <v>781</v>
      </c>
      <c r="E205" s="230"/>
      <c r="F205" s="231"/>
      <c r="G205" s="229"/>
      <c r="H205" s="229"/>
      <c r="I205" s="229"/>
      <c r="J205" s="232"/>
    </row>
    <row r="206" spans="2:10" x14ac:dyDescent="0.3">
      <c r="C206" s="235"/>
      <c r="D206" s="253">
        <f>SUM(D198:D205)</f>
        <v>1000.1</v>
      </c>
      <c r="E206" s="254"/>
      <c r="F206" s="255">
        <f>SUM(F198:F205)</f>
        <v>0</v>
      </c>
      <c r="G206" s="253"/>
      <c r="H206" s="258">
        <f>SUM(H198:H205)</f>
        <v>0</v>
      </c>
      <c r="I206" s="258">
        <f>SUM(I198:I205)</f>
        <v>0</v>
      </c>
      <c r="J206" s="257"/>
    </row>
    <row r="209" spans="2:10" ht="23.4" x14ac:dyDescent="0.45">
      <c r="C209" s="221" t="s">
        <v>838</v>
      </c>
      <c r="D209" s="222"/>
      <c r="E209" s="222"/>
      <c r="F209" s="222"/>
      <c r="G209" s="222"/>
      <c r="H209" s="222"/>
      <c r="I209" s="222"/>
      <c r="J209" s="223"/>
    </row>
    <row r="210" spans="2:10" ht="62.4" x14ac:dyDescent="0.3">
      <c r="B210" s="224">
        <v>4</v>
      </c>
      <c r="C210" s="225" t="s">
        <v>0</v>
      </c>
      <c r="D210" s="226" t="s">
        <v>1</v>
      </c>
      <c r="E210" s="226" t="s">
        <v>2</v>
      </c>
      <c r="F210" s="226" t="s">
        <v>819</v>
      </c>
      <c r="G210" s="226" t="s">
        <v>407</v>
      </c>
      <c r="H210" s="226" t="s">
        <v>126</v>
      </c>
      <c r="I210" s="226" t="s">
        <v>408</v>
      </c>
      <c r="J210" s="227"/>
    </row>
    <row r="211" spans="2:10" x14ac:dyDescent="0.3">
      <c r="C211" s="228" t="s">
        <v>16</v>
      </c>
      <c r="D211" s="229">
        <v>927</v>
      </c>
      <c r="E211" s="230"/>
      <c r="F211" s="231">
        <f>(E211/1000)*D211</f>
        <v>0</v>
      </c>
      <c r="G211" s="229"/>
      <c r="H211" s="229"/>
      <c r="I211" s="229"/>
      <c r="J211" s="232" t="s">
        <v>7</v>
      </c>
    </row>
    <row r="212" spans="2:10" x14ac:dyDescent="0.3">
      <c r="C212" s="228" t="s">
        <v>17</v>
      </c>
      <c r="D212" s="229">
        <v>10</v>
      </c>
      <c r="E212" s="230"/>
      <c r="F212" s="231"/>
      <c r="G212" s="229"/>
      <c r="H212" s="229"/>
      <c r="I212" s="229"/>
      <c r="J212" s="232"/>
    </row>
    <row r="213" spans="2:10" x14ac:dyDescent="0.3">
      <c r="C213" s="228" t="s">
        <v>112</v>
      </c>
      <c r="D213" s="229">
        <v>5</v>
      </c>
      <c r="E213" s="230"/>
      <c r="F213" s="231"/>
      <c r="G213" s="229"/>
      <c r="H213" s="229"/>
      <c r="I213" s="229"/>
      <c r="J213" s="232"/>
    </row>
    <row r="214" spans="2:10" x14ac:dyDescent="0.3">
      <c r="C214" s="228" t="s">
        <v>59</v>
      </c>
      <c r="D214" s="229">
        <v>50</v>
      </c>
      <c r="E214" s="230"/>
      <c r="F214" s="231"/>
      <c r="G214" s="229"/>
      <c r="H214" s="229"/>
      <c r="I214" s="229"/>
      <c r="J214" s="232"/>
    </row>
    <row r="215" spans="2:10" x14ac:dyDescent="0.3">
      <c r="C215" s="228" t="s">
        <v>53</v>
      </c>
      <c r="D215" s="229">
        <v>10</v>
      </c>
      <c r="E215" s="230"/>
      <c r="F215" s="231"/>
      <c r="G215" s="229"/>
      <c r="H215" s="229"/>
      <c r="I215" s="229"/>
      <c r="J215" s="232"/>
    </row>
    <row r="216" spans="2:10" x14ac:dyDescent="0.3">
      <c r="C216" s="228" t="s">
        <v>138</v>
      </c>
      <c r="D216" s="229">
        <v>1</v>
      </c>
      <c r="E216" s="230"/>
      <c r="F216" s="231"/>
      <c r="G216" s="229"/>
      <c r="H216" s="229"/>
      <c r="I216" s="229"/>
      <c r="J216" s="232"/>
    </row>
    <row r="217" spans="2:10" x14ac:dyDescent="0.3">
      <c r="C217" s="241" t="s">
        <v>384</v>
      </c>
      <c r="D217" s="262">
        <v>2</v>
      </c>
      <c r="E217" s="259"/>
      <c r="F217" s="261"/>
      <c r="G217" s="262"/>
      <c r="H217" s="262"/>
      <c r="I217" s="262"/>
      <c r="J217" s="263"/>
    </row>
    <row r="218" spans="2:10" x14ac:dyDescent="0.3">
      <c r="C218" s="235"/>
      <c r="D218" s="253">
        <f>SUM(D211:D217)</f>
        <v>1005</v>
      </c>
      <c r="E218" s="254"/>
      <c r="F218" s="255">
        <f>SUM(F211:F216)</f>
        <v>0</v>
      </c>
      <c r="G218" s="253">
        <f>SUM(G211:G216)</f>
        <v>0</v>
      </c>
      <c r="H218" s="258">
        <f>SUM(H211:H216)</f>
        <v>0</v>
      </c>
      <c r="I218" s="258">
        <f>SUM(I211:I216)</f>
        <v>0</v>
      </c>
      <c r="J218" s="257"/>
    </row>
    <row r="221" spans="2:10" ht="23.4" x14ac:dyDescent="0.45">
      <c r="C221" s="221" t="s">
        <v>866</v>
      </c>
      <c r="D221" s="222"/>
      <c r="E221" s="222"/>
      <c r="F221" s="222"/>
      <c r="G221" s="222"/>
      <c r="H221" s="222"/>
      <c r="I221" s="222"/>
    </row>
    <row r="222" spans="2:10" ht="62.4" x14ac:dyDescent="0.3">
      <c r="B222" s="224">
        <v>4</v>
      </c>
      <c r="C222" s="273" t="s">
        <v>0</v>
      </c>
      <c r="D222" s="227" t="s">
        <v>1</v>
      </c>
      <c r="E222" s="227" t="s">
        <v>2</v>
      </c>
      <c r="F222" s="227" t="s">
        <v>14</v>
      </c>
      <c r="G222" s="227" t="s">
        <v>278</v>
      </c>
      <c r="H222" s="227" t="s">
        <v>75</v>
      </c>
      <c r="I222" s="227" t="s">
        <v>279</v>
      </c>
    </row>
    <row r="223" spans="2:10" x14ac:dyDescent="0.3">
      <c r="B223" s="274">
        <v>1</v>
      </c>
      <c r="C223" s="228" t="s">
        <v>16</v>
      </c>
      <c r="D223" s="229">
        <v>807</v>
      </c>
      <c r="E223" s="275">
        <v>0.6</v>
      </c>
      <c r="F223" s="231">
        <f t="shared" ref="F223:F229" si="53">(E223/1000)*D223</f>
        <v>0.48419999999999996</v>
      </c>
      <c r="G223" s="229">
        <f t="shared" ref="G223:G229" si="54">(D223*220)</f>
        <v>177540</v>
      </c>
      <c r="H223" s="276">
        <f t="shared" ref="H223:H229" si="55">(E223/1000)*G223</f>
        <v>106.52399999999999</v>
      </c>
      <c r="I223" s="229">
        <f t="shared" ref="I223:I229" si="56">(D223*35)</f>
        <v>28245</v>
      </c>
    </row>
    <row r="224" spans="2:10" x14ac:dyDescent="0.3">
      <c r="B224" s="274">
        <v>4</v>
      </c>
      <c r="C224" s="228" t="s">
        <v>275</v>
      </c>
      <c r="D224" s="229">
        <v>70</v>
      </c>
      <c r="E224" s="275">
        <v>20</v>
      </c>
      <c r="F224" s="231">
        <f t="shared" si="53"/>
        <v>1.4000000000000001</v>
      </c>
      <c r="G224" s="229">
        <f t="shared" si="54"/>
        <v>15400</v>
      </c>
      <c r="H224" s="276">
        <f t="shared" si="55"/>
        <v>308</v>
      </c>
      <c r="I224" s="229">
        <f t="shared" si="56"/>
        <v>2450</v>
      </c>
    </row>
    <row r="225" spans="2:9" x14ac:dyDescent="0.3">
      <c r="B225" s="274">
        <v>5</v>
      </c>
      <c r="C225" s="228" t="s">
        <v>276</v>
      </c>
      <c r="D225" s="229">
        <v>70</v>
      </c>
      <c r="E225" s="275">
        <v>20</v>
      </c>
      <c r="F225" s="231">
        <f t="shared" si="53"/>
        <v>1.4000000000000001</v>
      </c>
      <c r="G225" s="229">
        <f t="shared" si="54"/>
        <v>15400</v>
      </c>
      <c r="H225" s="276">
        <f t="shared" si="55"/>
        <v>308</v>
      </c>
      <c r="I225" s="229">
        <f t="shared" si="56"/>
        <v>2450</v>
      </c>
    </row>
    <row r="226" spans="2:9" x14ac:dyDescent="0.3">
      <c r="B226" s="274">
        <v>6</v>
      </c>
      <c r="C226" s="228" t="s">
        <v>244</v>
      </c>
      <c r="D226" s="229">
        <v>30</v>
      </c>
      <c r="E226" s="275">
        <v>120</v>
      </c>
      <c r="F226" s="231">
        <f t="shared" si="53"/>
        <v>3.5999999999999996</v>
      </c>
      <c r="G226" s="229">
        <f t="shared" si="54"/>
        <v>6600</v>
      </c>
      <c r="H226" s="276">
        <f t="shared" si="55"/>
        <v>792</v>
      </c>
      <c r="I226" s="229">
        <f t="shared" si="56"/>
        <v>1050</v>
      </c>
    </row>
    <row r="227" spans="2:9" x14ac:dyDescent="0.3">
      <c r="B227" s="274">
        <v>7</v>
      </c>
      <c r="C227" s="228" t="s">
        <v>125</v>
      </c>
      <c r="D227" s="229">
        <v>10</v>
      </c>
      <c r="E227" s="275">
        <v>60</v>
      </c>
      <c r="F227" s="231">
        <f t="shared" si="53"/>
        <v>0.6</v>
      </c>
      <c r="G227" s="229">
        <f t="shared" si="54"/>
        <v>2200</v>
      </c>
      <c r="H227" s="276">
        <f t="shared" si="55"/>
        <v>132</v>
      </c>
      <c r="I227" s="229">
        <f t="shared" si="56"/>
        <v>350</v>
      </c>
    </row>
    <row r="228" spans="2:9" x14ac:dyDescent="0.3">
      <c r="B228" s="274">
        <v>9</v>
      </c>
      <c r="C228" s="228" t="s">
        <v>59</v>
      </c>
      <c r="D228" s="229">
        <v>10</v>
      </c>
      <c r="E228" s="275">
        <v>8</v>
      </c>
      <c r="F228" s="231">
        <f t="shared" si="53"/>
        <v>0.08</v>
      </c>
      <c r="G228" s="229">
        <f t="shared" si="54"/>
        <v>2200</v>
      </c>
      <c r="H228" s="276">
        <f t="shared" si="55"/>
        <v>17.600000000000001</v>
      </c>
      <c r="I228" s="229">
        <f t="shared" si="56"/>
        <v>350</v>
      </c>
    </row>
    <row r="229" spans="2:9" x14ac:dyDescent="0.3">
      <c r="B229" s="274">
        <v>2</v>
      </c>
      <c r="C229" s="228" t="s">
        <v>60</v>
      </c>
      <c r="D229" s="230">
        <v>2.5</v>
      </c>
      <c r="E229" s="275">
        <v>58</v>
      </c>
      <c r="F229" s="231">
        <f t="shared" si="53"/>
        <v>0.14500000000000002</v>
      </c>
      <c r="G229" s="229">
        <f t="shared" si="54"/>
        <v>550</v>
      </c>
      <c r="H229" s="276">
        <f t="shared" si="55"/>
        <v>31.900000000000002</v>
      </c>
      <c r="I229" s="229">
        <f t="shared" si="56"/>
        <v>87.5</v>
      </c>
    </row>
    <row r="230" spans="2:9" x14ac:dyDescent="0.3">
      <c r="D230" s="236">
        <f>SUM(D223:D229)</f>
        <v>999.5</v>
      </c>
      <c r="E230" s="237"/>
      <c r="F230" s="238">
        <f>SUM(F223:F229)</f>
        <v>7.7091999999999992</v>
      </c>
      <c r="G230" s="236">
        <f>SUM(G223:G229)</f>
        <v>219890</v>
      </c>
      <c r="H230" s="277">
        <f>SUM(H223:H229)</f>
        <v>1696.0239999999999</v>
      </c>
      <c r="I230" s="236">
        <f>SUM(I223:I229)</f>
        <v>34982.5</v>
      </c>
    </row>
    <row r="233" spans="2:9" ht="23.4" x14ac:dyDescent="0.45">
      <c r="C233" s="221" t="s">
        <v>811</v>
      </c>
      <c r="D233" s="222"/>
      <c r="E233" s="222"/>
      <c r="F233" s="222"/>
      <c r="G233" s="222"/>
      <c r="H233" s="222"/>
      <c r="I233" s="222"/>
    </row>
    <row r="234" spans="2:9" ht="62.4" x14ac:dyDescent="0.3">
      <c r="B234" s="224">
        <v>5</v>
      </c>
      <c r="C234" s="273" t="s">
        <v>0</v>
      </c>
      <c r="D234" s="227" t="s">
        <v>1</v>
      </c>
      <c r="E234" s="227" t="s">
        <v>2</v>
      </c>
      <c r="F234" s="227" t="s">
        <v>14</v>
      </c>
      <c r="G234" s="227" t="s">
        <v>772</v>
      </c>
      <c r="H234" s="227" t="s">
        <v>408</v>
      </c>
      <c r="I234" s="227" t="s">
        <v>279</v>
      </c>
    </row>
    <row r="235" spans="2:9" x14ac:dyDescent="0.3">
      <c r="B235" s="237"/>
      <c r="C235" s="247" t="s">
        <v>16</v>
      </c>
      <c r="D235" s="244">
        <v>750</v>
      </c>
      <c r="E235" s="278"/>
      <c r="F235" s="248"/>
      <c r="G235" s="244"/>
      <c r="H235" s="244"/>
      <c r="I235" s="244"/>
    </row>
    <row r="236" spans="2:9" x14ac:dyDescent="0.3">
      <c r="B236" s="237"/>
      <c r="C236" s="247" t="s">
        <v>275</v>
      </c>
      <c r="D236" s="244">
        <v>70</v>
      </c>
      <c r="E236" s="278"/>
      <c r="F236" s="248"/>
      <c r="G236" s="244"/>
      <c r="H236" s="244"/>
      <c r="I236" s="244"/>
    </row>
    <row r="237" spans="2:9" x14ac:dyDescent="0.3">
      <c r="B237" s="237"/>
      <c r="C237" s="247" t="s">
        <v>276</v>
      </c>
      <c r="D237" s="244">
        <v>70</v>
      </c>
      <c r="E237" s="278"/>
      <c r="F237" s="248"/>
      <c r="G237" s="244"/>
      <c r="H237" s="244"/>
      <c r="I237" s="244"/>
    </row>
    <row r="238" spans="2:9" x14ac:dyDescent="0.3">
      <c r="B238" s="237"/>
      <c r="C238" s="247" t="s">
        <v>59</v>
      </c>
      <c r="D238" s="244">
        <v>30</v>
      </c>
      <c r="E238" s="278"/>
      <c r="F238" s="248"/>
      <c r="G238" s="244"/>
      <c r="H238" s="244"/>
      <c r="I238" s="244"/>
    </row>
    <row r="239" spans="2:9" x14ac:dyDescent="0.3">
      <c r="B239" s="237"/>
      <c r="C239" s="247" t="s">
        <v>163</v>
      </c>
      <c r="D239" s="244">
        <v>20</v>
      </c>
      <c r="E239" s="278"/>
      <c r="F239" s="248"/>
      <c r="G239" s="244"/>
      <c r="H239" s="244"/>
      <c r="I239" s="244"/>
    </row>
    <row r="240" spans="2:9" x14ac:dyDescent="0.3">
      <c r="B240" s="237"/>
      <c r="C240" s="247" t="s">
        <v>479</v>
      </c>
      <c r="D240" s="244">
        <v>40</v>
      </c>
      <c r="E240" s="278"/>
      <c r="F240" s="248"/>
      <c r="G240" s="244"/>
      <c r="H240" s="244"/>
      <c r="I240" s="244"/>
    </row>
    <row r="241" spans="2:9" x14ac:dyDescent="0.3">
      <c r="B241" s="237"/>
      <c r="C241" s="247" t="s">
        <v>812</v>
      </c>
      <c r="D241" s="244">
        <v>15</v>
      </c>
      <c r="E241" s="278"/>
      <c r="F241" s="248"/>
      <c r="G241" s="244"/>
      <c r="H241" s="244"/>
      <c r="I241" s="244"/>
    </row>
    <row r="242" spans="2:9" x14ac:dyDescent="0.3">
      <c r="B242" s="237"/>
      <c r="C242" s="247" t="s">
        <v>504</v>
      </c>
      <c r="D242" s="244">
        <v>3</v>
      </c>
      <c r="E242" s="278"/>
      <c r="F242" s="248"/>
      <c r="G242" s="244"/>
      <c r="H242" s="244"/>
      <c r="I242" s="244"/>
    </row>
    <row r="243" spans="2:9" x14ac:dyDescent="0.3">
      <c r="B243" s="237"/>
      <c r="C243" s="247" t="s">
        <v>384</v>
      </c>
      <c r="D243" s="279">
        <v>0.5</v>
      </c>
      <c r="E243" s="278"/>
      <c r="F243" s="248"/>
      <c r="G243" s="244"/>
      <c r="H243" s="244"/>
      <c r="I243" s="244"/>
    </row>
    <row r="244" spans="2:9" x14ac:dyDescent="0.3">
      <c r="B244" s="237"/>
      <c r="C244" s="247" t="s">
        <v>387</v>
      </c>
      <c r="D244" s="279">
        <v>10</v>
      </c>
      <c r="E244" s="278"/>
      <c r="F244" s="248"/>
      <c r="G244" s="244"/>
      <c r="H244" s="244"/>
      <c r="I244" s="244"/>
    </row>
    <row r="245" spans="2:9" x14ac:dyDescent="0.3">
      <c r="B245" s="283"/>
      <c r="C245" s="284" t="s">
        <v>386</v>
      </c>
      <c r="D245" s="285">
        <v>5</v>
      </c>
      <c r="E245" s="278"/>
      <c r="F245" s="248"/>
      <c r="G245" s="244"/>
      <c r="H245" s="244"/>
      <c r="I245" s="244"/>
    </row>
    <row r="246" spans="2:9" x14ac:dyDescent="0.3">
      <c r="B246" s="286"/>
      <c r="C246" s="287" t="s">
        <v>60</v>
      </c>
      <c r="D246" s="288">
        <v>2.5</v>
      </c>
      <c r="E246" s="282"/>
      <c r="F246" s="248"/>
      <c r="G246" s="244"/>
      <c r="H246" s="244"/>
      <c r="I246" s="244"/>
    </row>
    <row r="247" spans="2:9" x14ac:dyDescent="0.3">
      <c r="D247" s="253">
        <f>SUM(D235:D246)</f>
        <v>1016</v>
      </c>
      <c r="E247" s="237"/>
      <c r="F247" s="238">
        <f>SUM(F235:F245)</f>
        <v>0</v>
      </c>
      <c r="G247" s="236">
        <f>SUM(G235:G246)</f>
        <v>0</v>
      </c>
      <c r="H247" s="277">
        <f>SUM(H235:H245)</f>
        <v>0</v>
      </c>
      <c r="I247" s="236">
        <f>SUM(I235:I246)</f>
        <v>0</v>
      </c>
    </row>
    <row r="250" spans="2:9" ht="23.4" x14ac:dyDescent="0.45">
      <c r="C250" s="221" t="s">
        <v>549</v>
      </c>
      <c r="D250" s="222"/>
      <c r="E250" s="222"/>
      <c r="F250" s="222"/>
      <c r="G250" s="222"/>
      <c r="H250" s="222"/>
      <c r="I250" s="222"/>
    </row>
    <row r="251" spans="2:9" ht="62.4" x14ac:dyDescent="0.3">
      <c r="B251" s="224">
        <v>6</v>
      </c>
      <c r="C251" s="273" t="s">
        <v>0</v>
      </c>
      <c r="D251" s="227" t="s">
        <v>1</v>
      </c>
      <c r="E251" s="227" t="s">
        <v>2</v>
      </c>
      <c r="F251" s="227" t="s">
        <v>14</v>
      </c>
      <c r="G251" s="227" t="s">
        <v>278</v>
      </c>
      <c r="H251" s="227" t="s">
        <v>75</v>
      </c>
      <c r="I251" s="227" t="s">
        <v>715</v>
      </c>
    </row>
    <row r="252" spans="2:9" x14ac:dyDescent="0.3">
      <c r="B252" s="274"/>
      <c r="C252" s="228" t="s">
        <v>16</v>
      </c>
      <c r="D252" s="229">
        <v>666</v>
      </c>
      <c r="E252" s="275"/>
      <c r="F252" s="231"/>
      <c r="G252" s="229"/>
      <c r="H252" s="276"/>
      <c r="I252" s="229"/>
    </row>
    <row r="253" spans="2:9" x14ac:dyDescent="0.3">
      <c r="B253" s="274"/>
      <c r="C253" s="228" t="s">
        <v>550</v>
      </c>
      <c r="D253" s="229">
        <v>20</v>
      </c>
      <c r="E253" s="275"/>
      <c r="F253" s="231"/>
      <c r="G253" s="229"/>
      <c r="H253" s="276"/>
      <c r="I253" s="229"/>
    </row>
    <row r="254" spans="2:9" x14ac:dyDescent="0.3">
      <c r="B254" s="274"/>
      <c r="C254" s="228" t="s">
        <v>59</v>
      </c>
      <c r="D254" s="229">
        <v>30</v>
      </c>
      <c r="E254" s="275"/>
      <c r="F254" s="231"/>
      <c r="G254" s="229"/>
      <c r="H254" s="276"/>
      <c r="I254" s="229"/>
    </row>
    <row r="255" spans="2:9" x14ac:dyDescent="0.3">
      <c r="B255" s="274"/>
      <c r="C255" s="228" t="s">
        <v>517</v>
      </c>
      <c r="D255" s="229">
        <v>20</v>
      </c>
      <c r="E255" s="275"/>
      <c r="F255" s="231"/>
      <c r="G255" s="229"/>
      <c r="H255" s="276"/>
      <c r="I255" s="229"/>
    </row>
    <row r="256" spans="2:9" x14ac:dyDescent="0.3">
      <c r="B256" s="274"/>
      <c r="C256" s="228" t="s">
        <v>551</v>
      </c>
      <c r="D256" s="229">
        <v>20</v>
      </c>
      <c r="E256" s="275"/>
      <c r="F256" s="231"/>
      <c r="G256" s="229"/>
      <c r="H256" s="276"/>
      <c r="I256" s="229"/>
    </row>
    <row r="257" spans="2:9" x14ac:dyDescent="0.3">
      <c r="B257" s="274"/>
      <c r="C257" s="228" t="s">
        <v>226</v>
      </c>
      <c r="D257" s="229">
        <v>20</v>
      </c>
      <c r="E257" s="275"/>
      <c r="F257" s="231"/>
      <c r="G257" s="229"/>
      <c r="H257" s="276"/>
      <c r="I257" s="229"/>
    </row>
    <row r="258" spans="2:9" x14ac:dyDescent="0.3">
      <c r="B258" s="274"/>
      <c r="C258" s="228" t="s">
        <v>552</v>
      </c>
      <c r="D258" s="229">
        <v>20</v>
      </c>
      <c r="E258" s="275"/>
      <c r="F258" s="231"/>
      <c r="G258" s="229"/>
      <c r="H258" s="276"/>
      <c r="I258" s="229"/>
    </row>
    <row r="259" spans="2:9" x14ac:dyDescent="0.3">
      <c r="B259" s="274"/>
      <c r="C259" s="228" t="s">
        <v>275</v>
      </c>
      <c r="D259" s="229">
        <v>100</v>
      </c>
      <c r="E259" s="275"/>
      <c r="F259" s="231"/>
      <c r="G259" s="229"/>
      <c r="H259" s="276"/>
      <c r="I259" s="229"/>
    </row>
    <row r="260" spans="2:9" x14ac:dyDescent="0.3">
      <c r="B260" s="274"/>
      <c r="C260" s="228" t="s">
        <v>276</v>
      </c>
      <c r="D260" s="229">
        <v>100</v>
      </c>
      <c r="E260" s="275"/>
      <c r="F260" s="231"/>
      <c r="G260" s="229"/>
      <c r="H260" s="276"/>
      <c r="I260" s="229"/>
    </row>
    <row r="261" spans="2:9" x14ac:dyDescent="0.3">
      <c r="B261" s="274"/>
      <c r="C261" s="228" t="s">
        <v>208</v>
      </c>
      <c r="D261" s="229">
        <v>1</v>
      </c>
      <c r="E261" s="275"/>
      <c r="F261" s="231"/>
      <c r="G261" s="229"/>
      <c r="H261" s="276"/>
      <c r="I261" s="229"/>
    </row>
    <row r="262" spans="2:9" x14ac:dyDescent="0.3">
      <c r="B262" s="274"/>
      <c r="C262" s="228" t="s">
        <v>701</v>
      </c>
      <c r="D262" s="230">
        <v>2.5</v>
      </c>
      <c r="E262" s="275"/>
      <c r="F262" s="231"/>
      <c r="G262" s="229"/>
      <c r="H262" s="276"/>
      <c r="I262" s="229"/>
    </row>
    <row r="263" spans="2:9" x14ac:dyDescent="0.3">
      <c r="B263" s="274"/>
      <c r="C263" s="228" t="s">
        <v>174</v>
      </c>
      <c r="D263" s="230">
        <v>0.3</v>
      </c>
      <c r="E263" s="275"/>
      <c r="F263" s="231"/>
      <c r="G263" s="229"/>
      <c r="H263" s="276"/>
      <c r="I263" s="229"/>
    </row>
    <row r="264" spans="2:9" x14ac:dyDescent="0.3">
      <c r="D264" s="236">
        <f>SUM(D252:D263)</f>
        <v>999.8</v>
      </c>
      <c r="E264" s="237"/>
      <c r="F264" s="238">
        <f t="shared" ref="F264:I264" si="57">SUM(F252:F263)</f>
        <v>0</v>
      </c>
      <c r="G264" s="236">
        <f t="shared" si="57"/>
        <v>0</v>
      </c>
      <c r="H264" s="277">
        <f t="shared" si="57"/>
        <v>0</v>
      </c>
      <c r="I264" s="236">
        <f t="shared" si="57"/>
        <v>0</v>
      </c>
    </row>
    <row r="267" spans="2:9" ht="23.4" x14ac:dyDescent="0.45">
      <c r="C267" s="221" t="s">
        <v>709</v>
      </c>
      <c r="D267" s="222"/>
      <c r="E267" s="222"/>
      <c r="F267" s="222"/>
      <c r="G267" s="222"/>
      <c r="H267" s="222"/>
      <c r="I267" s="222"/>
    </row>
    <row r="268" spans="2:9" ht="62.4" x14ac:dyDescent="0.3">
      <c r="B268" s="224">
        <v>9</v>
      </c>
      <c r="C268" s="225" t="s">
        <v>0</v>
      </c>
      <c r="D268" s="226" t="s">
        <v>1</v>
      </c>
      <c r="E268" s="226" t="s">
        <v>2</v>
      </c>
      <c r="F268" s="226" t="s">
        <v>819</v>
      </c>
      <c r="G268" s="226" t="s">
        <v>407</v>
      </c>
      <c r="H268" s="226" t="s">
        <v>126</v>
      </c>
      <c r="I268" s="226" t="s">
        <v>408</v>
      </c>
    </row>
    <row r="269" spans="2:9" x14ac:dyDescent="0.3">
      <c r="C269" s="233" t="s">
        <v>27</v>
      </c>
      <c r="D269" s="229">
        <v>821</v>
      </c>
      <c r="E269" s="230"/>
      <c r="F269" s="231">
        <f>(E269/1000)*D269</f>
        <v>0</v>
      </c>
      <c r="G269" s="229">
        <f t="shared" ref="G269:G277" si="58">100*D269</f>
        <v>82100</v>
      </c>
      <c r="H269" s="229"/>
      <c r="I269" s="229"/>
    </row>
    <row r="270" spans="2:9" x14ac:dyDescent="0.3">
      <c r="C270" s="233" t="s">
        <v>171</v>
      </c>
      <c r="D270" s="229">
        <v>70</v>
      </c>
      <c r="E270" s="230"/>
      <c r="F270" s="231"/>
      <c r="G270" s="229">
        <f t="shared" si="58"/>
        <v>7000</v>
      </c>
      <c r="H270" s="229"/>
      <c r="I270" s="229"/>
    </row>
    <row r="271" spans="2:9" x14ac:dyDescent="0.3">
      <c r="C271" s="233" t="s">
        <v>870</v>
      </c>
      <c r="D271" s="229">
        <v>70</v>
      </c>
      <c r="E271" s="230"/>
      <c r="F271" s="231"/>
      <c r="G271" s="229">
        <f t="shared" si="58"/>
        <v>7000</v>
      </c>
      <c r="H271" s="229"/>
      <c r="I271" s="229"/>
    </row>
    <row r="272" spans="2:9" x14ac:dyDescent="0.3">
      <c r="C272" s="233" t="s">
        <v>19</v>
      </c>
      <c r="D272" s="229">
        <v>10</v>
      </c>
      <c r="E272" s="230"/>
      <c r="F272" s="231"/>
      <c r="G272" s="229">
        <f t="shared" si="58"/>
        <v>1000</v>
      </c>
      <c r="H272" s="229"/>
      <c r="I272" s="229"/>
    </row>
    <row r="273" spans="2:9" x14ac:dyDescent="0.3">
      <c r="C273" s="233" t="s">
        <v>871</v>
      </c>
      <c r="D273" s="229">
        <v>10</v>
      </c>
      <c r="E273" s="230"/>
      <c r="F273" s="231"/>
      <c r="G273" s="229">
        <f t="shared" si="58"/>
        <v>1000</v>
      </c>
      <c r="H273" s="229"/>
      <c r="I273" s="229"/>
    </row>
    <row r="274" spans="2:9" x14ac:dyDescent="0.3">
      <c r="C274" s="233" t="s">
        <v>872</v>
      </c>
      <c r="D274" s="229">
        <v>10</v>
      </c>
      <c r="E274" s="230"/>
      <c r="F274" s="231"/>
      <c r="G274" s="229">
        <f t="shared" si="58"/>
        <v>1000</v>
      </c>
      <c r="H274" s="229"/>
      <c r="I274" s="229"/>
    </row>
    <row r="275" spans="2:9" x14ac:dyDescent="0.3">
      <c r="C275" s="233" t="s">
        <v>550</v>
      </c>
      <c r="D275" s="230">
        <v>5</v>
      </c>
      <c r="E275" s="230"/>
      <c r="F275" s="231"/>
      <c r="G275" s="229">
        <f t="shared" si="58"/>
        <v>500</v>
      </c>
      <c r="H275" s="229"/>
      <c r="I275" s="229"/>
    </row>
    <row r="276" spans="2:9" x14ac:dyDescent="0.3">
      <c r="C276" s="233" t="s">
        <v>646</v>
      </c>
      <c r="D276" s="230">
        <v>2.5</v>
      </c>
      <c r="E276" s="230"/>
      <c r="F276" s="231"/>
      <c r="G276" s="229">
        <f t="shared" si="58"/>
        <v>250</v>
      </c>
      <c r="H276" s="229"/>
      <c r="I276" s="229"/>
    </row>
    <row r="277" spans="2:9" x14ac:dyDescent="0.3">
      <c r="C277" s="233" t="s">
        <v>51</v>
      </c>
      <c r="D277" s="230">
        <v>1</v>
      </c>
      <c r="E277" s="230"/>
      <c r="F277" s="231"/>
      <c r="G277" s="229">
        <f t="shared" si="58"/>
        <v>100</v>
      </c>
      <c r="H277" s="229"/>
      <c r="I277" s="229"/>
    </row>
    <row r="278" spans="2:9" x14ac:dyDescent="0.3">
      <c r="C278" s="235"/>
      <c r="D278" s="253">
        <f>SUM(D269:D277)</f>
        <v>999.5</v>
      </c>
      <c r="E278" s="254"/>
      <c r="F278" s="255">
        <f>SUM(F269:F277)</f>
        <v>0</v>
      </c>
      <c r="G278" s="253">
        <f>SUM(G269:G277)</f>
        <v>99950</v>
      </c>
      <c r="H278" s="258">
        <f>SUM(H269:H277)</f>
        <v>0</v>
      </c>
      <c r="I278" s="258">
        <f>SUM(I269:I277)</f>
        <v>0</v>
      </c>
    </row>
    <row r="281" spans="2:9" ht="23.4" x14ac:dyDescent="0.45">
      <c r="C281" s="221" t="s">
        <v>906</v>
      </c>
      <c r="D281" s="222"/>
      <c r="E281" s="222"/>
      <c r="F281" s="222"/>
      <c r="G281" s="222"/>
      <c r="H281" s="222"/>
      <c r="I281" s="222"/>
    </row>
    <row r="282" spans="2:9" ht="62.4" x14ac:dyDescent="0.3">
      <c r="B282" s="224">
        <v>11</v>
      </c>
      <c r="C282" s="225" t="s">
        <v>0</v>
      </c>
      <c r="D282" s="226" t="s">
        <v>1</v>
      </c>
      <c r="E282" s="226" t="s">
        <v>2</v>
      </c>
      <c r="F282" s="226" t="s">
        <v>819</v>
      </c>
      <c r="G282" s="226" t="s">
        <v>407</v>
      </c>
      <c r="H282" s="226" t="s">
        <v>126</v>
      </c>
      <c r="I282" s="226" t="s">
        <v>408</v>
      </c>
    </row>
    <row r="283" spans="2:9" ht="15.6" x14ac:dyDescent="0.3">
      <c r="C283" s="289" t="s">
        <v>16</v>
      </c>
      <c r="D283" s="229">
        <v>806</v>
      </c>
      <c r="E283" s="230"/>
      <c r="F283" s="231">
        <f>(E283/1000)*D283</f>
        <v>0</v>
      </c>
      <c r="G283" s="229"/>
      <c r="H283" s="229"/>
      <c r="I283" s="229"/>
    </row>
    <row r="284" spans="2:9" ht="15.6" x14ac:dyDescent="0.3">
      <c r="C284" s="289" t="s">
        <v>667</v>
      </c>
      <c r="D284" s="229">
        <v>70</v>
      </c>
      <c r="E284" s="230"/>
      <c r="F284" s="231"/>
      <c r="G284" s="229"/>
      <c r="H284" s="229"/>
      <c r="I284" s="229"/>
    </row>
    <row r="285" spans="2:9" ht="15.6" x14ac:dyDescent="0.3">
      <c r="C285" s="289" t="s">
        <v>372</v>
      </c>
      <c r="D285" s="229">
        <v>70</v>
      </c>
      <c r="E285" s="230"/>
      <c r="F285" s="231"/>
      <c r="G285" s="229"/>
      <c r="H285" s="229"/>
      <c r="I285" s="229"/>
    </row>
    <row r="286" spans="2:9" ht="15.6" x14ac:dyDescent="0.3">
      <c r="C286" s="289" t="s">
        <v>907</v>
      </c>
      <c r="D286" s="229">
        <v>3</v>
      </c>
      <c r="E286" s="230"/>
      <c r="F286" s="231"/>
      <c r="G286" s="229"/>
      <c r="H286" s="229"/>
      <c r="I286" s="229"/>
    </row>
    <row r="287" spans="2:9" ht="15.6" x14ac:dyDescent="0.3">
      <c r="C287" s="289" t="s">
        <v>212</v>
      </c>
      <c r="D287" s="229">
        <v>40</v>
      </c>
      <c r="E287" s="230"/>
      <c r="F287" s="231"/>
      <c r="G287" s="229"/>
      <c r="H287" s="229"/>
      <c r="I287" s="229"/>
    </row>
    <row r="288" spans="2:9" ht="15.6" x14ac:dyDescent="0.3">
      <c r="C288" s="289" t="s">
        <v>19</v>
      </c>
      <c r="D288" s="229">
        <v>10</v>
      </c>
      <c r="E288" s="230"/>
      <c r="F288" s="231"/>
      <c r="G288" s="229"/>
      <c r="H288" s="229"/>
      <c r="I288" s="229"/>
    </row>
    <row r="289" spans="2:9" ht="15.6" x14ac:dyDescent="0.3">
      <c r="C289" s="289" t="s">
        <v>60</v>
      </c>
      <c r="D289" s="230">
        <v>2.5</v>
      </c>
      <c r="E289" s="230"/>
      <c r="F289" s="231"/>
      <c r="G289" s="229"/>
      <c r="H289" s="229"/>
      <c r="I289" s="229"/>
    </row>
    <row r="290" spans="2:9" x14ac:dyDescent="0.3">
      <c r="C290" s="235"/>
      <c r="D290" s="253">
        <f>SUM(D283:D289)</f>
        <v>1001.5</v>
      </c>
      <c r="E290" s="254"/>
      <c r="F290" s="255">
        <f>SUM(F283:F289)</f>
        <v>0</v>
      </c>
      <c r="G290" s="253">
        <f>SUM(G283:G289)</f>
        <v>0</v>
      </c>
      <c r="H290" s="258">
        <f>SUM(H283:H289)</f>
        <v>0</v>
      </c>
      <c r="I290" s="258">
        <f>SUM(I283:I289)</f>
        <v>0</v>
      </c>
    </row>
    <row r="293" spans="2:9" ht="23.4" x14ac:dyDescent="0.45">
      <c r="C293" s="266" t="s">
        <v>908</v>
      </c>
      <c r="D293" s="222"/>
      <c r="E293" s="222"/>
      <c r="F293" s="222"/>
      <c r="G293" s="222"/>
      <c r="H293" s="222"/>
      <c r="I293" s="222"/>
    </row>
    <row r="294" spans="2:9" ht="62.4" x14ac:dyDescent="0.3">
      <c r="B294" s="224">
        <v>11</v>
      </c>
      <c r="C294" s="225" t="s">
        <v>0</v>
      </c>
      <c r="D294" s="226" t="s">
        <v>1</v>
      </c>
      <c r="E294" s="226" t="s">
        <v>2</v>
      </c>
      <c r="F294" s="226" t="s">
        <v>819</v>
      </c>
      <c r="G294" s="226" t="s">
        <v>407</v>
      </c>
      <c r="H294" s="226" t="s">
        <v>126</v>
      </c>
      <c r="I294" s="226" t="s">
        <v>408</v>
      </c>
    </row>
    <row r="295" spans="2:9" ht="15.6" x14ac:dyDescent="0.3">
      <c r="C295" s="289" t="s">
        <v>16</v>
      </c>
      <c r="D295" s="229">
        <v>755</v>
      </c>
      <c r="E295" s="230"/>
      <c r="F295" s="231">
        <f>(E295/1000)*D295</f>
        <v>0</v>
      </c>
      <c r="G295" s="229"/>
      <c r="H295" s="229"/>
      <c r="I295" s="229"/>
    </row>
    <row r="296" spans="2:9" ht="15.6" x14ac:dyDescent="0.3">
      <c r="C296" s="289" t="s">
        <v>19</v>
      </c>
      <c r="D296" s="229">
        <v>70</v>
      </c>
      <c r="E296" s="230"/>
      <c r="F296" s="231"/>
      <c r="G296" s="229"/>
      <c r="H296" s="229"/>
      <c r="I296" s="229"/>
    </row>
    <row r="297" spans="2:9" ht="15.6" x14ac:dyDescent="0.3">
      <c r="C297" s="289" t="s">
        <v>9</v>
      </c>
      <c r="D297" s="229">
        <v>70</v>
      </c>
      <c r="E297" s="230"/>
      <c r="F297" s="231"/>
      <c r="G297" s="229"/>
      <c r="H297" s="229"/>
      <c r="I297" s="229"/>
    </row>
    <row r="298" spans="2:9" ht="15.6" x14ac:dyDescent="0.3">
      <c r="C298" s="289" t="s">
        <v>372</v>
      </c>
      <c r="D298" s="229">
        <v>30</v>
      </c>
      <c r="E298" s="230"/>
      <c r="F298" s="231"/>
      <c r="G298" s="229"/>
      <c r="H298" s="229"/>
      <c r="I298" s="229"/>
    </row>
    <row r="299" spans="2:9" ht="15.6" x14ac:dyDescent="0.3">
      <c r="C299" s="289" t="s">
        <v>67</v>
      </c>
      <c r="D299" s="229">
        <v>20</v>
      </c>
      <c r="E299" s="230"/>
      <c r="F299" s="231"/>
      <c r="G299" s="229"/>
      <c r="H299" s="229"/>
      <c r="I299" s="229"/>
    </row>
    <row r="300" spans="2:9" ht="15.6" x14ac:dyDescent="0.3">
      <c r="C300" s="289" t="s">
        <v>404</v>
      </c>
      <c r="D300" s="229">
        <v>10</v>
      </c>
      <c r="E300" s="230"/>
      <c r="F300" s="231"/>
      <c r="G300" s="229"/>
      <c r="H300" s="229"/>
      <c r="I300" s="229"/>
    </row>
    <row r="301" spans="2:9" ht="15.6" x14ac:dyDescent="0.3">
      <c r="C301" s="289" t="s">
        <v>909</v>
      </c>
      <c r="D301" s="229">
        <v>10</v>
      </c>
      <c r="E301" s="230"/>
      <c r="F301" s="231"/>
      <c r="G301" s="229"/>
      <c r="H301" s="229"/>
      <c r="I301" s="229"/>
    </row>
    <row r="302" spans="2:9" ht="15.6" x14ac:dyDescent="0.3">
      <c r="C302" s="289" t="s">
        <v>252</v>
      </c>
      <c r="D302" s="229">
        <v>20</v>
      </c>
      <c r="E302" s="230"/>
      <c r="F302" s="231"/>
      <c r="G302" s="229"/>
      <c r="H302" s="229"/>
      <c r="I302" s="229"/>
    </row>
    <row r="303" spans="2:9" ht="15.6" x14ac:dyDescent="0.3">
      <c r="C303" s="289" t="s">
        <v>240</v>
      </c>
      <c r="D303" s="230">
        <v>10</v>
      </c>
      <c r="E303" s="230"/>
      <c r="F303" s="231"/>
      <c r="G303" s="229"/>
      <c r="H303" s="229"/>
      <c r="I303" s="229"/>
    </row>
    <row r="304" spans="2:9" ht="15.6" x14ac:dyDescent="0.3">
      <c r="C304" s="289" t="s">
        <v>646</v>
      </c>
      <c r="D304" s="301">
        <v>2.5</v>
      </c>
      <c r="E304" s="297"/>
      <c r="F304" s="298"/>
      <c r="G304" s="296"/>
      <c r="H304" s="299"/>
      <c r="I304" s="299"/>
    </row>
    <row r="305" spans="2:10" x14ac:dyDescent="0.3">
      <c r="C305" s="235"/>
      <c r="D305" s="253">
        <f>SUM(D295:D304)</f>
        <v>997.5</v>
      </c>
      <c r="E305" s="254"/>
      <c r="F305" s="255">
        <f t="shared" ref="F305:I305" si="59">SUM(F295:F303)</f>
        <v>0</v>
      </c>
      <c r="G305" s="253">
        <f t="shared" si="59"/>
        <v>0</v>
      </c>
      <c r="H305" s="258">
        <f t="shared" si="59"/>
        <v>0</v>
      </c>
      <c r="I305" s="258">
        <f t="shared" si="59"/>
        <v>0</v>
      </c>
    </row>
    <row r="308" spans="2:10" ht="23.4" x14ac:dyDescent="0.45">
      <c r="C308" s="221" t="s">
        <v>931</v>
      </c>
      <c r="D308" s="222"/>
      <c r="E308" s="222"/>
      <c r="F308" s="222"/>
      <c r="G308" s="222"/>
      <c r="H308" s="222"/>
      <c r="I308" s="222"/>
      <c r="J308" s="223"/>
    </row>
    <row r="309" spans="2:10" ht="62.4" x14ac:dyDescent="0.3">
      <c r="B309" s="224">
        <v>12</v>
      </c>
      <c r="C309" s="225" t="s">
        <v>0</v>
      </c>
      <c r="D309" s="226" t="s">
        <v>135</v>
      </c>
      <c r="E309" s="226" t="s">
        <v>926</v>
      </c>
      <c r="F309" s="226" t="s">
        <v>819</v>
      </c>
      <c r="G309" s="226"/>
      <c r="H309" s="226" t="s">
        <v>126</v>
      </c>
      <c r="I309" s="226" t="s">
        <v>408</v>
      </c>
      <c r="J309" s="227"/>
    </row>
    <row r="310" spans="2:10" x14ac:dyDescent="0.3">
      <c r="C310" s="228" t="s">
        <v>932</v>
      </c>
      <c r="D310" s="229">
        <v>588</v>
      </c>
      <c r="E310" s="230"/>
      <c r="F310" s="231">
        <f>(E310/1000)*D310</f>
        <v>0</v>
      </c>
      <c r="G310" s="229"/>
      <c r="H310" s="229"/>
      <c r="I310" s="229"/>
      <c r="J310" s="232" t="s">
        <v>7</v>
      </c>
    </row>
    <row r="311" spans="2:10" x14ac:dyDescent="0.3">
      <c r="C311" s="228" t="s">
        <v>78</v>
      </c>
      <c r="D311" s="229">
        <v>200</v>
      </c>
      <c r="E311" s="230"/>
      <c r="F311" s="231"/>
      <c r="G311" s="229"/>
      <c r="H311" s="229"/>
      <c r="I311" s="229"/>
      <c r="J311" s="232"/>
    </row>
    <row r="312" spans="2:10" x14ac:dyDescent="0.3">
      <c r="C312" s="228" t="s">
        <v>933</v>
      </c>
      <c r="D312" s="229">
        <v>100</v>
      </c>
      <c r="E312" s="230"/>
      <c r="F312" s="231"/>
      <c r="G312" s="229"/>
      <c r="H312" s="229"/>
      <c r="I312" s="229"/>
      <c r="J312" s="232"/>
    </row>
    <row r="313" spans="2:10" x14ac:dyDescent="0.3">
      <c r="C313" s="228" t="s">
        <v>239</v>
      </c>
      <c r="D313" s="229">
        <v>60</v>
      </c>
      <c r="E313" s="230"/>
      <c r="F313" s="231"/>
      <c r="G313" s="229"/>
      <c r="H313" s="229"/>
      <c r="I313" s="229"/>
      <c r="J313" s="232"/>
    </row>
    <row r="314" spans="2:10" x14ac:dyDescent="0.3">
      <c r="C314" s="228" t="s">
        <v>506</v>
      </c>
      <c r="D314" s="229">
        <v>50</v>
      </c>
      <c r="E314" s="230"/>
      <c r="F314" s="231"/>
      <c r="G314" s="229"/>
      <c r="H314" s="229"/>
      <c r="I314" s="229"/>
      <c r="J314" s="232"/>
    </row>
    <row r="315" spans="2:10" x14ac:dyDescent="0.3">
      <c r="C315" s="228" t="s">
        <v>484</v>
      </c>
      <c r="D315" s="229">
        <v>2</v>
      </c>
      <c r="E315" s="230"/>
      <c r="F315" s="231"/>
      <c r="G315" s="229"/>
      <c r="H315" s="229"/>
      <c r="I315" s="229"/>
      <c r="J315" s="232"/>
    </row>
    <row r="316" spans="2:10" x14ac:dyDescent="0.3">
      <c r="C316" s="235"/>
      <c r="D316" s="253">
        <f>SUM(D310:D315)</f>
        <v>1000</v>
      </c>
      <c r="E316" s="254"/>
      <c r="F316" s="255">
        <f>SUM(F310:F315)</f>
        <v>0</v>
      </c>
      <c r="G316" s="253">
        <f>SUM(G310:G315)</f>
        <v>0</v>
      </c>
      <c r="H316" s="258">
        <f>SUM(H310:H315)</f>
        <v>0</v>
      </c>
      <c r="I316" s="258">
        <f>SUM(I310:I315)</f>
        <v>0</v>
      </c>
      <c r="J316" s="257"/>
    </row>
    <row r="319" spans="2:10" ht="23.4" x14ac:dyDescent="0.45">
      <c r="C319" s="221" t="s">
        <v>961</v>
      </c>
      <c r="D319" s="222"/>
      <c r="E319" s="222"/>
      <c r="F319" s="222"/>
      <c r="G319" s="222"/>
      <c r="H319" s="222"/>
      <c r="I319" s="222"/>
      <c r="J319" s="223"/>
    </row>
    <row r="320" spans="2:10" ht="62.4" x14ac:dyDescent="0.3">
      <c r="B320" s="224">
        <v>16</v>
      </c>
      <c r="C320" s="225" t="s">
        <v>0</v>
      </c>
      <c r="D320" s="226" t="s">
        <v>135</v>
      </c>
      <c r="E320" s="226" t="s">
        <v>926</v>
      </c>
      <c r="F320" s="226" t="s">
        <v>819</v>
      </c>
      <c r="G320" s="226"/>
      <c r="H320" s="226" t="s">
        <v>126</v>
      </c>
      <c r="I320" s="226" t="s">
        <v>408</v>
      </c>
      <c r="J320" s="227"/>
    </row>
    <row r="321" spans="2:10" x14ac:dyDescent="0.3">
      <c r="C321" s="228" t="s">
        <v>173</v>
      </c>
      <c r="D321" s="229">
        <v>868</v>
      </c>
      <c r="E321" s="230"/>
      <c r="F321" s="231">
        <f>(E321/1000)*D321</f>
        <v>0</v>
      </c>
      <c r="G321" s="229"/>
      <c r="H321" s="229"/>
      <c r="I321" s="229"/>
      <c r="J321" s="232" t="s">
        <v>7</v>
      </c>
    </row>
    <row r="322" spans="2:10" x14ac:dyDescent="0.3">
      <c r="C322" s="228" t="s">
        <v>567</v>
      </c>
      <c r="D322" s="229">
        <v>20</v>
      </c>
      <c r="E322" s="230"/>
      <c r="F322" s="231"/>
      <c r="G322" s="229"/>
      <c r="H322" s="229"/>
      <c r="I322" s="229"/>
      <c r="J322" s="232"/>
    </row>
    <row r="323" spans="2:10" x14ac:dyDescent="0.3">
      <c r="C323" s="228" t="s">
        <v>19</v>
      </c>
      <c r="D323" s="229">
        <v>30</v>
      </c>
      <c r="E323" s="230"/>
      <c r="F323" s="231"/>
      <c r="G323" s="229"/>
      <c r="H323" s="229"/>
      <c r="I323" s="229"/>
      <c r="J323" s="232"/>
    </row>
    <row r="324" spans="2:10" x14ac:dyDescent="0.3">
      <c r="C324" s="228" t="s">
        <v>52</v>
      </c>
      <c r="D324" s="229">
        <v>20</v>
      </c>
      <c r="E324" s="230"/>
      <c r="F324" s="231"/>
      <c r="G324" s="229"/>
      <c r="H324" s="229"/>
      <c r="I324" s="229"/>
      <c r="J324" s="232"/>
    </row>
    <row r="325" spans="2:10" x14ac:dyDescent="0.3">
      <c r="C325" s="228" t="s">
        <v>551</v>
      </c>
      <c r="D325" s="229">
        <v>20</v>
      </c>
      <c r="E325" s="230"/>
      <c r="F325" s="231"/>
      <c r="G325" s="229"/>
      <c r="H325" s="229"/>
      <c r="I325" s="229"/>
      <c r="J325" s="232"/>
    </row>
    <row r="326" spans="2:10" x14ac:dyDescent="0.3">
      <c r="C326" s="228" t="s">
        <v>962</v>
      </c>
      <c r="D326" s="229">
        <v>20</v>
      </c>
      <c r="E326" s="230"/>
      <c r="F326" s="231"/>
      <c r="G326" s="229"/>
      <c r="H326" s="229"/>
      <c r="I326" s="229"/>
      <c r="J326" s="232"/>
    </row>
    <row r="327" spans="2:10" x14ac:dyDescent="0.3">
      <c r="C327" s="228" t="s">
        <v>872</v>
      </c>
      <c r="D327" s="229">
        <v>20</v>
      </c>
      <c r="E327" s="230"/>
      <c r="F327" s="231"/>
      <c r="G327" s="229"/>
      <c r="H327" s="229"/>
      <c r="I327" s="229"/>
      <c r="J327" s="232"/>
    </row>
    <row r="328" spans="2:10" x14ac:dyDescent="0.3">
      <c r="C328" s="228" t="s">
        <v>963</v>
      </c>
      <c r="D328" s="229">
        <v>1</v>
      </c>
      <c r="E328" s="230"/>
      <c r="F328" s="231"/>
      <c r="G328" s="229"/>
      <c r="H328" s="229"/>
      <c r="I328" s="229"/>
      <c r="J328" s="232"/>
    </row>
    <row r="329" spans="2:10" x14ac:dyDescent="0.3">
      <c r="C329" s="228" t="s">
        <v>60</v>
      </c>
      <c r="D329" s="229">
        <v>2.5</v>
      </c>
      <c r="E329" s="230"/>
      <c r="F329" s="231"/>
      <c r="G329" s="229"/>
      <c r="H329" s="229"/>
      <c r="I329" s="229"/>
      <c r="J329" s="232"/>
    </row>
    <row r="330" spans="2:10" x14ac:dyDescent="0.3">
      <c r="C330" s="228" t="s">
        <v>174</v>
      </c>
      <c r="D330" s="230">
        <v>0.3</v>
      </c>
      <c r="E330" s="230"/>
      <c r="F330" s="231"/>
      <c r="G330" s="229"/>
      <c r="H330" s="229"/>
      <c r="I330" s="229"/>
      <c r="J330" s="232"/>
    </row>
    <row r="331" spans="2:10" x14ac:dyDescent="0.3">
      <c r="C331" s="235"/>
      <c r="D331" s="253">
        <f>SUM(D321:D330)</f>
        <v>1001.8</v>
      </c>
      <c r="E331" s="254"/>
      <c r="F331" s="255">
        <f>SUM(F321:F330)</f>
        <v>0</v>
      </c>
      <c r="G331" s="253">
        <f>SUM(G321:G330)</f>
        <v>0</v>
      </c>
      <c r="H331" s="258">
        <f>SUM(H321:H330)</f>
        <v>0</v>
      </c>
      <c r="I331" s="258">
        <f>SUM(I321:I330)</f>
        <v>0</v>
      </c>
      <c r="J331" s="257"/>
    </row>
    <row r="333" spans="2:10" ht="23.4" x14ac:dyDescent="0.45">
      <c r="C333" s="221" t="s">
        <v>969</v>
      </c>
      <c r="D333" s="222"/>
      <c r="E333" s="222"/>
      <c r="F333" s="222"/>
      <c r="G333" s="222"/>
      <c r="H333" s="222"/>
      <c r="I333" s="222"/>
      <c r="J333" s="223"/>
    </row>
    <row r="334" spans="2:10" ht="62.4" x14ac:dyDescent="0.3">
      <c r="B334" s="224">
        <v>16</v>
      </c>
      <c r="C334" s="225" t="s">
        <v>0</v>
      </c>
      <c r="D334" s="226" t="s">
        <v>135</v>
      </c>
      <c r="E334" s="226" t="s">
        <v>926</v>
      </c>
      <c r="F334" s="226" t="s">
        <v>819</v>
      </c>
      <c r="G334" s="226"/>
      <c r="H334" s="226" t="s">
        <v>126</v>
      </c>
      <c r="I334" s="226" t="s">
        <v>408</v>
      </c>
      <c r="J334" s="227"/>
    </row>
    <row r="335" spans="2:10" x14ac:dyDescent="0.3">
      <c r="C335" s="228" t="s">
        <v>212</v>
      </c>
      <c r="D335" s="229">
        <v>80</v>
      </c>
      <c r="E335" s="230"/>
      <c r="F335" s="231">
        <f>(E335/1000)*D335</f>
        <v>0</v>
      </c>
      <c r="G335" s="229"/>
      <c r="H335" s="229"/>
      <c r="I335" s="229"/>
      <c r="J335" s="232" t="s">
        <v>7</v>
      </c>
    </row>
    <row r="336" spans="2:10" x14ac:dyDescent="0.3">
      <c r="C336" s="228" t="s">
        <v>133</v>
      </c>
      <c r="D336" s="229">
        <v>700</v>
      </c>
      <c r="E336" s="230"/>
      <c r="F336" s="231"/>
      <c r="G336" s="229"/>
      <c r="H336" s="229"/>
      <c r="I336" s="229"/>
      <c r="J336" s="232"/>
    </row>
    <row r="337" spans="2:10" x14ac:dyDescent="0.3">
      <c r="C337" s="228" t="s">
        <v>9</v>
      </c>
      <c r="D337" s="229">
        <v>200</v>
      </c>
      <c r="E337" s="230"/>
      <c r="F337" s="231"/>
      <c r="G337" s="229"/>
      <c r="H337" s="229"/>
      <c r="I337" s="229"/>
      <c r="J337" s="232"/>
    </row>
    <row r="338" spans="2:10" x14ac:dyDescent="0.3">
      <c r="C338" s="228" t="s">
        <v>173</v>
      </c>
      <c r="D338" s="229">
        <v>15</v>
      </c>
      <c r="E338" s="230"/>
      <c r="F338" s="231"/>
      <c r="G338" s="229"/>
      <c r="H338" s="229"/>
      <c r="I338" s="229"/>
      <c r="J338" s="232"/>
    </row>
    <row r="339" spans="2:10" x14ac:dyDescent="0.3">
      <c r="C339" s="228" t="s">
        <v>166</v>
      </c>
      <c r="D339" s="229">
        <v>5</v>
      </c>
      <c r="E339" s="230"/>
      <c r="F339" s="231"/>
      <c r="G339" s="229"/>
      <c r="H339" s="229"/>
      <c r="I339" s="229"/>
      <c r="J339" s="232"/>
    </row>
    <row r="340" spans="2:10" x14ac:dyDescent="0.3">
      <c r="C340" s="235"/>
      <c r="D340" s="253">
        <f>SUM(D335:D339)</f>
        <v>1000</v>
      </c>
      <c r="E340" s="254"/>
      <c r="F340" s="255">
        <f>SUM(F335:F339)</f>
        <v>0</v>
      </c>
      <c r="G340" s="253">
        <f>SUM(G335:G339)</f>
        <v>0</v>
      </c>
      <c r="H340" s="258">
        <f>SUM(H335:H339)</f>
        <v>0</v>
      </c>
      <c r="I340" s="258">
        <f>SUM(I335:I339)</f>
        <v>0</v>
      </c>
      <c r="J340" s="257"/>
    </row>
    <row r="343" spans="2:10" ht="23.4" x14ac:dyDescent="0.45">
      <c r="C343" s="221" t="s">
        <v>598</v>
      </c>
      <c r="D343" s="222"/>
      <c r="E343" s="222"/>
      <c r="F343" s="222"/>
      <c r="G343" s="222"/>
      <c r="H343" s="222"/>
      <c r="I343" s="222"/>
      <c r="J343" s="223"/>
    </row>
    <row r="344" spans="2:10" ht="62.4" x14ac:dyDescent="0.3">
      <c r="B344" s="224">
        <v>12</v>
      </c>
      <c r="C344" s="225" t="s">
        <v>0</v>
      </c>
      <c r="D344" s="226" t="s">
        <v>135</v>
      </c>
      <c r="E344" s="226" t="s">
        <v>926</v>
      </c>
      <c r="F344" s="226" t="s">
        <v>819</v>
      </c>
      <c r="G344" s="226"/>
      <c r="H344" s="226" t="s">
        <v>126</v>
      </c>
      <c r="I344" s="226" t="s">
        <v>408</v>
      </c>
      <c r="J344" s="227"/>
    </row>
    <row r="345" spans="2:10" x14ac:dyDescent="0.3">
      <c r="C345" s="228" t="s">
        <v>141</v>
      </c>
      <c r="D345" s="229">
        <v>50</v>
      </c>
      <c r="E345" s="230"/>
      <c r="F345" s="231">
        <f>(E345/1000)*D345</f>
        <v>0</v>
      </c>
      <c r="G345" s="229"/>
      <c r="H345" s="229"/>
      <c r="I345" s="229"/>
      <c r="J345" s="232" t="s">
        <v>7</v>
      </c>
    </row>
    <row r="346" spans="2:10" x14ac:dyDescent="0.3">
      <c r="C346" s="228" t="s">
        <v>16</v>
      </c>
      <c r="D346" s="229">
        <v>205</v>
      </c>
      <c r="E346" s="230"/>
      <c r="F346" s="231"/>
      <c r="G346" s="229"/>
      <c r="H346" s="229"/>
      <c r="I346" s="229"/>
      <c r="J346" s="232"/>
    </row>
    <row r="347" spans="2:10" x14ac:dyDescent="0.3">
      <c r="C347" s="228" t="s">
        <v>142</v>
      </c>
      <c r="D347" s="229">
        <v>5</v>
      </c>
      <c r="E347" s="230"/>
      <c r="F347" s="231"/>
      <c r="G347" s="229"/>
      <c r="H347" s="229"/>
      <c r="I347" s="229"/>
      <c r="J347" s="232"/>
    </row>
    <row r="348" spans="2:10" x14ac:dyDescent="0.3">
      <c r="C348" s="228" t="s">
        <v>59</v>
      </c>
      <c r="D348" s="229">
        <v>34</v>
      </c>
      <c r="E348" s="230"/>
      <c r="F348" s="231"/>
      <c r="G348" s="229"/>
      <c r="H348" s="229"/>
      <c r="I348" s="229"/>
      <c r="J348" s="232"/>
    </row>
    <row r="349" spans="2:10" x14ac:dyDescent="0.3">
      <c r="C349" s="228" t="s">
        <v>143</v>
      </c>
      <c r="D349" s="229">
        <v>706</v>
      </c>
      <c r="E349" s="230"/>
      <c r="F349" s="231"/>
      <c r="G349" s="229"/>
      <c r="H349" s="229"/>
      <c r="I349" s="229"/>
      <c r="J349" s="232"/>
    </row>
    <row r="350" spans="2:10" x14ac:dyDescent="0.3">
      <c r="C350" s="235"/>
      <c r="D350" s="253">
        <f>SUM(D345:D349)</f>
        <v>1000</v>
      </c>
      <c r="E350" s="254"/>
      <c r="F350" s="255">
        <f>SUM(F345:F349)</f>
        <v>0</v>
      </c>
      <c r="G350" s="253">
        <f>SUM(G345:G349)</f>
        <v>0</v>
      </c>
      <c r="H350" s="258">
        <f>SUM(H345:H349)</f>
        <v>0</v>
      </c>
      <c r="I350" s="258">
        <f>SUM(I345:I349)</f>
        <v>0</v>
      </c>
      <c r="J350" s="257"/>
    </row>
  </sheetData>
  <mergeCells count="31">
    <mergeCell ref="C333:J333"/>
    <mergeCell ref="C343:J343"/>
    <mergeCell ref="C267:I267"/>
    <mergeCell ref="C281:I281"/>
    <mergeCell ref="C293:I293"/>
    <mergeCell ref="C308:J308"/>
    <mergeCell ref="C319:J319"/>
    <mergeCell ref="C209:J209"/>
    <mergeCell ref="C221:I221"/>
    <mergeCell ref="C233:I233"/>
    <mergeCell ref="C250:I250"/>
    <mergeCell ref="B68:B72"/>
    <mergeCell ref="B73:B76"/>
    <mergeCell ref="B77:B80"/>
    <mergeCell ref="C180:J180"/>
    <mergeCell ref="C196:J196"/>
    <mergeCell ref="C169:J169"/>
    <mergeCell ref="C148:J148"/>
    <mergeCell ref="C133:J133"/>
    <mergeCell ref="C3:J3"/>
    <mergeCell ref="C15:J15"/>
    <mergeCell ref="C25:J25"/>
    <mergeCell ref="C33:J33"/>
    <mergeCell ref="C45:J45"/>
    <mergeCell ref="C55:J55"/>
    <mergeCell ref="C85:J85"/>
    <mergeCell ref="C66:J66"/>
    <mergeCell ref="C116:J116"/>
    <mergeCell ref="C130:J131"/>
    <mergeCell ref="C100:J100"/>
    <mergeCell ref="C96:J9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13FB-5E06-477F-9066-70C0587F55C5}">
  <dimension ref="B3:J319"/>
  <sheetViews>
    <sheetView topLeftCell="A294" zoomScale="72" zoomScaleNormal="72" workbookViewId="0">
      <selection activeCell="L185" sqref="L185"/>
    </sheetView>
  </sheetViews>
  <sheetFormatPr baseColWidth="10" defaultRowHeight="14.4" x14ac:dyDescent="0.3"/>
  <cols>
    <col min="3" max="3" width="28.44140625" customWidth="1"/>
    <col min="4" max="4" width="11.109375" bestFit="1" customWidth="1"/>
    <col min="5" max="5" width="10.33203125" hidden="1" customWidth="1"/>
    <col min="6" max="6" width="11.44140625" hidden="1" customWidth="1"/>
    <col min="7" max="7" width="16.6640625" bestFit="1" customWidth="1"/>
    <col min="8" max="8" width="14" hidden="1" customWidth="1"/>
    <col min="9" max="9" width="15" customWidth="1"/>
    <col min="10" max="10" width="16" customWidth="1"/>
  </cols>
  <sheetData>
    <row r="3" spans="2:10" ht="23.4" x14ac:dyDescent="0.45">
      <c r="C3" s="172" t="s">
        <v>63</v>
      </c>
      <c r="D3" s="173"/>
      <c r="E3" s="173"/>
      <c r="F3" s="173"/>
      <c r="G3" s="173"/>
      <c r="H3" s="173"/>
      <c r="I3" s="173"/>
      <c r="J3" s="174"/>
    </row>
    <row r="4" spans="2:10" ht="62.4" x14ac:dyDescent="0.3">
      <c r="B4" s="1">
        <v>1</v>
      </c>
      <c r="C4" s="36" t="s">
        <v>0</v>
      </c>
      <c r="D4" s="4" t="s">
        <v>1</v>
      </c>
      <c r="E4" s="4" t="s">
        <v>2</v>
      </c>
      <c r="F4" s="4" t="s">
        <v>14</v>
      </c>
      <c r="G4" s="4" t="s">
        <v>87</v>
      </c>
      <c r="H4" s="4" t="s">
        <v>65</v>
      </c>
      <c r="I4" s="4" t="s">
        <v>66</v>
      </c>
      <c r="J4" s="4"/>
    </row>
    <row r="5" spans="2:10" x14ac:dyDescent="0.3">
      <c r="B5" s="35">
        <v>2</v>
      </c>
      <c r="C5" s="5" t="s">
        <v>67</v>
      </c>
      <c r="D5" s="6">
        <v>70</v>
      </c>
      <c r="E5" s="37">
        <v>16</v>
      </c>
      <c r="F5" s="8">
        <f t="shared" ref="F5:F11" si="0">(E5/1000)*D5</f>
        <v>1.1200000000000001</v>
      </c>
      <c r="G5" s="6">
        <f>(D5*100)</f>
        <v>7000</v>
      </c>
      <c r="H5" s="38">
        <f t="shared" ref="H5:H9" si="1">(E5/1000)*G5</f>
        <v>112</v>
      </c>
      <c r="I5" s="6">
        <f>(D5*110)</f>
        <v>7700</v>
      </c>
      <c r="J5" s="5" t="s">
        <v>7</v>
      </c>
    </row>
    <row r="6" spans="2:10" x14ac:dyDescent="0.3">
      <c r="B6" s="35">
        <v>3</v>
      </c>
      <c r="C6" s="5" t="s">
        <v>68</v>
      </c>
      <c r="D6" s="6">
        <v>70</v>
      </c>
      <c r="E6" s="37">
        <v>18</v>
      </c>
      <c r="F6" s="8">
        <f t="shared" si="0"/>
        <v>1.26</v>
      </c>
      <c r="G6" s="6">
        <f t="shared" ref="G6:G11" si="2">(D6*100)</f>
        <v>7000</v>
      </c>
      <c r="H6" s="38">
        <f t="shared" si="1"/>
        <v>125.99999999999999</v>
      </c>
      <c r="I6" s="6">
        <f t="shared" ref="I6:I11" si="3">(D6*110)</f>
        <v>7700</v>
      </c>
      <c r="J6" s="5" t="s">
        <v>7</v>
      </c>
    </row>
    <row r="7" spans="2:10" x14ac:dyDescent="0.3">
      <c r="B7" s="35">
        <v>8</v>
      </c>
      <c r="C7" s="5" t="s">
        <v>69</v>
      </c>
      <c r="D7" s="6">
        <v>15</v>
      </c>
      <c r="E7" s="37">
        <v>18</v>
      </c>
      <c r="F7" s="8">
        <f t="shared" si="0"/>
        <v>0.26999999999999996</v>
      </c>
      <c r="G7" s="6">
        <f t="shared" si="2"/>
        <v>1500</v>
      </c>
      <c r="H7" s="38">
        <f t="shared" si="1"/>
        <v>26.999999999999996</v>
      </c>
      <c r="I7" s="6">
        <f t="shared" si="3"/>
        <v>1650</v>
      </c>
      <c r="J7" s="5" t="s">
        <v>7</v>
      </c>
    </row>
    <row r="8" spans="2:10" x14ac:dyDescent="0.3">
      <c r="B8" s="35">
        <v>7</v>
      </c>
      <c r="C8" s="5" t="s">
        <v>70</v>
      </c>
      <c r="D8" s="6">
        <v>10</v>
      </c>
      <c r="E8" s="37">
        <v>21</v>
      </c>
      <c r="F8" s="8">
        <f t="shared" si="0"/>
        <v>0.21000000000000002</v>
      </c>
      <c r="G8" s="6">
        <f t="shared" si="2"/>
        <v>1000</v>
      </c>
      <c r="H8" s="38">
        <f t="shared" si="1"/>
        <v>21</v>
      </c>
      <c r="I8" s="6">
        <f t="shared" si="3"/>
        <v>1100</v>
      </c>
      <c r="J8" s="5" t="s">
        <v>7</v>
      </c>
    </row>
    <row r="9" spans="2:10" x14ac:dyDescent="0.3">
      <c r="B9" s="35">
        <v>1</v>
      </c>
      <c r="C9" s="5" t="s">
        <v>16</v>
      </c>
      <c r="D9" s="6">
        <v>832</v>
      </c>
      <c r="E9" s="37">
        <v>0.6</v>
      </c>
      <c r="F9" s="8">
        <f t="shared" si="0"/>
        <v>0.49919999999999998</v>
      </c>
      <c r="G9" s="6">
        <f t="shared" si="2"/>
        <v>83200</v>
      </c>
      <c r="H9" s="38">
        <f t="shared" si="1"/>
        <v>49.919999999999995</v>
      </c>
      <c r="I9" s="6">
        <f t="shared" si="3"/>
        <v>91520</v>
      </c>
      <c r="J9" s="5" t="s">
        <v>7</v>
      </c>
    </row>
    <row r="10" spans="2:10" x14ac:dyDescent="0.3">
      <c r="B10" s="35">
        <v>4</v>
      </c>
      <c r="C10" s="5" t="s">
        <v>72</v>
      </c>
      <c r="D10" s="6">
        <v>2</v>
      </c>
      <c r="E10" s="37">
        <v>10</v>
      </c>
      <c r="F10" s="8">
        <f t="shared" si="0"/>
        <v>0.02</v>
      </c>
      <c r="G10" s="6">
        <f t="shared" si="2"/>
        <v>200</v>
      </c>
      <c r="H10" s="38">
        <f>(E10/1000)*G10</f>
        <v>2</v>
      </c>
      <c r="I10" s="6">
        <f t="shared" si="3"/>
        <v>220</v>
      </c>
      <c r="J10" s="5" t="s">
        <v>7</v>
      </c>
    </row>
    <row r="11" spans="2:10" x14ac:dyDescent="0.3">
      <c r="B11" s="35">
        <v>5</v>
      </c>
      <c r="C11" s="5" t="s">
        <v>73</v>
      </c>
      <c r="D11" s="6">
        <v>1</v>
      </c>
      <c r="E11" s="37">
        <v>12</v>
      </c>
      <c r="F11" s="8">
        <f t="shared" si="0"/>
        <v>1.2E-2</v>
      </c>
      <c r="G11" s="6">
        <f t="shared" si="2"/>
        <v>100</v>
      </c>
      <c r="H11" s="38">
        <f>(E11/1000)*G11</f>
        <v>1.2</v>
      </c>
      <c r="I11" s="6">
        <f t="shared" si="3"/>
        <v>110</v>
      </c>
      <c r="J11" s="5" t="s">
        <v>7</v>
      </c>
    </row>
    <row r="12" spans="2:10" x14ac:dyDescent="0.3">
      <c r="D12" s="13">
        <f>SUM(D5:D11)</f>
        <v>1000</v>
      </c>
      <c r="E12" s="14"/>
      <c r="F12" s="15">
        <f>SUM(F5:F11)</f>
        <v>3.3912</v>
      </c>
      <c r="G12" s="13">
        <f>SUM(G5:G11)</f>
        <v>100000</v>
      </c>
      <c r="H12" s="39">
        <f>SUM(H5:H11)</f>
        <v>339.12</v>
      </c>
      <c r="I12" s="13">
        <f>SUM(I5:I11)</f>
        <v>110000</v>
      </c>
      <c r="J12" s="17"/>
    </row>
    <row r="15" spans="2:10" ht="23.4" x14ac:dyDescent="0.45">
      <c r="C15" s="172" t="s">
        <v>74</v>
      </c>
      <c r="D15" s="173"/>
      <c r="E15" s="173"/>
      <c r="F15" s="173"/>
      <c r="G15" s="173"/>
      <c r="H15" s="173"/>
      <c r="I15" s="173"/>
      <c r="J15" s="174"/>
    </row>
    <row r="16" spans="2:10" ht="62.4" x14ac:dyDescent="0.3">
      <c r="B16" s="1">
        <v>2</v>
      </c>
      <c r="C16" s="36" t="s">
        <v>0</v>
      </c>
      <c r="D16" s="4" t="s">
        <v>1</v>
      </c>
      <c r="E16" s="4" t="s">
        <v>2</v>
      </c>
      <c r="F16" s="4" t="s">
        <v>14</v>
      </c>
      <c r="G16" s="4" t="s">
        <v>87</v>
      </c>
      <c r="H16" s="4" t="s">
        <v>75</v>
      </c>
      <c r="I16" s="4" t="s">
        <v>76</v>
      </c>
      <c r="J16" s="4"/>
    </row>
    <row r="17" spans="2:10" x14ac:dyDescent="0.3">
      <c r="B17" s="35">
        <v>2</v>
      </c>
      <c r="C17" s="5" t="s">
        <v>67</v>
      </c>
      <c r="D17" s="6">
        <v>70</v>
      </c>
      <c r="E17" s="37">
        <v>16</v>
      </c>
      <c r="F17" s="8">
        <f t="shared" ref="F17:F24" si="4">(E17/1000)*D17</f>
        <v>1.1200000000000001</v>
      </c>
      <c r="G17" s="6">
        <f>(D17*100)</f>
        <v>7000</v>
      </c>
      <c r="H17" s="38">
        <f t="shared" ref="H17:H22" si="5">(E17/1000)*G17</f>
        <v>112</v>
      </c>
      <c r="I17" s="6">
        <f>(D17*50)</f>
        <v>3500</v>
      </c>
      <c r="J17" s="5" t="s">
        <v>7</v>
      </c>
    </row>
    <row r="18" spans="2:10" x14ac:dyDescent="0.3">
      <c r="B18" s="35">
        <v>3</v>
      </c>
      <c r="C18" s="5" t="s">
        <v>68</v>
      </c>
      <c r="D18" s="6">
        <v>70</v>
      </c>
      <c r="E18" s="37">
        <v>18</v>
      </c>
      <c r="F18" s="8">
        <f t="shared" si="4"/>
        <v>1.26</v>
      </c>
      <c r="G18" s="6">
        <f t="shared" ref="G18:G24" si="6">(D18*100)</f>
        <v>7000</v>
      </c>
      <c r="H18" s="38">
        <f t="shared" si="5"/>
        <v>125.99999999999999</v>
      </c>
      <c r="I18" s="6">
        <f t="shared" ref="I18:I24" si="7">(D18*50)</f>
        <v>3500</v>
      </c>
      <c r="J18" s="5" t="s">
        <v>7</v>
      </c>
    </row>
    <row r="19" spans="2:10" x14ac:dyDescent="0.3">
      <c r="B19" s="35">
        <v>9</v>
      </c>
      <c r="C19" s="5" t="s">
        <v>77</v>
      </c>
      <c r="D19" s="6">
        <v>15</v>
      </c>
      <c r="E19" s="37">
        <v>90</v>
      </c>
      <c r="F19" s="8">
        <f t="shared" si="4"/>
        <v>1.3499999999999999</v>
      </c>
      <c r="G19" s="6">
        <f t="shared" si="6"/>
        <v>1500</v>
      </c>
      <c r="H19" s="38">
        <f t="shared" si="5"/>
        <v>135</v>
      </c>
      <c r="I19" s="6">
        <f t="shared" si="7"/>
        <v>750</v>
      </c>
      <c r="J19" s="5" t="s">
        <v>7</v>
      </c>
    </row>
    <row r="20" spans="2:10" x14ac:dyDescent="0.3">
      <c r="B20" s="35">
        <v>8</v>
      </c>
      <c r="C20" s="5" t="s">
        <v>69</v>
      </c>
      <c r="D20" s="6">
        <v>15</v>
      </c>
      <c r="E20" s="37">
        <v>18</v>
      </c>
      <c r="F20" s="8">
        <f t="shared" si="4"/>
        <v>0.26999999999999996</v>
      </c>
      <c r="G20" s="6">
        <f t="shared" si="6"/>
        <v>1500</v>
      </c>
      <c r="H20" s="38">
        <f t="shared" si="5"/>
        <v>26.999999999999996</v>
      </c>
      <c r="I20" s="6">
        <f t="shared" si="7"/>
        <v>750</v>
      </c>
      <c r="J20" s="5" t="s">
        <v>7</v>
      </c>
    </row>
    <row r="21" spans="2:10" x14ac:dyDescent="0.3">
      <c r="B21" s="35">
        <v>7</v>
      </c>
      <c r="C21" s="5" t="s">
        <v>70</v>
      </c>
      <c r="D21" s="6">
        <v>10</v>
      </c>
      <c r="E21" s="37">
        <v>21</v>
      </c>
      <c r="F21" s="8">
        <f t="shared" si="4"/>
        <v>0.21000000000000002</v>
      </c>
      <c r="G21" s="6">
        <f t="shared" si="6"/>
        <v>1000</v>
      </c>
      <c r="H21" s="38">
        <f t="shared" si="5"/>
        <v>21</v>
      </c>
      <c r="I21" s="6">
        <f t="shared" si="7"/>
        <v>500</v>
      </c>
      <c r="J21" s="5" t="s">
        <v>7</v>
      </c>
    </row>
    <row r="22" spans="2:10" x14ac:dyDescent="0.3">
      <c r="B22" s="35">
        <v>1</v>
      </c>
      <c r="C22" s="5" t="s">
        <v>16</v>
      </c>
      <c r="D22" s="6">
        <v>817</v>
      </c>
      <c r="E22" s="37">
        <v>0.36</v>
      </c>
      <c r="F22" s="8">
        <f t="shared" si="4"/>
        <v>0.29411999999999999</v>
      </c>
      <c r="G22" s="6">
        <f t="shared" si="6"/>
        <v>81700</v>
      </c>
      <c r="H22" s="38">
        <f t="shared" si="5"/>
        <v>29.411999999999999</v>
      </c>
      <c r="I22" s="6">
        <f t="shared" si="7"/>
        <v>40850</v>
      </c>
      <c r="J22" s="5" t="s">
        <v>7</v>
      </c>
    </row>
    <row r="23" spans="2:10" x14ac:dyDescent="0.3">
      <c r="B23" s="35">
        <v>5</v>
      </c>
      <c r="C23" s="5" t="s">
        <v>72</v>
      </c>
      <c r="D23" s="6">
        <v>2</v>
      </c>
      <c r="E23" s="37">
        <v>10</v>
      </c>
      <c r="F23" s="8">
        <f t="shared" si="4"/>
        <v>0.02</v>
      </c>
      <c r="G23" s="6">
        <f t="shared" si="6"/>
        <v>200</v>
      </c>
      <c r="H23" s="38">
        <f>(E23/1000)*G23</f>
        <v>2</v>
      </c>
      <c r="I23" s="6">
        <f t="shared" si="7"/>
        <v>100</v>
      </c>
      <c r="J23" s="5" t="s">
        <v>7</v>
      </c>
    </row>
    <row r="24" spans="2:10" x14ac:dyDescent="0.3">
      <c r="B24" s="35">
        <v>4</v>
      </c>
      <c r="C24" s="5" t="s">
        <v>73</v>
      </c>
      <c r="D24" s="6">
        <v>1</v>
      </c>
      <c r="E24" s="37">
        <v>12</v>
      </c>
      <c r="F24" s="8">
        <f t="shared" si="4"/>
        <v>1.2E-2</v>
      </c>
      <c r="G24" s="6">
        <f t="shared" si="6"/>
        <v>100</v>
      </c>
      <c r="H24" s="38">
        <f>(E24/1000)*G24</f>
        <v>1.2</v>
      </c>
      <c r="I24" s="6">
        <f t="shared" si="7"/>
        <v>50</v>
      </c>
      <c r="J24" s="5" t="s">
        <v>7</v>
      </c>
    </row>
    <row r="25" spans="2:10" x14ac:dyDescent="0.3">
      <c r="D25" s="13">
        <f>SUM(D17:D24)</f>
        <v>1000</v>
      </c>
      <c r="E25" s="14"/>
      <c r="F25" s="15">
        <f>SUM(F17:F24)</f>
        <v>4.5361199999999995</v>
      </c>
      <c r="G25" s="13">
        <f>SUM(G17:G24)</f>
        <v>100000</v>
      </c>
      <c r="H25" s="39">
        <f>SUM(H17:H24)</f>
        <v>453.61199999999997</v>
      </c>
      <c r="I25" s="13">
        <f>SUM(I17:I24)</f>
        <v>50000</v>
      </c>
      <c r="J25" s="17"/>
    </row>
    <row r="28" spans="2:10" ht="23.4" x14ac:dyDescent="0.45">
      <c r="C28" s="172" t="s">
        <v>81</v>
      </c>
      <c r="D28" s="173"/>
      <c r="E28" s="173"/>
      <c r="F28" s="173"/>
      <c r="G28" s="173"/>
      <c r="H28" s="173"/>
      <c r="I28" s="173"/>
      <c r="J28" s="174"/>
    </row>
    <row r="29" spans="2:10" ht="62.4" x14ac:dyDescent="0.3">
      <c r="B29" s="1">
        <v>3</v>
      </c>
      <c r="C29" s="36" t="s">
        <v>0</v>
      </c>
      <c r="D29" s="4" t="s">
        <v>1</v>
      </c>
      <c r="E29" s="4" t="s">
        <v>2</v>
      </c>
      <c r="F29" s="4" t="s">
        <v>14</v>
      </c>
      <c r="G29" s="4" t="s">
        <v>136</v>
      </c>
      <c r="H29" s="4" t="s">
        <v>75</v>
      </c>
      <c r="I29" s="4" t="s">
        <v>76</v>
      </c>
      <c r="J29" s="4"/>
    </row>
    <row r="30" spans="2:10" x14ac:dyDescent="0.3">
      <c r="B30" s="35">
        <v>1</v>
      </c>
      <c r="C30" s="5" t="s">
        <v>78</v>
      </c>
      <c r="D30" s="6">
        <v>5</v>
      </c>
      <c r="E30" s="37">
        <v>16</v>
      </c>
      <c r="F30" s="8">
        <f>(E30/1000)*D30</f>
        <v>0.08</v>
      </c>
      <c r="G30" s="6">
        <f>(D30*190)</f>
        <v>950</v>
      </c>
      <c r="H30" s="38">
        <f>(E30/1000)*G30</f>
        <v>15.200000000000001</v>
      </c>
      <c r="I30" s="6">
        <f>(D30*50)</f>
        <v>250</v>
      </c>
      <c r="J30" s="5" t="s">
        <v>7</v>
      </c>
    </row>
    <row r="31" spans="2:10" x14ac:dyDescent="0.3">
      <c r="B31" s="35">
        <v>2</v>
      </c>
      <c r="C31" s="5" t="s">
        <v>79</v>
      </c>
      <c r="D31" s="6">
        <v>10</v>
      </c>
      <c r="E31" s="37">
        <v>18</v>
      </c>
      <c r="F31" s="8">
        <f>(E31/1000)*D31</f>
        <v>0.18</v>
      </c>
      <c r="G31" s="6">
        <f>(D31*190)</f>
        <v>1900</v>
      </c>
      <c r="H31" s="38">
        <f>(E31/1000)*G31</f>
        <v>34.199999999999996</v>
      </c>
      <c r="I31" s="6">
        <f>(D31*50)</f>
        <v>500</v>
      </c>
      <c r="J31" s="5" t="s">
        <v>7</v>
      </c>
    </row>
    <row r="32" spans="2:10" x14ac:dyDescent="0.3">
      <c r="B32" s="35">
        <v>3</v>
      </c>
      <c r="C32" s="5" t="s">
        <v>80</v>
      </c>
      <c r="D32" s="11">
        <v>990.5</v>
      </c>
      <c r="E32" s="37">
        <v>145</v>
      </c>
      <c r="F32" s="8">
        <f>(E32/1000)*D32</f>
        <v>143.6225</v>
      </c>
      <c r="G32" s="6">
        <f>(D32*190)</f>
        <v>188195</v>
      </c>
      <c r="H32" s="38">
        <f>(E32/1000)*G32</f>
        <v>27288.274999999998</v>
      </c>
      <c r="I32" s="6">
        <f>(D32*50)</f>
        <v>49525</v>
      </c>
      <c r="J32" s="5" t="s">
        <v>7</v>
      </c>
    </row>
    <row r="35" spans="2:10" ht="23.4" x14ac:dyDescent="0.45">
      <c r="C35" s="172" t="s">
        <v>82</v>
      </c>
      <c r="D35" s="173"/>
      <c r="E35" s="173"/>
      <c r="F35" s="173"/>
      <c r="G35" s="173"/>
      <c r="H35" s="173"/>
      <c r="I35" s="173"/>
      <c r="J35" s="174"/>
    </row>
    <row r="36" spans="2:10" ht="62.4" x14ac:dyDescent="0.3">
      <c r="B36" s="1">
        <v>4</v>
      </c>
      <c r="C36" s="36" t="s">
        <v>0</v>
      </c>
      <c r="D36" s="4" t="s">
        <v>1</v>
      </c>
      <c r="E36" s="4" t="s">
        <v>2</v>
      </c>
      <c r="F36" s="4" t="s">
        <v>14</v>
      </c>
      <c r="G36" s="4" t="s">
        <v>64</v>
      </c>
      <c r="H36" s="4" t="s">
        <v>75</v>
      </c>
      <c r="I36" s="4" t="s">
        <v>269</v>
      </c>
      <c r="J36" s="4"/>
    </row>
    <row r="37" spans="2:10" x14ac:dyDescent="0.3">
      <c r="B37" s="35">
        <v>1</v>
      </c>
      <c r="C37" s="5" t="s">
        <v>78</v>
      </c>
      <c r="D37" s="6">
        <v>30</v>
      </c>
      <c r="E37" s="37">
        <v>16</v>
      </c>
      <c r="F37" s="8">
        <f>(E37/1000)*D37</f>
        <v>0.48</v>
      </c>
      <c r="G37" s="6">
        <f>(D37*100)</f>
        <v>3000</v>
      </c>
      <c r="H37" s="38">
        <f>(E37/1000)*G37</f>
        <v>48</v>
      </c>
      <c r="I37" s="6">
        <f>(D37*22)</f>
        <v>660</v>
      </c>
      <c r="J37" s="5" t="s">
        <v>7</v>
      </c>
    </row>
    <row r="38" spans="2:10" x14ac:dyDescent="0.3">
      <c r="B38" s="35">
        <v>2</v>
      </c>
      <c r="C38" s="5" t="s">
        <v>79</v>
      </c>
      <c r="D38" s="6">
        <v>50</v>
      </c>
      <c r="E38" s="37">
        <v>18</v>
      </c>
      <c r="F38" s="8">
        <f>(E38/1000)*D38</f>
        <v>0.89999999999999991</v>
      </c>
      <c r="G38" s="6">
        <f>(D38*100)</f>
        <v>5000</v>
      </c>
      <c r="H38" s="38">
        <f>(E38/1000)*G38</f>
        <v>90</v>
      </c>
      <c r="I38" s="6">
        <f>(D38*22)</f>
        <v>1100</v>
      </c>
      <c r="J38" s="5" t="s">
        <v>7</v>
      </c>
    </row>
    <row r="39" spans="2:10" x14ac:dyDescent="0.3">
      <c r="B39" s="35">
        <v>3</v>
      </c>
      <c r="C39" s="5" t="s">
        <v>80</v>
      </c>
      <c r="D39" s="11">
        <v>917.5</v>
      </c>
      <c r="E39" s="37">
        <v>145</v>
      </c>
      <c r="F39" s="8">
        <f>(E39/1000)*D39</f>
        <v>133.03749999999999</v>
      </c>
      <c r="G39" s="6">
        <f>(D39*100)</f>
        <v>91750</v>
      </c>
      <c r="H39" s="38">
        <f>(E39/1000)*G39</f>
        <v>13303.749999999998</v>
      </c>
      <c r="I39" s="6">
        <f>(D39*22)</f>
        <v>20185</v>
      </c>
      <c r="J39" s="5" t="s">
        <v>7</v>
      </c>
    </row>
    <row r="42" spans="2:10" ht="23.4" x14ac:dyDescent="0.45">
      <c r="C42" s="175" t="s">
        <v>151</v>
      </c>
      <c r="D42" s="175"/>
      <c r="E42" s="175"/>
      <c r="F42" s="175"/>
      <c r="G42" s="175"/>
      <c r="H42" s="175"/>
      <c r="I42" s="175"/>
      <c r="J42" s="175"/>
    </row>
    <row r="43" spans="2:10" ht="62.4" x14ac:dyDescent="0.3">
      <c r="B43" s="1">
        <v>5</v>
      </c>
      <c r="C43" s="2" t="s">
        <v>0</v>
      </c>
      <c r="D43" s="3" t="s">
        <v>1</v>
      </c>
      <c r="E43" s="3" t="s">
        <v>90</v>
      </c>
      <c r="F43" s="3" t="s">
        <v>152</v>
      </c>
      <c r="G43" s="3" t="s">
        <v>153</v>
      </c>
      <c r="H43" s="4" t="s">
        <v>154</v>
      </c>
      <c r="I43" s="3" t="s">
        <v>155</v>
      </c>
      <c r="J43" s="40"/>
    </row>
    <row r="44" spans="2:10" ht="15.6" x14ac:dyDescent="0.3">
      <c r="B44">
        <v>1</v>
      </c>
      <c r="C44" s="73" t="s">
        <v>156</v>
      </c>
      <c r="D44" s="42">
        <v>875</v>
      </c>
      <c r="E44" s="7">
        <v>6</v>
      </c>
      <c r="F44" s="7">
        <f>(E44/1000)*D44</f>
        <v>5.25</v>
      </c>
      <c r="G44" s="6">
        <f>(D44*80)</f>
        <v>70000</v>
      </c>
      <c r="H44" s="43">
        <f>(E44/1000)*G44</f>
        <v>420</v>
      </c>
      <c r="I44" s="6">
        <f>(D44*50)</f>
        <v>43750</v>
      </c>
      <c r="J44" s="10" t="s">
        <v>7</v>
      </c>
    </row>
    <row r="45" spans="2:10" ht="15.6" x14ac:dyDescent="0.3">
      <c r="B45">
        <v>2</v>
      </c>
      <c r="C45" s="73" t="s">
        <v>157</v>
      </c>
      <c r="D45" s="42">
        <v>5</v>
      </c>
      <c r="E45" s="44">
        <v>180</v>
      </c>
      <c r="F45" s="44">
        <f>(E45/1000)*D45</f>
        <v>0.89999999999999991</v>
      </c>
      <c r="G45" s="6">
        <f>(D45*80)</f>
        <v>400</v>
      </c>
      <c r="H45" s="43">
        <f>(E45/1000)*G45</f>
        <v>72</v>
      </c>
      <c r="I45" s="6">
        <f>(D45*50)</f>
        <v>250</v>
      </c>
      <c r="J45" s="10" t="s">
        <v>7</v>
      </c>
    </row>
    <row r="46" spans="2:10" ht="15.6" x14ac:dyDescent="0.3">
      <c r="B46">
        <v>3</v>
      </c>
      <c r="C46" s="73" t="s">
        <v>35</v>
      </c>
      <c r="D46" s="42">
        <v>5</v>
      </c>
      <c r="E46" s="44">
        <v>200</v>
      </c>
      <c r="F46" s="44">
        <f>(E46/1000)*D46</f>
        <v>1</v>
      </c>
      <c r="G46" s="6">
        <f>(D46*80)</f>
        <v>400</v>
      </c>
      <c r="H46" s="43">
        <f>(E46/1000)*G46</f>
        <v>80</v>
      </c>
      <c r="I46" s="6">
        <f>(D46*50)</f>
        <v>250</v>
      </c>
      <c r="J46" s="10" t="s">
        <v>7</v>
      </c>
    </row>
    <row r="47" spans="2:10" ht="15.6" x14ac:dyDescent="0.3">
      <c r="B47">
        <v>4</v>
      </c>
      <c r="C47" s="73" t="s">
        <v>158</v>
      </c>
      <c r="D47" s="42">
        <v>5</v>
      </c>
      <c r="E47" s="44">
        <v>575</v>
      </c>
      <c r="F47" s="44">
        <f>(E47/1000)*D47</f>
        <v>2.875</v>
      </c>
      <c r="G47" s="6">
        <f>(D47*80)</f>
        <v>400</v>
      </c>
      <c r="H47" s="43">
        <f>(E47/1000)*G47</f>
        <v>229.99999999999997</v>
      </c>
      <c r="I47" s="6">
        <f>(D47*50)</f>
        <v>250</v>
      </c>
      <c r="J47" s="10" t="s">
        <v>7</v>
      </c>
    </row>
    <row r="48" spans="2:10" ht="15.6" x14ac:dyDescent="0.3">
      <c r="B48">
        <v>5</v>
      </c>
      <c r="C48" s="73" t="s">
        <v>16</v>
      </c>
      <c r="D48" s="42">
        <v>110</v>
      </c>
      <c r="E48" s="44">
        <v>0.6</v>
      </c>
      <c r="F48" s="44">
        <f>(E48/1000)*D48</f>
        <v>6.5999999999999989E-2</v>
      </c>
      <c r="G48" s="6">
        <f>(D48*80)</f>
        <v>8800</v>
      </c>
      <c r="H48" s="43">
        <f>(E48/1000)*G48</f>
        <v>5.2799999999999994</v>
      </c>
      <c r="I48" s="6">
        <f>(D48*50)</f>
        <v>5500</v>
      </c>
      <c r="J48" s="10" t="s">
        <v>7</v>
      </c>
    </row>
    <row r="49" spans="2:10" x14ac:dyDescent="0.3">
      <c r="D49" s="50">
        <f>SUM(D44:D48)</f>
        <v>1000</v>
      </c>
      <c r="E49" s="51"/>
      <c r="F49" s="52">
        <f>SUM(F44:F48)</f>
        <v>10.091000000000001</v>
      </c>
      <c r="G49" s="50">
        <f>SUM(G44:G48)</f>
        <v>80000</v>
      </c>
      <c r="H49" s="53">
        <f>SUM(H44:H48)</f>
        <v>807.28</v>
      </c>
      <c r="I49" s="50">
        <f>SUM(I44:I48)</f>
        <v>50000</v>
      </c>
      <c r="J49" s="54"/>
    </row>
    <row r="52" spans="2:10" ht="23.4" x14ac:dyDescent="0.45">
      <c r="C52" s="172" t="s">
        <v>218</v>
      </c>
      <c r="D52" s="173"/>
      <c r="E52" s="173"/>
      <c r="F52" s="173"/>
      <c r="G52" s="173"/>
      <c r="H52" s="173"/>
      <c r="I52" s="173"/>
      <c r="J52" s="174"/>
    </row>
    <row r="53" spans="2:10" ht="62.4" x14ac:dyDescent="0.3">
      <c r="B53" s="1">
        <v>6</v>
      </c>
      <c r="C53" s="36" t="s">
        <v>0</v>
      </c>
      <c r="D53" s="4" t="s">
        <v>1</v>
      </c>
      <c r="E53" s="4" t="s">
        <v>2</v>
      </c>
      <c r="F53" s="4" t="s">
        <v>14</v>
      </c>
      <c r="G53" s="4" t="s">
        <v>64</v>
      </c>
      <c r="H53" s="4" t="s">
        <v>75</v>
      </c>
      <c r="I53" s="4" t="s">
        <v>76</v>
      </c>
      <c r="J53" s="4"/>
    </row>
    <row r="54" spans="2:10" x14ac:dyDescent="0.3">
      <c r="B54" s="35">
        <v>1</v>
      </c>
      <c r="C54" s="5" t="s">
        <v>219</v>
      </c>
      <c r="D54" s="6">
        <v>30</v>
      </c>
      <c r="E54" s="37">
        <v>16</v>
      </c>
      <c r="F54" s="8">
        <f>(E54/1000)*D54</f>
        <v>0.48</v>
      </c>
      <c r="G54" s="6">
        <f>(D54*100)</f>
        <v>3000</v>
      </c>
      <c r="H54" s="38">
        <f>(E54/1000)*G54</f>
        <v>48</v>
      </c>
      <c r="I54" s="6">
        <f>(D54*50)</f>
        <v>1500</v>
      </c>
      <c r="J54" s="5" t="s">
        <v>7</v>
      </c>
    </row>
    <row r="55" spans="2:10" x14ac:dyDescent="0.3">
      <c r="B55" s="35">
        <v>4</v>
      </c>
      <c r="C55" s="5" t="s">
        <v>221</v>
      </c>
      <c r="D55" s="6">
        <v>50</v>
      </c>
      <c r="E55" s="37">
        <v>18</v>
      </c>
      <c r="F55" s="8">
        <f>(E55/1000)*D55</f>
        <v>0.89999999999999991</v>
      </c>
      <c r="G55" s="6">
        <f>(D55*100)</f>
        <v>5000</v>
      </c>
      <c r="H55" s="38">
        <f>(E55/1000)*G55</f>
        <v>90</v>
      </c>
      <c r="I55" s="6">
        <f>(D55*50)</f>
        <v>2500</v>
      </c>
      <c r="J55" s="5" t="s">
        <v>7</v>
      </c>
    </row>
    <row r="56" spans="2:10" x14ac:dyDescent="0.3">
      <c r="B56" s="35">
        <v>2</v>
      </c>
      <c r="C56" s="5" t="s">
        <v>220</v>
      </c>
      <c r="D56" s="11">
        <v>917.5</v>
      </c>
      <c r="E56" s="37">
        <v>145</v>
      </c>
      <c r="F56" s="8">
        <f>(E56/1000)*D56</f>
        <v>133.03749999999999</v>
      </c>
      <c r="G56" s="6">
        <f>(D56*100)</f>
        <v>91750</v>
      </c>
      <c r="H56" s="38">
        <f>(E56/1000)*G56</f>
        <v>13303.749999999998</v>
      </c>
      <c r="I56" s="6">
        <f>(D56*50)</f>
        <v>45875</v>
      </c>
      <c r="J56" s="5" t="s">
        <v>7</v>
      </c>
    </row>
    <row r="59" spans="2:10" ht="23.4" x14ac:dyDescent="0.45">
      <c r="C59" s="172" t="s">
        <v>266</v>
      </c>
      <c r="D59" s="173"/>
      <c r="E59" s="173"/>
      <c r="F59" s="173"/>
      <c r="G59" s="173"/>
      <c r="H59" s="173"/>
      <c r="I59" s="173"/>
      <c r="J59" s="174"/>
    </row>
    <row r="60" spans="2:10" ht="62.4" x14ac:dyDescent="0.3">
      <c r="B60" s="1">
        <v>2</v>
      </c>
      <c r="C60" s="36" t="s">
        <v>0</v>
      </c>
      <c r="D60" s="4" t="s">
        <v>1</v>
      </c>
      <c r="E60" s="4" t="s">
        <v>2</v>
      </c>
      <c r="F60" s="4" t="s">
        <v>14</v>
      </c>
      <c r="G60" s="4" t="s">
        <v>87</v>
      </c>
      <c r="H60" s="4" t="s">
        <v>75</v>
      </c>
      <c r="I60" s="4" t="s">
        <v>76</v>
      </c>
      <c r="J60" s="4"/>
    </row>
    <row r="61" spans="2:10" x14ac:dyDescent="0.3">
      <c r="B61" s="35">
        <v>2</v>
      </c>
      <c r="C61" s="5" t="s">
        <v>58</v>
      </c>
      <c r="D61" s="6">
        <v>7</v>
      </c>
      <c r="E61" s="37">
        <v>120</v>
      </c>
      <c r="F61" s="8">
        <f t="shared" ref="F61:F68" si="8">(E61/1000)*D61</f>
        <v>0.84</v>
      </c>
      <c r="G61" s="6">
        <f>(D61*100)</f>
        <v>700</v>
      </c>
      <c r="H61" s="38">
        <f t="shared" ref="H61:H67" si="9">(E61/1000)*G61</f>
        <v>84</v>
      </c>
      <c r="I61" s="6">
        <f>(D61*50)</f>
        <v>350</v>
      </c>
      <c r="J61" s="5" t="s">
        <v>7</v>
      </c>
    </row>
    <row r="62" spans="2:10" x14ac:dyDescent="0.3">
      <c r="B62" s="35">
        <v>3</v>
      </c>
      <c r="C62" s="5" t="s">
        <v>267</v>
      </c>
      <c r="D62" s="6">
        <v>15</v>
      </c>
      <c r="E62" s="37">
        <v>90</v>
      </c>
      <c r="F62" s="8">
        <f t="shared" si="8"/>
        <v>1.3499999999999999</v>
      </c>
      <c r="G62" s="6">
        <f t="shared" ref="G62:G68" si="10">(D62*100)</f>
        <v>1500</v>
      </c>
      <c r="H62" s="38">
        <f t="shared" si="9"/>
        <v>135</v>
      </c>
      <c r="I62" s="6">
        <f t="shared" ref="I62:I68" si="11">(D62*50)</f>
        <v>750</v>
      </c>
      <c r="J62" s="5" t="s">
        <v>7</v>
      </c>
    </row>
    <row r="63" spans="2:10" x14ac:dyDescent="0.3">
      <c r="B63" s="35">
        <v>9</v>
      </c>
      <c r="C63" s="5" t="s">
        <v>168</v>
      </c>
      <c r="D63" s="6">
        <v>7</v>
      </c>
      <c r="E63" s="37">
        <v>14</v>
      </c>
      <c r="F63" s="8">
        <f t="shared" si="8"/>
        <v>9.8000000000000004E-2</v>
      </c>
      <c r="G63" s="6">
        <f t="shared" si="10"/>
        <v>700</v>
      </c>
      <c r="H63" s="38">
        <f t="shared" si="9"/>
        <v>9.8000000000000007</v>
      </c>
      <c r="I63" s="6">
        <f t="shared" si="11"/>
        <v>350</v>
      </c>
      <c r="J63" s="5" t="s">
        <v>7</v>
      </c>
    </row>
    <row r="64" spans="2:10" x14ac:dyDescent="0.3">
      <c r="B64" s="35">
        <v>10</v>
      </c>
      <c r="C64" s="5" t="s">
        <v>56</v>
      </c>
      <c r="D64" s="6">
        <v>2</v>
      </c>
      <c r="E64" s="37">
        <v>14</v>
      </c>
      <c r="F64" s="8">
        <f t="shared" si="8"/>
        <v>2.8000000000000001E-2</v>
      </c>
      <c r="G64" s="6">
        <f t="shared" si="10"/>
        <v>200</v>
      </c>
      <c r="H64" s="38">
        <f t="shared" si="9"/>
        <v>2.8000000000000003</v>
      </c>
      <c r="I64" s="6">
        <f t="shared" si="11"/>
        <v>100</v>
      </c>
      <c r="J64" s="5" t="s">
        <v>7</v>
      </c>
    </row>
    <row r="65" spans="2:10" x14ac:dyDescent="0.3">
      <c r="B65" s="35">
        <v>8</v>
      </c>
      <c r="C65" s="5" t="s">
        <v>29</v>
      </c>
      <c r="D65" s="6">
        <v>1</v>
      </c>
      <c r="E65" s="37">
        <v>55</v>
      </c>
      <c r="F65" s="8">
        <f t="shared" si="8"/>
        <v>5.5E-2</v>
      </c>
      <c r="G65" s="6">
        <f t="shared" si="10"/>
        <v>100</v>
      </c>
      <c r="H65" s="38">
        <f t="shared" si="9"/>
        <v>5.5</v>
      </c>
      <c r="I65" s="6">
        <f t="shared" si="11"/>
        <v>50</v>
      </c>
      <c r="J65" s="5" t="s">
        <v>7</v>
      </c>
    </row>
    <row r="66" spans="2:10" x14ac:dyDescent="0.3">
      <c r="B66" s="35">
        <v>7</v>
      </c>
      <c r="C66" s="5" t="s">
        <v>59</v>
      </c>
      <c r="D66" s="6">
        <v>2</v>
      </c>
      <c r="E66" s="37">
        <v>8</v>
      </c>
      <c r="F66" s="8">
        <f t="shared" si="8"/>
        <v>1.6E-2</v>
      </c>
      <c r="G66" s="6">
        <f t="shared" si="10"/>
        <v>200</v>
      </c>
      <c r="H66" s="38">
        <f t="shared" si="9"/>
        <v>1.6</v>
      </c>
      <c r="I66" s="6">
        <f t="shared" si="11"/>
        <v>100</v>
      </c>
      <c r="J66" s="5" t="s">
        <v>7</v>
      </c>
    </row>
    <row r="67" spans="2:10" x14ac:dyDescent="0.3">
      <c r="B67" s="35">
        <v>1</v>
      </c>
      <c r="C67" s="5" t="s">
        <v>225</v>
      </c>
      <c r="D67" s="6">
        <v>20</v>
      </c>
      <c r="E67" s="37">
        <v>68</v>
      </c>
      <c r="F67" s="8">
        <f t="shared" si="8"/>
        <v>1.36</v>
      </c>
      <c r="G67" s="6">
        <f t="shared" si="10"/>
        <v>2000</v>
      </c>
      <c r="H67" s="38">
        <f t="shared" si="9"/>
        <v>136</v>
      </c>
      <c r="I67" s="6">
        <f t="shared" si="11"/>
        <v>1000</v>
      </c>
      <c r="J67" s="5" t="s">
        <v>7</v>
      </c>
    </row>
    <row r="68" spans="2:10" x14ac:dyDescent="0.3">
      <c r="B68" s="35">
        <v>4</v>
      </c>
      <c r="C68" s="5" t="s">
        <v>268</v>
      </c>
      <c r="D68" s="6">
        <v>946</v>
      </c>
      <c r="E68" s="37">
        <v>0.4</v>
      </c>
      <c r="F68" s="8">
        <f t="shared" si="8"/>
        <v>0.37840000000000001</v>
      </c>
      <c r="G68" s="6">
        <f t="shared" si="10"/>
        <v>94600</v>
      </c>
      <c r="H68" s="38">
        <f>(E68/1000)*G68</f>
        <v>37.840000000000003</v>
      </c>
      <c r="I68" s="6">
        <f t="shared" si="11"/>
        <v>47300</v>
      </c>
      <c r="J68" s="5" t="s">
        <v>7</v>
      </c>
    </row>
    <row r="69" spans="2:10" x14ac:dyDescent="0.3">
      <c r="D69" s="13">
        <f>SUM(D61:D68)</f>
        <v>1000</v>
      </c>
      <c r="E69" s="14"/>
      <c r="F69" s="15">
        <f>SUM(F61:F68)</f>
        <v>4.1254</v>
      </c>
      <c r="G69" s="13">
        <f>SUM(G61:G68)</f>
        <v>100000</v>
      </c>
      <c r="H69" s="39">
        <f>SUM(H61:H68)</f>
        <v>412.54000000000008</v>
      </c>
      <c r="I69" s="13">
        <f>SUM(I61:I68)</f>
        <v>50000</v>
      </c>
      <c r="J69" s="17"/>
    </row>
    <row r="72" spans="2:10" ht="23.4" x14ac:dyDescent="0.45">
      <c r="C72" s="172" t="s">
        <v>274</v>
      </c>
      <c r="D72" s="173"/>
      <c r="E72" s="173"/>
      <c r="F72" s="173"/>
      <c r="G72" s="173"/>
      <c r="H72" s="173"/>
      <c r="I72" s="173"/>
      <c r="J72" s="174"/>
    </row>
    <row r="73" spans="2:10" ht="62.4" x14ac:dyDescent="0.3">
      <c r="B73" s="1">
        <v>2</v>
      </c>
      <c r="C73" s="36" t="s">
        <v>0</v>
      </c>
      <c r="D73" s="4" t="s">
        <v>1</v>
      </c>
      <c r="E73" s="4" t="s">
        <v>2</v>
      </c>
      <c r="F73" s="4" t="s">
        <v>14</v>
      </c>
      <c r="G73" s="4" t="s">
        <v>278</v>
      </c>
      <c r="H73" s="4" t="s">
        <v>75</v>
      </c>
      <c r="I73" s="4" t="s">
        <v>279</v>
      </c>
      <c r="J73" s="4" t="s">
        <v>76</v>
      </c>
    </row>
    <row r="74" spans="2:10" x14ac:dyDescent="0.3">
      <c r="B74" s="35">
        <v>1</v>
      </c>
      <c r="C74" s="5" t="s">
        <v>16</v>
      </c>
      <c r="D74" s="6">
        <v>808</v>
      </c>
      <c r="E74" s="37">
        <v>0.6</v>
      </c>
      <c r="F74" s="8">
        <f t="shared" ref="F74:F81" si="12">(E74/1000)*D74</f>
        <v>0.48479999999999995</v>
      </c>
      <c r="G74" s="6">
        <f>(D74*25)</f>
        <v>20200</v>
      </c>
      <c r="H74" s="38">
        <f t="shared" ref="H74:H81" si="13">(E74/1000)*G74</f>
        <v>12.12</v>
      </c>
      <c r="I74" s="6">
        <f>(D74*35)</f>
        <v>28280</v>
      </c>
      <c r="J74" s="6">
        <f>(D74*50)</f>
        <v>40400</v>
      </c>
    </row>
    <row r="75" spans="2:10" x14ac:dyDescent="0.3">
      <c r="B75" s="35">
        <v>4</v>
      </c>
      <c r="C75" s="5" t="s">
        <v>275</v>
      </c>
      <c r="D75" s="6">
        <v>70</v>
      </c>
      <c r="E75" s="37">
        <v>20</v>
      </c>
      <c r="F75" s="8">
        <f t="shared" si="12"/>
        <v>1.4000000000000001</v>
      </c>
      <c r="G75" s="6">
        <f t="shared" ref="G75:G81" si="14">(D75*25)</f>
        <v>1750</v>
      </c>
      <c r="H75" s="38">
        <f t="shared" si="13"/>
        <v>35</v>
      </c>
      <c r="I75" s="6">
        <f t="shared" ref="I75:I81" si="15">(D75*35)</f>
        <v>2450</v>
      </c>
      <c r="J75" s="6">
        <f t="shared" ref="J75:J81" si="16">(D75*50)</f>
        <v>3500</v>
      </c>
    </row>
    <row r="76" spans="2:10" x14ac:dyDescent="0.3">
      <c r="B76" s="35">
        <v>5</v>
      </c>
      <c r="C76" s="5" t="s">
        <v>276</v>
      </c>
      <c r="D76" s="6">
        <v>70</v>
      </c>
      <c r="E76" s="37">
        <v>20</v>
      </c>
      <c r="F76" s="8">
        <f t="shared" si="12"/>
        <v>1.4000000000000001</v>
      </c>
      <c r="G76" s="6">
        <f t="shared" si="14"/>
        <v>1750</v>
      </c>
      <c r="H76" s="38">
        <f t="shared" si="13"/>
        <v>35</v>
      </c>
      <c r="I76" s="6">
        <f t="shared" si="15"/>
        <v>2450</v>
      </c>
      <c r="J76" s="6">
        <f t="shared" si="16"/>
        <v>3500</v>
      </c>
    </row>
    <row r="77" spans="2:10" x14ac:dyDescent="0.3">
      <c r="B77" s="35">
        <v>6</v>
      </c>
      <c r="C77" s="5" t="s">
        <v>244</v>
      </c>
      <c r="D77" s="6">
        <v>30</v>
      </c>
      <c r="E77" s="37">
        <v>120</v>
      </c>
      <c r="F77" s="8">
        <f t="shared" si="12"/>
        <v>3.5999999999999996</v>
      </c>
      <c r="G77" s="6">
        <f t="shared" si="14"/>
        <v>750</v>
      </c>
      <c r="H77" s="38">
        <f t="shared" si="13"/>
        <v>90</v>
      </c>
      <c r="I77" s="6">
        <f t="shared" si="15"/>
        <v>1050</v>
      </c>
      <c r="J77" s="6">
        <f t="shared" si="16"/>
        <v>1500</v>
      </c>
    </row>
    <row r="78" spans="2:10" x14ac:dyDescent="0.3">
      <c r="B78" s="35">
        <v>7</v>
      </c>
      <c r="C78" s="5" t="s">
        <v>125</v>
      </c>
      <c r="D78" s="6">
        <v>10</v>
      </c>
      <c r="E78" s="37">
        <v>60</v>
      </c>
      <c r="F78" s="8">
        <f t="shared" si="12"/>
        <v>0.6</v>
      </c>
      <c r="G78" s="6">
        <f t="shared" si="14"/>
        <v>250</v>
      </c>
      <c r="H78" s="38">
        <f t="shared" si="13"/>
        <v>15</v>
      </c>
      <c r="I78" s="6">
        <f t="shared" si="15"/>
        <v>350</v>
      </c>
      <c r="J78" s="6">
        <f t="shared" si="16"/>
        <v>500</v>
      </c>
    </row>
    <row r="79" spans="2:10" x14ac:dyDescent="0.3">
      <c r="B79" s="35">
        <v>9</v>
      </c>
      <c r="C79" s="5" t="s">
        <v>59</v>
      </c>
      <c r="D79" s="6">
        <v>10</v>
      </c>
      <c r="E79" s="37">
        <v>8</v>
      </c>
      <c r="F79" s="8">
        <f t="shared" si="12"/>
        <v>0.08</v>
      </c>
      <c r="G79" s="6">
        <f t="shared" si="14"/>
        <v>250</v>
      </c>
      <c r="H79" s="38">
        <f t="shared" si="13"/>
        <v>2</v>
      </c>
      <c r="I79" s="6">
        <f t="shared" si="15"/>
        <v>350</v>
      </c>
      <c r="J79" s="6">
        <f t="shared" si="16"/>
        <v>500</v>
      </c>
    </row>
    <row r="80" spans="2:10" x14ac:dyDescent="0.3">
      <c r="B80" s="35">
        <v>2</v>
      </c>
      <c r="C80" s="5" t="s">
        <v>277</v>
      </c>
      <c r="D80" s="6">
        <v>1</v>
      </c>
      <c r="E80" s="37">
        <v>58</v>
      </c>
      <c r="F80" s="8">
        <f t="shared" si="12"/>
        <v>5.8000000000000003E-2</v>
      </c>
      <c r="G80" s="6">
        <f t="shared" si="14"/>
        <v>25</v>
      </c>
      <c r="H80" s="38">
        <f t="shared" si="13"/>
        <v>1.4500000000000002</v>
      </c>
      <c r="I80" s="6">
        <f t="shared" si="15"/>
        <v>35</v>
      </c>
      <c r="J80" s="6">
        <f t="shared" si="16"/>
        <v>50</v>
      </c>
    </row>
    <row r="81" spans="2:10" x14ac:dyDescent="0.3">
      <c r="B81" s="35">
        <v>3</v>
      </c>
      <c r="C81" s="5" t="s">
        <v>231</v>
      </c>
      <c r="D81" s="11">
        <v>0.5</v>
      </c>
      <c r="E81" s="37">
        <v>68</v>
      </c>
      <c r="F81" s="8">
        <f t="shared" si="12"/>
        <v>3.4000000000000002E-2</v>
      </c>
      <c r="G81" s="6">
        <f t="shared" si="14"/>
        <v>12.5</v>
      </c>
      <c r="H81" s="38">
        <f t="shared" si="13"/>
        <v>0.85000000000000009</v>
      </c>
      <c r="I81" s="6">
        <f t="shared" si="15"/>
        <v>17.5</v>
      </c>
      <c r="J81" s="6">
        <f t="shared" si="16"/>
        <v>25</v>
      </c>
    </row>
    <row r="82" spans="2:10" x14ac:dyDescent="0.3">
      <c r="D82" s="13">
        <f>SUM(D74:D81)</f>
        <v>999.5</v>
      </c>
      <c r="E82" s="14"/>
      <c r="F82" s="15">
        <f>SUM(F74:F81)</f>
        <v>7.6567999999999996</v>
      </c>
      <c r="G82" s="13">
        <f>SUM(G74:G81)</f>
        <v>24987.5</v>
      </c>
      <c r="H82" s="39">
        <f>SUM(H74:H81)</f>
        <v>191.42</v>
      </c>
      <c r="I82" s="13">
        <f>SUM(I74:I81)</f>
        <v>34982.5</v>
      </c>
      <c r="J82" s="84">
        <f>SUM(J74:J81)</f>
        <v>49975</v>
      </c>
    </row>
    <row r="85" spans="2:10" ht="23.4" x14ac:dyDescent="0.45">
      <c r="C85" s="172" t="s">
        <v>370</v>
      </c>
      <c r="D85" s="173"/>
      <c r="E85" s="173"/>
      <c r="F85" s="173"/>
      <c r="G85" s="173"/>
      <c r="H85" s="173"/>
      <c r="I85" s="173"/>
      <c r="J85" s="174"/>
    </row>
    <row r="86" spans="2:10" ht="62.4" x14ac:dyDescent="0.3">
      <c r="B86" s="1">
        <v>2</v>
      </c>
      <c r="C86" s="36" t="s">
        <v>0</v>
      </c>
      <c r="D86" s="4" t="s">
        <v>1</v>
      </c>
      <c r="E86" s="4" t="s">
        <v>2</v>
      </c>
      <c r="F86" s="4" t="s">
        <v>14</v>
      </c>
      <c r="G86" s="4" t="s">
        <v>707</v>
      </c>
      <c r="H86" s="4" t="s">
        <v>75</v>
      </c>
      <c r="I86" s="4" t="s">
        <v>708</v>
      </c>
      <c r="J86" s="4" t="s">
        <v>76</v>
      </c>
    </row>
    <row r="87" spans="2:10" x14ac:dyDescent="0.3">
      <c r="B87" s="35">
        <v>2</v>
      </c>
      <c r="C87" s="5" t="s">
        <v>67</v>
      </c>
      <c r="D87" s="6">
        <v>70</v>
      </c>
      <c r="E87" s="37">
        <v>20</v>
      </c>
      <c r="F87" s="8">
        <f t="shared" ref="F87:F92" si="17">(E87/1000)*D87</f>
        <v>1.4000000000000001</v>
      </c>
      <c r="G87" s="6">
        <f>(D87*17)</f>
        <v>1190</v>
      </c>
      <c r="H87" s="38">
        <f t="shared" ref="H87:H92" si="18">(E87/1000)*G87</f>
        <v>23.8</v>
      </c>
      <c r="I87" s="6">
        <f>(D87*25)</f>
        <v>1750</v>
      </c>
      <c r="J87" s="6">
        <f>(D87*50)</f>
        <v>3500</v>
      </c>
    </row>
    <row r="88" spans="2:10" x14ac:dyDescent="0.3">
      <c r="B88" s="35">
        <v>3</v>
      </c>
      <c r="C88" s="5" t="s">
        <v>368</v>
      </c>
      <c r="D88" s="6">
        <v>70</v>
      </c>
      <c r="E88" s="37">
        <v>55</v>
      </c>
      <c r="F88" s="8">
        <f t="shared" si="17"/>
        <v>3.85</v>
      </c>
      <c r="G88" s="6">
        <f t="shared" ref="G88:G92" si="19">(D88*17)</f>
        <v>1190</v>
      </c>
      <c r="H88" s="38">
        <f t="shared" si="18"/>
        <v>65.45</v>
      </c>
      <c r="I88" s="6">
        <f t="shared" ref="I88:I92" si="20">(D88*25)</f>
        <v>1750</v>
      </c>
      <c r="J88" s="6">
        <f t="shared" ref="J88:J92" si="21">(D88*50)</f>
        <v>3500</v>
      </c>
    </row>
    <row r="89" spans="2:10" x14ac:dyDescent="0.3">
      <c r="B89" s="35">
        <v>9</v>
      </c>
      <c r="C89" s="5" t="s">
        <v>70</v>
      </c>
      <c r="D89" s="6">
        <v>15</v>
      </c>
      <c r="E89" s="37">
        <v>23</v>
      </c>
      <c r="F89" s="8">
        <f t="shared" si="17"/>
        <v>0.34499999999999997</v>
      </c>
      <c r="G89" s="6">
        <f t="shared" si="19"/>
        <v>255</v>
      </c>
      <c r="H89" s="38">
        <f t="shared" si="18"/>
        <v>5.8650000000000002</v>
      </c>
      <c r="I89" s="6">
        <f t="shared" si="20"/>
        <v>375</v>
      </c>
      <c r="J89" s="6">
        <f t="shared" si="21"/>
        <v>750</v>
      </c>
    </row>
    <row r="90" spans="2:10" x14ac:dyDescent="0.3">
      <c r="B90" s="35">
        <v>10</v>
      </c>
      <c r="C90" s="5" t="s">
        <v>16</v>
      </c>
      <c r="D90" s="6">
        <v>842</v>
      </c>
      <c r="E90" s="37">
        <v>0.6</v>
      </c>
      <c r="F90" s="8">
        <f t="shared" si="17"/>
        <v>0.50519999999999998</v>
      </c>
      <c r="G90" s="6">
        <f t="shared" si="19"/>
        <v>14314</v>
      </c>
      <c r="H90" s="38">
        <f t="shared" si="18"/>
        <v>8.5884</v>
      </c>
      <c r="I90" s="6">
        <f t="shared" si="20"/>
        <v>21050</v>
      </c>
      <c r="J90" s="6">
        <f t="shared" si="21"/>
        <v>42100</v>
      </c>
    </row>
    <row r="91" spans="2:10" x14ac:dyDescent="0.3">
      <c r="B91" s="35">
        <v>8</v>
      </c>
      <c r="C91" s="5" t="s">
        <v>72</v>
      </c>
      <c r="D91" s="6">
        <v>2</v>
      </c>
      <c r="E91" s="37">
        <v>20</v>
      </c>
      <c r="F91" s="8">
        <f t="shared" si="17"/>
        <v>0.04</v>
      </c>
      <c r="G91" s="6">
        <f t="shared" si="19"/>
        <v>34</v>
      </c>
      <c r="H91" s="38">
        <f t="shared" si="18"/>
        <v>0.68</v>
      </c>
      <c r="I91" s="6">
        <f t="shared" si="20"/>
        <v>50</v>
      </c>
      <c r="J91" s="6">
        <f t="shared" si="21"/>
        <v>100</v>
      </c>
    </row>
    <row r="92" spans="2:10" x14ac:dyDescent="0.3">
      <c r="B92" s="35">
        <v>7</v>
      </c>
      <c r="C92" s="5" t="s">
        <v>369</v>
      </c>
      <c r="D92" s="6">
        <v>1</v>
      </c>
      <c r="E92" s="37">
        <v>15</v>
      </c>
      <c r="F92" s="8">
        <f t="shared" si="17"/>
        <v>1.4999999999999999E-2</v>
      </c>
      <c r="G92" s="6">
        <f t="shared" si="19"/>
        <v>17</v>
      </c>
      <c r="H92" s="38">
        <f t="shared" si="18"/>
        <v>0.255</v>
      </c>
      <c r="I92" s="6">
        <f t="shared" si="20"/>
        <v>25</v>
      </c>
      <c r="J92" s="6">
        <f t="shared" si="21"/>
        <v>50</v>
      </c>
    </row>
    <row r="93" spans="2:10" x14ac:dyDescent="0.3">
      <c r="D93" s="13">
        <f>SUM(D87:D92)</f>
        <v>1000</v>
      </c>
      <c r="E93" s="14"/>
      <c r="F93" s="15">
        <f>SUM(F87:F92)</f>
        <v>6.1551999999999998</v>
      </c>
      <c r="G93" s="13">
        <f>SUM(G87:G92)</f>
        <v>17000</v>
      </c>
      <c r="H93" s="39">
        <f>SUM(H87:H92)</f>
        <v>104.63839999999999</v>
      </c>
      <c r="I93" s="13">
        <f>SUM(I87:I92)</f>
        <v>25000</v>
      </c>
      <c r="J93" s="84">
        <f>SUM(J87:J92)</f>
        <v>50000</v>
      </c>
    </row>
    <row r="96" spans="2:10" ht="23.4" x14ac:dyDescent="0.45">
      <c r="C96" s="172" t="s">
        <v>371</v>
      </c>
      <c r="D96" s="173"/>
      <c r="E96" s="173"/>
      <c r="F96" s="173"/>
      <c r="G96" s="173"/>
      <c r="H96" s="173"/>
      <c r="I96" s="173"/>
      <c r="J96" s="174"/>
    </row>
    <row r="97" spans="2:10" ht="62.4" x14ac:dyDescent="0.3">
      <c r="B97" s="1">
        <v>2</v>
      </c>
      <c r="C97" s="36" t="s">
        <v>0</v>
      </c>
      <c r="D97" s="4" t="s">
        <v>1</v>
      </c>
      <c r="E97" s="4" t="s">
        <v>2</v>
      </c>
      <c r="F97" s="4" t="s">
        <v>14</v>
      </c>
      <c r="G97" s="4" t="s">
        <v>87</v>
      </c>
      <c r="H97" s="4" t="s">
        <v>75</v>
      </c>
      <c r="I97" s="4" t="s">
        <v>76</v>
      </c>
      <c r="J97" s="4"/>
    </row>
    <row r="98" spans="2:10" x14ac:dyDescent="0.3">
      <c r="B98" s="35">
        <v>2</v>
      </c>
      <c r="C98" s="5" t="s">
        <v>67</v>
      </c>
      <c r="D98" s="6">
        <v>70</v>
      </c>
      <c r="E98" s="37">
        <v>17</v>
      </c>
      <c r="F98" s="8">
        <f t="shared" ref="F98:F103" si="22">(E98/1000)*D98</f>
        <v>1.1900000000000002</v>
      </c>
      <c r="G98" s="6">
        <f>(D98*100)</f>
        <v>7000</v>
      </c>
      <c r="H98" s="38">
        <f t="shared" ref="H98:H103" si="23">(E98/1000)*G98</f>
        <v>119.00000000000001</v>
      </c>
      <c r="I98" s="6">
        <f>(D98*50)</f>
        <v>3500</v>
      </c>
      <c r="J98" s="5" t="s">
        <v>7</v>
      </c>
    </row>
    <row r="99" spans="2:10" x14ac:dyDescent="0.3">
      <c r="B99" s="35">
        <v>3</v>
      </c>
      <c r="C99" s="5" t="s">
        <v>372</v>
      </c>
      <c r="D99" s="6">
        <v>70</v>
      </c>
      <c r="E99" s="37">
        <v>17</v>
      </c>
      <c r="F99" s="8">
        <f t="shared" si="22"/>
        <v>1.1900000000000002</v>
      </c>
      <c r="G99" s="6">
        <f t="shared" ref="G99:G103" si="24">(D99*100)</f>
        <v>7000</v>
      </c>
      <c r="H99" s="38">
        <f t="shared" si="23"/>
        <v>119.00000000000001</v>
      </c>
      <c r="I99" s="6">
        <f t="shared" ref="I99:I103" si="25">(D99*50)</f>
        <v>3500</v>
      </c>
      <c r="J99" s="5" t="s">
        <v>7</v>
      </c>
    </row>
    <row r="100" spans="2:10" x14ac:dyDescent="0.3">
      <c r="B100" s="35">
        <v>10</v>
      </c>
      <c r="C100" s="5" t="s">
        <v>373</v>
      </c>
      <c r="D100" s="6">
        <v>5</v>
      </c>
      <c r="E100" s="37">
        <v>230</v>
      </c>
      <c r="F100" s="8">
        <f t="shared" si="22"/>
        <v>1.1500000000000001</v>
      </c>
      <c r="G100" s="6">
        <f t="shared" si="24"/>
        <v>500</v>
      </c>
      <c r="H100" s="38">
        <f t="shared" si="23"/>
        <v>115</v>
      </c>
      <c r="I100" s="6">
        <f t="shared" si="25"/>
        <v>250</v>
      </c>
      <c r="J100" s="5" t="s">
        <v>7</v>
      </c>
    </row>
    <row r="101" spans="2:10" x14ac:dyDescent="0.3">
      <c r="B101" s="35">
        <v>8</v>
      </c>
      <c r="C101" s="5" t="s">
        <v>374</v>
      </c>
      <c r="D101" s="6">
        <v>10</v>
      </c>
      <c r="E101" s="37">
        <v>50</v>
      </c>
      <c r="F101" s="8">
        <f t="shared" si="22"/>
        <v>0.5</v>
      </c>
      <c r="G101" s="6">
        <f t="shared" si="24"/>
        <v>1000</v>
      </c>
      <c r="H101" s="38">
        <f t="shared" si="23"/>
        <v>50</v>
      </c>
      <c r="I101" s="6">
        <f t="shared" si="25"/>
        <v>500</v>
      </c>
      <c r="J101" s="5" t="s">
        <v>7</v>
      </c>
    </row>
    <row r="102" spans="2:10" x14ac:dyDescent="0.3">
      <c r="B102" s="35">
        <v>7</v>
      </c>
      <c r="C102" s="5" t="s">
        <v>16</v>
      </c>
      <c r="D102" s="6">
        <v>844</v>
      </c>
      <c r="E102" s="37">
        <v>0.6</v>
      </c>
      <c r="F102" s="8">
        <f t="shared" si="22"/>
        <v>0.50639999999999996</v>
      </c>
      <c r="G102" s="6">
        <f t="shared" si="24"/>
        <v>84400</v>
      </c>
      <c r="H102" s="38">
        <f t="shared" si="23"/>
        <v>50.639999999999993</v>
      </c>
      <c r="I102" s="6">
        <f t="shared" si="25"/>
        <v>42200</v>
      </c>
      <c r="J102" s="5" t="s">
        <v>7</v>
      </c>
    </row>
    <row r="103" spans="2:10" x14ac:dyDescent="0.3">
      <c r="B103" s="35">
        <v>1</v>
      </c>
      <c r="C103" s="5" t="s">
        <v>73</v>
      </c>
      <c r="D103" s="11">
        <v>1</v>
      </c>
      <c r="E103" s="37">
        <v>25</v>
      </c>
      <c r="F103" s="8">
        <f t="shared" si="22"/>
        <v>2.5000000000000001E-2</v>
      </c>
      <c r="G103" s="6">
        <f t="shared" si="24"/>
        <v>100</v>
      </c>
      <c r="H103" s="38">
        <f t="shared" si="23"/>
        <v>2.5</v>
      </c>
      <c r="I103" s="6">
        <f t="shared" si="25"/>
        <v>50</v>
      </c>
      <c r="J103" s="5" t="s">
        <v>7</v>
      </c>
    </row>
    <row r="104" spans="2:10" x14ac:dyDescent="0.3">
      <c r="D104" s="13">
        <f>SUM(D98:D103)</f>
        <v>1000</v>
      </c>
      <c r="E104" s="14"/>
      <c r="F104" s="15">
        <f>SUM(F98:F103)</f>
        <v>4.5614000000000008</v>
      </c>
      <c r="G104" s="13">
        <f>SUM(G98:G103)</f>
        <v>100000</v>
      </c>
      <c r="H104" s="39">
        <f>SUM(H98:H103)</f>
        <v>456.14</v>
      </c>
      <c r="I104" s="13">
        <f>SUM(I98:I103)</f>
        <v>50000</v>
      </c>
      <c r="J104" s="17"/>
    </row>
    <row r="107" spans="2:10" ht="23.4" x14ac:dyDescent="0.45">
      <c r="C107" s="172" t="s">
        <v>410</v>
      </c>
      <c r="D107" s="173"/>
      <c r="E107" s="173"/>
      <c r="F107" s="173"/>
      <c r="G107" s="173"/>
      <c r="H107" s="173"/>
      <c r="I107" s="173"/>
      <c r="J107" s="174"/>
    </row>
    <row r="108" spans="2:10" ht="62.4" x14ac:dyDescent="0.3">
      <c r="B108" s="1">
        <v>2</v>
      </c>
      <c r="C108" s="36" t="s">
        <v>0</v>
      </c>
      <c r="D108" s="4" t="s">
        <v>1</v>
      </c>
      <c r="E108" s="4" t="s">
        <v>2</v>
      </c>
      <c r="F108" s="4" t="s">
        <v>14</v>
      </c>
      <c r="G108" s="4" t="s">
        <v>278</v>
      </c>
      <c r="H108" s="4" t="s">
        <v>75</v>
      </c>
      <c r="I108" s="4" t="s">
        <v>76</v>
      </c>
      <c r="J108" s="4" t="s">
        <v>87</v>
      </c>
    </row>
    <row r="109" spans="2:10" x14ac:dyDescent="0.3">
      <c r="B109" s="35"/>
      <c r="C109" s="5" t="s">
        <v>373</v>
      </c>
      <c r="D109" s="6">
        <v>2</v>
      </c>
      <c r="E109" s="37">
        <v>230</v>
      </c>
      <c r="F109" s="8">
        <f t="shared" ref="F109:F115" si="26">(E109/1000)*D109</f>
        <v>0.46</v>
      </c>
      <c r="G109" s="6">
        <f>(D109*250)</f>
        <v>500</v>
      </c>
      <c r="H109" s="38">
        <f t="shared" ref="H109:H115" si="27">(E109/1000)*G109</f>
        <v>115</v>
      </c>
      <c r="I109" s="6">
        <f>(D109*50)</f>
        <v>100</v>
      </c>
      <c r="J109" s="6">
        <f>(D109*100)</f>
        <v>200</v>
      </c>
    </row>
    <row r="110" spans="2:10" x14ac:dyDescent="0.3">
      <c r="B110" s="35"/>
      <c r="C110" s="5" t="s">
        <v>411</v>
      </c>
      <c r="D110" s="6">
        <v>8</v>
      </c>
      <c r="E110" s="37">
        <v>120</v>
      </c>
      <c r="F110" s="8">
        <f t="shared" si="26"/>
        <v>0.96</v>
      </c>
      <c r="G110" s="6">
        <f t="shared" ref="G110:G115" si="28">(D110*250)</f>
        <v>2000</v>
      </c>
      <c r="H110" s="38">
        <f t="shared" si="27"/>
        <v>240</v>
      </c>
      <c r="I110" s="6">
        <f t="shared" ref="I110:I115" si="29">(D110*50)</f>
        <v>400</v>
      </c>
      <c r="J110" s="6">
        <f t="shared" ref="J110:J115" si="30">(D110*100)</f>
        <v>800</v>
      </c>
    </row>
    <row r="111" spans="2:10" x14ac:dyDescent="0.3">
      <c r="B111" s="35"/>
      <c r="C111" s="5" t="s">
        <v>59</v>
      </c>
      <c r="D111" s="6">
        <v>30</v>
      </c>
      <c r="E111" s="37">
        <v>8</v>
      </c>
      <c r="F111" s="8">
        <f t="shared" si="26"/>
        <v>0.24</v>
      </c>
      <c r="G111" s="6">
        <f t="shared" si="28"/>
        <v>7500</v>
      </c>
      <c r="H111" s="38"/>
      <c r="I111" s="6">
        <f t="shared" si="29"/>
        <v>1500</v>
      </c>
      <c r="J111" s="6">
        <f t="shared" si="30"/>
        <v>3000</v>
      </c>
    </row>
    <row r="112" spans="2:10" x14ac:dyDescent="0.3">
      <c r="B112" s="35"/>
      <c r="C112" s="5" t="s">
        <v>163</v>
      </c>
      <c r="D112" s="6">
        <v>20</v>
      </c>
      <c r="E112" s="37">
        <v>20</v>
      </c>
      <c r="F112" s="8">
        <f t="shared" si="26"/>
        <v>0.4</v>
      </c>
      <c r="G112" s="6">
        <f t="shared" si="28"/>
        <v>5000</v>
      </c>
      <c r="H112" s="38"/>
      <c r="I112" s="6">
        <f t="shared" si="29"/>
        <v>1000</v>
      </c>
      <c r="J112" s="6">
        <f t="shared" si="30"/>
        <v>2000</v>
      </c>
    </row>
    <row r="113" spans="2:10" x14ac:dyDescent="0.3">
      <c r="B113" s="35"/>
      <c r="C113" s="5" t="s">
        <v>168</v>
      </c>
      <c r="D113" s="6">
        <v>8</v>
      </c>
      <c r="E113" s="37">
        <v>20</v>
      </c>
      <c r="F113" s="8">
        <f t="shared" si="26"/>
        <v>0.16</v>
      </c>
      <c r="G113" s="6">
        <f t="shared" si="28"/>
        <v>2000</v>
      </c>
      <c r="H113" s="38"/>
      <c r="I113" s="6">
        <f t="shared" si="29"/>
        <v>400</v>
      </c>
      <c r="J113" s="6">
        <f t="shared" si="30"/>
        <v>800</v>
      </c>
    </row>
    <row r="114" spans="2:10" x14ac:dyDescent="0.3">
      <c r="B114" s="35"/>
      <c r="C114" s="5" t="s">
        <v>60</v>
      </c>
      <c r="D114" s="6">
        <v>2</v>
      </c>
      <c r="E114" s="37">
        <v>60</v>
      </c>
      <c r="F114" s="8">
        <f t="shared" si="26"/>
        <v>0.12</v>
      </c>
      <c r="G114" s="6">
        <f t="shared" si="28"/>
        <v>500</v>
      </c>
      <c r="H114" s="38"/>
      <c r="I114" s="6">
        <f t="shared" si="29"/>
        <v>100</v>
      </c>
      <c r="J114" s="6">
        <f t="shared" si="30"/>
        <v>200</v>
      </c>
    </row>
    <row r="115" spans="2:10" x14ac:dyDescent="0.3">
      <c r="B115" s="35"/>
      <c r="C115" s="5" t="s">
        <v>16</v>
      </c>
      <c r="D115" s="6">
        <v>927</v>
      </c>
      <c r="E115" s="37">
        <v>0.6</v>
      </c>
      <c r="F115" s="8">
        <f t="shared" si="26"/>
        <v>0.55619999999999992</v>
      </c>
      <c r="G115" s="6">
        <f t="shared" si="28"/>
        <v>231750</v>
      </c>
      <c r="H115" s="38">
        <f t="shared" si="27"/>
        <v>139.04999999999998</v>
      </c>
      <c r="I115" s="6">
        <f t="shared" si="29"/>
        <v>46350</v>
      </c>
      <c r="J115" s="6">
        <f t="shared" si="30"/>
        <v>92700</v>
      </c>
    </row>
    <row r="116" spans="2:10" x14ac:dyDescent="0.3">
      <c r="D116" s="13">
        <f>SUM(D109:D115)</f>
        <v>997</v>
      </c>
      <c r="E116" s="14"/>
      <c r="F116" s="15">
        <f>SUM(F109:F115)</f>
        <v>2.8962000000000003</v>
      </c>
      <c r="G116" s="13">
        <f>SUM(G109:G115)</f>
        <v>249250</v>
      </c>
      <c r="H116" s="39">
        <f>SUM(H109:H115)</f>
        <v>494.04999999999995</v>
      </c>
      <c r="I116" s="13">
        <f>SUM(I109:I115)</f>
        <v>49850</v>
      </c>
      <c r="J116" s="13">
        <f>SUM(J109:J115)</f>
        <v>99700</v>
      </c>
    </row>
    <row r="119" spans="2:10" ht="23.4" x14ac:dyDescent="0.45">
      <c r="C119" s="172" t="s">
        <v>583</v>
      </c>
      <c r="D119" s="173"/>
      <c r="E119" s="173"/>
      <c r="F119" s="173"/>
      <c r="G119" s="173"/>
      <c r="H119" s="173"/>
      <c r="I119" s="173"/>
      <c r="J119" s="174"/>
    </row>
    <row r="120" spans="2:10" ht="62.4" x14ac:dyDescent="0.3">
      <c r="B120" s="1">
        <v>2</v>
      </c>
      <c r="C120" s="36" t="s">
        <v>0</v>
      </c>
      <c r="D120" s="4" t="s">
        <v>1</v>
      </c>
      <c r="E120" s="4" t="s">
        <v>2</v>
      </c>
      <c r="F120" s="4" t="s">
        <v>14</v>
      </c>
      <c r="G120" s="4" t="s">
        <v>501</v>
      </c>
      <c r="H120" s="4" t="s">
        <v>75</v>
      </c>
      <c r="I120" s="4" t="s">
        <v>76</v>
      </c>
      <c r="J120" s="4"/>
    </row>
    <row r="121" spans="2:10" x14ac:dyDescent="0.3">
      <c r="B121" s="35"/>
      <c r="C121" s="5" t="s">
        <v>16</v>
      </c>
      <c r="D121" s="6">
        <v>798.88</v>
      </c>
      <c r="E121" s="37">
        <v>0.6</v>
      </c>
      <c r="F121" s="8">
        <f t="shared" ref="F121:F132" si="31">(E121/1000)*D121</f>
        <v>0.47932799999999998</v>
      </c>
      <c r="G121" s="6">
        <f>(D121*21.5)</f>
        <v>17175.919999999998</v>
      </c>
      <c r="H121" s="38">
        <f>(E121/1000)*G121</f>
        <v>10.305551999999999</v>
      </c>
      <c r="I121" s="6">
        <f>(D121*50)</f>
        <v>39944</v>
      </c>
      <c r="J121" s="5" t="s">
        <v>7</v>
      </c>
    </row>
    <row r="122" spans="2:10" x14ac:dyDescent="0.3">
      <c r="B122" s="35"/>
      <c r="C122" s="5" t="s">
        <v>59</v>
      </c>
      <c r="D122" s="6">
        <v>100</v>
      </c>
      <c r="E122" s="37">
        <v>8</v>
      </c>
      <c r="F122" s="8">
        <f t="shared" si="31"/>
        <v>0.8</v>
      </c>
      <c r="G122" s="6">
        <f t="shared" ref="G122:G132" si="32">(D122*21.5)</f>
        <v>2150</v>
      </c>
      <c r="H122" s="38">
        <f t="shared" ref="H122:H132" si="33">(E122/1000)*G122</f>
        <v>17.2</v>
      </c>
      <c r="I122" s="6">
        <f t="shared" ref="I122:I132" si="34">(D122*50)</f>
        <v>5000</v>
      </c>
      <c r="J122" s="5" t="s">
        <v>7</v>
      </c>
    </row>
    <row r="123" spans="2:10" x14ac:dyDescent="0.3">
      <c r="B123" s="35"/>
      <c r="C123" s="5" t="s">
        <v>286</v>
      </c>
      <c r="D123" s="6">
        <v>20</v>
      </c>
      <c r="E123" s="37">
        <v>98</v>
      </c>
      <c r="F123" s="8">
        <f t="shared" si="31"/>
        <v>1.96</v>
      </c>
      <c r="G123" s="6">
        <f t="shared" si="32"/>
        <v>430</v>
      </c>
      <c r="H123" s="38">
        <f t="shared" si="33"/>
        <v>42.14</v>
      </c>
      <c r="I123" s="6">
        <f t="shared" si="34"/>
        <v>1000</v>
      </c>
      <c r="J123" s="5"/>
    </row>
    <row r="124" spans="2:10" x14ac:dyDescent="0.3">
      <c r="B124" s="35"/>
      <c r="C124" s="5" t="s">
        <v>58</v>
      </c>
      <c r="D124" s="6">
        <v>2</v>
      </c>
      <c r="E124" s="37">
        <v>120</v>
      </c>
      <c r="F124" s="8">
        <f t="shared" si="31"/>
        <v>0.24</v>
      </c>
      <c r="G124" s="6">
        <f t="shared" si="32"/>
        <v>43</v>
      </c>
      <c r="H124" s="38">
        <f t="shared" si="33"/>
        <v>5.16</v>
      </c>
      <c r="I124" s="6">
        <f t="shared" si="34"/>
        <v>100</v>
      </c>
      <c r="J124" s="5"/>
    </row>
    <row r="125" spans="2:10" x14ac:dyDescent="0.3">
      <c r="B125" s="35"/>
      <c r="C125" s="5" t="s">
        <v>168</v>
      </c>
      <c r="D125" s="6">
        <v>2.5</v>
      </c>
      <c r="E125" s="37">
        <v>20</v>
      </c>
      <c r="F125" s="8">
        <f t="shared" si="31"/>
        <v>0.05</v>
      </c>
      <c r="G125" s="6">
        <f t="shared" si="32"/>
        <v>53.75</v>
      </c>
      <c r="H125" s="38">
        <f t="shared" si="33"/>
        <v>1.075</v>
      </c>
      <c r="I125" s="6">
        <f t="shared" si="34"/>
        <v>125</v>
      </c>
      <c r="J125" s="5"/>
    </row>
    <row r="126" spans="2:10" x14ac:dyDescent="0.3">
      <c r="B126" s="35"/>
      <c r="C126" s="5" t="s">
        <v>389</v>
      </c>
      <c r="D126" s="6">
        <v>30</v>
      </c>
      <c r="E126" s="37">
        <v>124</v>
      </c>
      <c r="F126" s="8">
        <f t="shared" si="31"/>
        <v>3.7199999999999998</v>
      </c>
      <c r="G126" s="6">
        <f t="shared" si="32"/>
        <v>645</v>
      </c>
      <c r="H126" s="38">
        <f t="shared" si="33"/>
        <v>79.98</v>
      </c>
      <c r="I126" s="6">
        <f t="shared" si="34"/>
        <v>1500</v>
      </c>
      <c r="J126" s="5"/>
    </row>
    <row r="127" spans="2:10" x14ac:dyDescent="0.3">
      <c r="B127" s="35"/>
      <c r="C127" s="5" t="s">
        <v>500</v>
      </c>
      <c r="D127" s="6">
        <v>20</v>
      </c>
      <c r="E127" s="37">
        <v>124</v>
      </c>
      <c r="F127" s="8">
        <f t="shared" si="31"/>
        <v>2.48</v>
      </c>
      <c r="G127" s="6">
        <f t="shared" si="32"/>
        <v>430</v>
      </c>
      <c r="H127" s="38">
        <f t="shared" si="33"/>
        <v>53.32</v>
      </c>
      <c r="I127" s="6">
        <f t="shared" si="34"/>
        <v>1000</v>
      </c>
      <c r="J127" s="5"/>
    </row>
    <row r="128" spans="2:10" x14ac:dyDescent="0.3">
      <c r="B128" s="35"/>
      <c r="C128" s="5" t="s">
        <v>498</v>
      </c>
      <c r="D128" s="6">
        <v>20</v>
      </c>
      <c r="E128" s="37">
        <v>125</v>
      </c>
      <c r="F128" s="8">
        <f t="shared" si="31"/>
        <v>2.5</v>
      </c>
      <c r="G128" s="6">
        <f t="shared" si="32"/>
        <v>430</v>
      </c>
      <c r="H128" s="38">
        <f t="shared" si="33"/>
        <v>53.75</v>
      </c>
      <c r="I128" s="6">
        <f t="shared" si="34"/>
        <v>1000</v>
      </c>
      <c r="J128" s="5"/>
    </row>
    <row r="129" spans="2:10" x14ac:dyDescent="0.3">
      <c r="B129" s="35"/>
      <c r="C129" s="5" t="s">
        <v>405</v>
      </c>
      <c r="D129" s="6">
        <v>0.1</v>
      </c>
      <c r="E129" s="37">
        <v>960</v>
      </c>
      <c r="F129" s="8">
        <f t="shared" si="31"/>
        <v>9.6000000000000002E-2</v>
      </c>
      <c r="G129" s="6">
        <f t="shared" si="32"/>
        <v>2.15</v>
      </c>
      <c r="H129" s="38">
        <f t="shared" si="33"/>
        <v>2.0640000000000001</v>
      </c>
      <c r="I129" s="6">
        <f t="shared" si="34"/>
        <v>5</v>
      </c>
      <c r="J129" s="5"/>
    </row>
    <row r="130" spans="2:10" x14ac:dyDescent="0.3">
      <c r="B130" s="35"/>
      <c r="C130" s="5" t="s">
        <v>287</v>
      </c>
      <c r="D130" s="6">
        <v>2</v>
      </c>
      <c r="E130" s="37">
        <v>45</v>
      </c>
      <c r="F130" s="8">
        <f t="shared" si="31"/>
        <v>0.09</v>
      </c>
      <c r="G130" s="6">
        <f t="shared" si="32"/>
        <v>43</v>
      </c>
      <c r="H130" s="38">
        <f t="shared" si="33"/>
        <v>1.9349999999999998</v>
      </c>
      <c r="I130" s="6">
        <f t="shared" si="34"/>
        <v>100</v>
      </c>
      <c r="J130" s="5"/>
    </row>
    <row r="131" spans="2:10" x14ac:dyDescent="0.3">
      <c r="B131" s="35"/>
      <c r="C131" s="5" t="s">
        <v>499</v>
      </c>
      <c r="D131" s="6">
        <v>1</v>
      </c>
      <c r="E131" s="37">
        <v>60</v>
      </c>
      <c r="F131" s="8">
        <f t="shared" si="31"/>
        <v>0.06</v>
      </c>
      <c r="G131" s="6">
        <f t="shared" si="32"/>
        <v>21.5</v>
      </c>
      <c r="H131" s="38">
        <f t="shared" si="33"/>
        <v>1.29</v>
      </c>
      <c r="I131" s="6">
        <f t="shared" si="34"/>
        <v>50</v>
      </c>
      <c r="J131" s="5"/>
    </row>
    <row r="132" spans="2:10" x14ac:dyDescent="0.3">
      <c r="B132" s="35"/>
      <c r="C132" s="5" t="s">
        <v>380</v>
      </c>
      <c r="D132" s="6">
        <v>1.5</v>
      </c>
      <c r="E132" s="37">
        <v>25</v>
      </c>
      <c r="F132" s="8">
        <f t="shared" si="31"/>
        <v>3.7500000000000006E-2</v>
      </c>
      <c r="G132" s="6">
        <f t="shared" si="32"/>
        <v>32.25</v>
      </c>
      <c r="H132" s="38">
        <f t="shared" si="33"/>
        <v>0.80625000000000002</v>
      </c>
      <c r="I132" s="6">
        <f t="shared" si="34"/>
        <v>75</v>
      </c>
      <c r="J132" s="5"/>
    </row>
    <row r="133" spans="2:10" x14ac:dyDescent="0.3">
      <c r="D133" s="13">
        <f>SUM(D121:D132)</f>
        <v>997.98</v>
      </c>
      <c r="E133" s="14"/>
      <c r="F133" s="15">
        <f>SUM(F121:F132)</f>
        <v>12.512827999999999</v>
      </c>
      <c r="G133" s="13">
        <f>SUM(G121:G132)</f>
        <v>21456.57</v>
      </c>
      <c r="H133" s="39">
        <f>SUM(H121:H132)</f>
        <v>269.025802</v>
      </c>
      <c r="I133" s="13">
        <f>SUM(I121:I132)</f>
        <v>49899</v>
      </c>
      <c r="J133" s="17"/>
    </row>
    <row r="136" spans="2:10" ht="23.4" x14ac:dyDescent="0.45">
      <c r="C136" s="172" t="s">
        <v>503</v>
      </c>
      <c r="D136" s="173"/>
      <c r="E136" s="173"/>
      <c r="F136" s="173"/>
      <c r="G136" s="173"/>
      <c r="H136" s="173"/>
      <c r="I136" s="173"/>
      <c r="J136" s="174"/>
    </row>
    <row r="137" spans="2:10" ht="62.4" x14ac:dyDescent="0.3">
      <c r="B137" s="1">
        <v>2</v>
      </c>
      <c r="C137" s="36" t="s">
        <v>0</v>
      </c>
      <c r="D137" s="4" t="s">
        <v>1</v>
      </c>
      <c r="E137" s="4" t="s">
        <v>2</v>
      </c>
      <c r="F137" s="4" t="s">
        <v>14</v>
      </c>
      <c r="G137" s="4" t="s">
        <v>501</v>
      </c>
      <c r="H137" s="4" t="s">
        <v>75</v>
      </c>
      <c r="I137" s="4" t="s">
        <v>76</v>
      </c>
      <c r="J137" s="4"/>
    </row>
    <row r="138" spans="2:10" x14ac:dyDescent="0.3">
      <c r="B138" s="35"/>
      <c r="C138" s="5" t="s">
        <v>16</v>
      </c>
      <c r="D138" s="6">
        <v>861</v>
      </c>
      <c r="E138" s="37">
        <v>0.6</v>
      </c>
      <c r="F138" s="8">
        <f t="shared" ref="F138:F149" si="35">(E138/1000)*D138</f>
        <v>0.51659999999999995</v>
      </c>
      <c r="G138" s="6">
        <f>(D138*21.5)</f>
        <v>18511.5</v>
      </c>
      <c r="H138" s="38">
        <f t="shared" ref="H138:H149" si="36">(E138/1000)*G138</f>
        <v>11.1069</v>
      </c>
      <c r="I138" s="6">
        <f>(D138*50)</f>
        <v>43050</v>
      </c>
      <c r="J138" s="5" t="s">
        <v>7</v>
      </c>
    </row>
    <row r="139" spans="2:10" x14ac:dyDescent="0.3">
      <c r="B139" s="35"/>
      <c r="C139" s="5" t="s">
        <v>59</v>
      </c>
      <c r="D139" s="6">
        <v>20</v>
      </c>
      <c r="E139" s="37">
        <v>8</v>
      </c>
      <c r="F139" s="8">
        <f t="shared" si="35"/>
        <v>0.16</v>
      </c>
      <c r="G139" s="6">
        <f t="shared" ref="G139:G149" si="37">(D139*21.5)</f>
        <v>430</v>
      </c>
      <c r="H139" s="38">
        <f t="shared" si="36"/>
        <v>3.44</v>
      </c>
      <c r="I139" s="6">
        <f t="shared" ref="I139:I149" si="38">(D139*50)</f>
        <v>1000</v>
      </c>
      <c r="J139" s="5" t="s">
        <v>7</v>
      </c>
    </row>
    <row r="140" spans="2:10" x14ac:dyDescent="0.3">
      <c r="B140" s="35"/>
      <c r="C140" s="5" t="s">
        <v>389</v>
      </c>
      <c r="D140" s="6">
        <v>20</v>
      </c>
      <c r="E140" s="37">
        <v>132</v>
      </c>
      <c r="F140" s="8">
        <f t="shared" si="35"/>
        <v>2.64</v>
      </c>
      <c r="G140" s="6">
        <f t="shared" si="37"/>
        <v>430</v>
      </c>
      <c r="H140" s="38">
        <f t="shared" si="36"/>
        <v>56.760000000000005</v>
      </c>
      <c r="I140" s="6">
        <f t="shared" si="38"/>
        <v>1000</v>
      </c>
      <c r="J140" s="5"/>
    </row>
    <row r="141" spans="2:10" x14ac:dyDescent="0.3">
      <c r="B141" s="35"/>
      <c r="C141" s="5" t="s">
        <v>226</v>
      </c>
      <c r="D141" s="6">
        <v>10</v>
      </c>
      <c r="E141" s="37">
        <v>124</v>
      </c>
      <c r="F141" s="8">
        <f t="shared" si="35"/>
        <v>1.24</v>
      </c>
      <c r="G141" s="6">
        <f t="shared" si="37"/>
        <v>215</v>
      </c>
      <c r="H141" s="38">
        <f t="shared" si="36"/>
        <v>26.66</v>
      </c>
      <c r="I141" s="6">
        <f t="shared" si="38"/>
        <v>500</v>
      </c>
      <c r="J141" s="5"/>
    </row>
    <row r="142" spans="2:10" x14ac:dyDescent="0.3">
      <c r="B142" s="35"/>
      <c r="C142" s="5" t="s">
        <v>497</v>
      </c>
      <c r="D142" s="6">
        <v>10</v>
      </c>
      <c r="E142" s="37">
        <v>124</v>
      </c>
      <c r="F142" s="8">
        <f t="shared" si="35"/>
        <v>1.24</v>
      </c>
      <c r="G142" s="6">
        <f t="shared" si="37"/>
        <v>215</v>
      </c>
      <c r="H142" s="38">
        <f t="shared" si="36"/>
        <v>26.66</v>
      </c>
      <c r="I142" s="6">
        <f t="shared" si="38"/>
        <v>500</v>
      </c>
      <c r="J142" s="5"/>
    </row>
    <row r="143" spans="2:10" x14ac:dyDescent="0.3">
      <c r="B143" s="35"/>
      <c r="C143" s="5" t="s">
        <v>241</v>
      </c>
      <c r="D143" s="6">
        <v>10</v>
      </c>
      <c r="E143" s="37">
        <v>250</v>
      </c>
      <c r="F143" s="8">
        <f t="shared" si="35"/>
        <v>2.5</v>
      </c>
      <c r="G143" s="6">
        <f t="shared" si="37"/>
        <v>215</v>
      </c>
      <c r="H143" s="38">
        <f t="shared" si="36"/>
        <v>53.75</v>
      </c>
      <c r="I143" s="6">
        <f t="shared" si="38"/>
        <v>500</v>
      </c>
      <c r="J143" s="5"/>
    </row>
    <row r="144" spans="2:10" x14ac:dyDescent="0.3">
      <c r="B144" s="35"/>
      <c r="C144" s="5" t="s">
        <v>440</v>
      </c>
      <c r="D144" s="6">
        <v>15</v>
      </c>
      <c r="E144" s="37">
        <v>80</v>
      </c>
      <c r="F144" s="8">
        <f t="shared" si="35"/>
        <v>1.2</v>
      </c>
      <c r="G144" s="6">
        <f t="shared" si="37"/>
        <v>322.5</v>
      </c>
      <c r="H144" s="38">
        <f t="shared" si="36"/>
        <v>25.8</v>
      </c>
      <c r="I144" s="6">
        <f t="shared" si="38"/>
        <v>750</v>
      </c>
      <c r="J144" s="5"/>
    </row>
    <row r="145" spans="2:10" x14ac:dyDescent="0.3">
      <c r="B145" s="35"/>
      <c r="C145" s="5" t="s">
        <v>504</v>
      </c>
      <c r="D145" s="6">
        <v>3</v>
      </c>
      <c r="E145" s="37">
        <v>120</v>
      </c>
      <c r="F145" s="8">
        <f t="shared" si="35"/>
        <v>0.36</v>
      </c>
      <c r="G145" s="6">
        <f t="shared" si="37"/>
        <v>64.5</v>
      </c>
      <c r="H145" s="38">
        <f t="shared" si="36"/>
        <v>7.7399999999999993</v>
      </c>
      <c r="I145" s="6">
        <f t="shared" si="38"/>
        <v>150</v>
      </c>
      <c r="J145" s="5"/>
    </row>
    <row r="146" spans="2:10" x14ac:dyDescent="0.3">
      <c r="B146" s="35"/>
      <c r="C146" s="5" t="s">
        <v>384</v>
      </c>
      <c r="D146" s="6">
        <v>3</v>
      </c>
      <c r="E146" s="37">
        <v>960</v>
      </c>
      <c r="F146" s="8">
        <f t="shared" si="35"/>
        <v>2.88</v>
      </c>
      <c r="G146" s="6">
        <f t="shared" si="37"/>
        <v>64.5</v>
      </c>
      <c r="H146" s="38">
        <f t="shared" si="36"/>
        <v>61.919999999999995</v>
      </c>
      <c r="I146" s="6">
        <f t="shared" si="38"/>
        <v>150</v>
      </c>
      <c r="J146" s="5"/>
    </row>
    <row r="147" spans="2:10" x14ac:dyDescent="0.3">
      <c r="B147" s="35"/>
      <c r="C147" s="5" t="s">
        <v>56</v>
      </c>
      <c r="D147" s="6">
        <v>3</v>
      </c>
      <c r="E147" s="37">
        <v>45</v>
      </c>
      <c r="F147" s="8">
        <f t="shared" si="35"/>
        <v>0.13500000000000001</v>
      </c>
      <c r="G147" s="6">
        <f t="shared" si="37"/>
        <v>64.5</v>
      </c>
      <c r="H147" s="38">
        <f t="shared" si="36"/>
        <v>2.9024999999999999</v>
      </c>
      <c r="I147" s="6">
        <f t="shared" si="38"/>
        <v>150</v>
      </c>
      <c r="J147" s="5"/>
    </row>
    <row r="148" spans="2:10" x14ac:dyDescent="0.3">
      <c r="B148" s="35"/>
      <c r="C148" s="5" t="s">
        <v>499</v>
      </c>
      <c r="D148" s="6">
        <v>2</v>
      </c>
      <c r="E148" s="37">
        <v>60</v>
      </c>
      <c r="F148" s="8">
        <f t="shared" si="35"/>
        <v>0.12</v>
      </c>
      <c r="G148" s="6">
        <f t="shared" si="37"/>
        <v>43</v>
      </c>
      <c r="H148" s="38">
        <f t="shared" si="36"/>
        <v>2.58</v>
      </c>
      <c r="I148" s="6">
        <f t="shared" si="38"/>
        <v>100</v>
      </c>
      <c r="J148" s="5"/>
    </row>
    <row r="149" spans="2:10" x14ac:dyDescent="0.3">
      <c r="B149" s="35"/>
      <c r="C149" s="5" t="s">
        <v>174</v>
      </c>
      <c r="D149" s="6">
        <v>2</v>
      </c>
      <c r="E149" s="37">
        <v>25</v>
      </c>
      <c r="F149" s="8">
        <f t="shared" si="35"/>
        <v>0.05</v>
      </c>
      <c r="G149" s="6">
        <f t="shared" si="37"/>
        <v>43</v>
      </c>
      <c r="H149" s="38">
        <f t="shared" si="36"/>
        <v>1.075</v>
      </c>
      <c r="I149" s="6">
        <f t="shared" si="38"/>
        <v>100</v>
      </c>
      <c r="J149" s="5" t="s">
        <v>7</v>
      </c>
    </row>
    <row r="150" spans="2:10" x14ac:dyDescent="0.3">
      <c r="D150" s="13">
        <f>SUM(D138:D149)</f>
        <v>959</v>
      </c>
      <c r="E150" s="14"/>
      <c r="F150" s="15">
        <f>SUM(F138:F149)</f>
        <v>13.041599999999999</v>
      </c>
      <c r="G150" s="13">
        <f>SUM(G138:G149)</f>
        <v>20618.5</v>
      </c>
      <c r="H150" s="39">
        <f>SUM(H138:H149)</f>
        <v>280.39439999999996</v>
      </c>
      <c r="I150" s="13">
        <f>SUM(I138:I149)</f>
        <v>47950</v>
      </c>
      <c r="J150" s="17"/>
    </row>
    <row r="153" spans="2:10" ht="23.4" x14ac:dyDescent="0.45">
      <c r="C153" s="172" t="s">
        <v>877</v>
      </c>
      <c r="D153" s="173"/>
      <c r="E153" s="173"/>
      <c r="F153" s="173"/>
      <c r="G153" s="173"/>
      <c r="H153" s="173"/>
      <c r="I153" s="173"/>
      <c r="J153" s="174"/>
    </row>
    <row r="154" spans="2:10" ht="62.4" x14ac:dyDescent="0.3">
      <c r="B154" s="1">
        <v>2</v>
      </c>
      <c r="C154" s="36" t="s">
        <v>0</v>
      </c>
      <c r="D154" s="4" t="s">
        <v>1</v>
      </c>
      <c r="E154" s="4" t="s">
        <v>2</v>
      </c>
      <c r="F154" s="4" t="s">
        <v>14</v>
      </c>
      <c r="G154" s="4" t="s">
        <v>347</v>
      </c>
      <c r="H154" s="4" t="s">
        <v>75</v>
      </c>
      <c r="I154" s="4" t="s">
        <v>76</v>
      </c>
      <c r="J154" s="4"/>
    </row>
    <row r="155" spans="2:10" x14ac:dyDescent="0.3">
      <c r="B155" s="35">
        <v>2</v>
      </c>
      <c r="C155" s="5" t="s">
        <v>67</v>
      </c>
      <c r="D155" s="6">
        <v>70</v>
      </c>
      <c r="E155" s="37">
        <v>17</v>
      </c>
      <c r="F155" s="8">
        <f t="shared" ref="F155:F161" si="39">(E155/1000)*D155</f>
        <v>1.1900000000000002</v>
      </c>
      <c r="G155" s="6">
        <f>(D155*13)</f>
        <v>910</v>
      </c>
      <c r="H155" s="38">
        <f t="shared" ref="H155:H161" si="40">(E155/1000)*G155</f>
        <v>15.47</v>
      </c>
      <c r="I155" s="6">
        <f>(D155*50)</f>
        <v>3500</v>
      </c>
      <c r="J155" s="5" t="s">
        <v>7</v>
      </c>
    </row>
    <row r="156" spans="2:10" x14ac:dyDescent="0.3">
      <c r="B156" s="35">
        <v>3</v>
      </c>
      <c r="C156" s="5" t="s">
        <v>372</v>
      </c>
      <c r="D156" s="6">
        <v>70</v>
      </c>
      <c r="E156" s="37">
        <v>17</v>
      </c>
      <c r="F156" s="8">
        <f t="shared" si="39"/>
        <v>1.1900000000000002</v>
      </c>
      <c r="G156" s="6">
        <f t="shared" ref="G156:G161" si="41">(D156*13)</f>
        <v>910</v>
      </c>
      <c r="H156" s="38">
        <f t="shared" si="40"/>
        <v>15.47</v>
      </c>
      <c r="I156" s="6">
        <f t="shared" ref="I156:I161" si="42">(D156*50)</f>
        <v>3500</v>
      </c>
      <c r="J156" s="5" t="s">
        <v>7</v>
      </c>
    </row>
    <row r="157" spans="2:10" x14ac:dyDescent="0.3">
      <c r="B157" s="35">
        <v>4</v>
      </c>
      <c r="C157" s="5" t="s">
        <v>405</v>
      </c>
      <c r="D157" s="6">
        <v>1</v>
      </c>
      <c r="E157" s="37">
        <v>960</v>
      </c>
      <c r="F157" s="8">
        <f>(E157/1000)*D157</f>
        <v>0.96</v>
      </c>
      <c r="G157" s="6">
        <f>(D157*13)</f>
        <v>13</v>
      </c>
      <c r="H157" s="38">
        <f>(E157/1000)*G157</f>
        <v>12.48</v>
      </c>
      <c r="I157" s="6">
        <f>(D157*50)</f>
        <v>50</v>
      </c>
      <c r="J157" s="5" t="s">
        <v>7</v>
      </c>
    </row>
    <row r="158" spans="2:10" x14ac:dyDescent="0.3">
      <c r="B158" s="35">
        <v>5</v>
      </c>
      <c r="C158" s="5" t="s">
        <v>373</v>
      </c>
      <c r="D158" s="6">
        <v>5</v>
      </c>
      <c r="E158" s="37">
        <v>230</v>
      </c>
      <c r="F158" s="8">
        <f t="shared" si="39"/>
        <v>1.1500000000000001</v>
      </c>
      <c r="G158" s="6">
        <f t="shared" si="41"/>
        <v>65</v>
      </c>
      <c r="H158" s="38">
        <f t="shared" si="40"/>
        <v>14.950000000000001</v>
      </c>
      <c r="I158" s="6">
        <f t="shared" si="42"/>
        <v>250</v>
      </c>
      <c r="J158" s="5" t="s">
        <v>7</v>
      </c>
    </row>
    <row r="159" spans="2:10" x14ac:dyDescent="0.3">
      <c r="B159" s="35">
        <v>6</v>
      </c>
      <c r="C159" s="5" t="s">
        <v>374</v>
      </c>
      <c r="D159" s="6">
        <v>10</v>
      </c>
      <c r="E159" s="37">
        <v>50</v>
      </c>
      <c r="F159" s="8">
        <f t="shared" si="39"/>
        <v>0.5</v>
      </c>
      <c r="G159" s="6">
        <f t="shared" si="41"/>
        <v>130</v>
      </c>
      <c r="H159" s="38">
        <f t="shared" si="40"/>
        <v>6.5</v>
      </c>
      <c r="I159" s="6">
        <f t="shared" si="42"/>
        <v>500</v>
      </c>
      <c r="J159" s="5" t="s">
        <v>7</v>
      </c>
    </row>
    <row r="160" spans="2:10" x14ac:dyDescent="0.3">
      <c r="B160" s="35">
        <v>7</v>
      </c>
      <c r="C160" s="5" t="s">
        <v>16</v>
      </c>
      <c r="D160" s="6">
        <v>843</v>
      </c>
      <c r="E160" s="37">
        <v>0.6</v>
      </c>
      <c r="F160" s="8">
        <f t="shared" si="39"/>
        <v>0.50579999999999992</v>
      </c>
      <c r="G160" s="6">
        <f t="shared" si="41"/>
        <v>10959</v>
      </c>
      <c r="H160" s="38">
        <f t="shared" si="40"/>
        <v>6.5753999999999992</v>
      </c>
      <c r="I160" s="6">
        <f t="shared" si="42"/>
        <v>42150</v>
      </c>
      <c r="J160" s="5" t="s">
        <v>7</v>
      </c>
    </row>
    <row r="161" spans="2:10" x14ac:dyDescent="0.3">
      <c r="B161" s="35">
        <v>1</v>
      </c>
      <c r="C161" s="5" t="s">
        <v>73</v>
      </c>
      <c r="D161" s="11">
        <v>1</v>
      </c>
      <c r="E161" s="37">
        <v>25</v>
      </c>
      <c r="F161" s="8">
        <f t="shared" si="39"/>
        <v>2.5000000000000001E-2</v>
      </c>
      <c r="G161" s="6">
        <f t="shared" si="41"/>
        <v>13</v>
      </c>
      <c r="H161" s="38">
        <f t="shared" si="40"/>
        <v>0.32500000000000001</v>
      </c>
      <c r="I161" s="6">
        <f t="shared" si="42"/>
        <v>50</v>
      </c>
      <c r="J161" s="5" t="s">
        <v>7</v>
      </c>
    </row>
    <row r="162" spans="2:10" x14ac:dyDescent="0.3">
      <c r="D162" s="13">
        <f>SUM(D155:D161)</f>
        <v>1000</v>
      </c>
      <c r="E162" s="14"/>
      <c r="F162" s="15">
        <f>SUM(F155:F161)</f>
        <v>5.5208000000000004</v>
      </c>
      <c r="G162" s="13">
        <f>SUM(G155:G161)</f>
        <v>13000</v>
      </c>
      <c r="H162" s="39">
        <f>SUM(H155:H161)</f>
        <v>71.770400000000009</v>
      </c>
      <c r="I162" s="13">
        <f>SUM(I155:I161)</f>
        <v>50000</v>
      </c>
      <c r="J162" s="17"/>
    </row>
    <row r="165" spans="2:10" ht="23.4" x14ac:dyDescent="0.45">
      <c r="C165" s="172" t="s">
        <v>549</v>
      </c>
      <c r="D165" s="173"/>
      <c r="E165" s="173"/>
      <c r="F165" s="173"/>
      <c r="G165" s="173"/>
      <c r="H165" s="173"/>
      <c r="I165" s="173"/>
      <c r="J165" s="174"/>
    </row>
    <row r="166" spans="2:10" ht="62.4" x14ac:dyDescent="0.3">
      <c r="B166" s="1">
        <v>2</v>
      </c>
      <c r="C166" s="36" t="s">
        <v>0</v>
      </c>
      <c r="D166" s="4" t="s">
        <v>1</v>
      </c>
      <c r="E166" s="4" t="s">
        <v>2</v>
      </c>
      <c r="F166" s="4" t="s">
        <v>14</v>
      </c>
      <c r="G166" s="4" t="s">
        <v>278</v>
      </c>
      <c r="H166" s="4" t="s">
        <v>75</v>
      </c>
      <c r="I166" s="4" t="s">
        <v>715</v>
      </c>
      <c r="J166" s="4" t="s">
        <v>76</v>
      </c>
    </row>
    <row r="167" spans="2:10" x14ac:dyDescent="0.3">
      <c r="B167" s="35"/>
      <c r="C167" s="5" t="s">
        <v>16</v>
      </c>
      <c r="D167" s="6">
        <v>666</v>
      </c>
      <c r="E167" s="37">
        <v>0.6</v>
      </c>
      <c r="F167" s="8">
        <f t="shared" ref="F167:F178" si="43">(E167/1000)*D167</f>
        <v>0.39959999999999996</v>
      </c>
      <c r="G167" s="6">
        <f>(D167*25)</f>
        <v>16650</v>
      </c>
      <c r="H167" s="38">
        <f>(E167/1000)*G167</f>
        <v>9.9899999999999984</v>
      </c>
      <c r="I167" s="6">
        <f>(D167*30)</f>
        <v>19980</v>
      </c>
      <c r="J167" s="6">
        <f>(D167*50)</f>
        <v>33300</v>
      </c>
    </row>
    <row r="168" spans="2:10" x14ac:dyDescent="0.3">
      <c r="B168" s="35"/>
      <c r="C168" s="5" t="s">
        <v>550</v>
      </c>
      <c r="D168" s="6">
        <v>20</v>
      </c>
      <c r="E168" s="37">
        <v>124</v>
      </c>
      <c r="F168" s="8">
        <f t="shared" si="43"/>
        <v>2.48</v>
      </c>
      <c r="G168" s="6">
        <f t="shared" ref="G168:G178" si="44">(D168*25)</f>
        <v>500</v>
      </c>
      <c r="H168" s="38">
        <f t="shared" ref="H168:H178" si="45">(E168/1000)*G168</f>
        <v>62</v>
      </c>
      <c r="I168" s="6">
        <f t="shared" ref="I168:I178" si="46">(D168*30)</f>
        <v>600</v>
      </c>
      <c r="J168" s="6">
        <f t="shared" ref="J168:J178" si="47">(D168*50)</f>
        <v>1000</v>
      </c>
    </row>
    <row r="169" spans="2:10" x14ac:dyDescent="0.3">
      <c r="B169" s="35"/>
      <c r="C169" s="5" t="s">
        <v>59</v>
      </c>
      <c r="D169" s="6">
        <v>30</v>
      </c>
      <c r="E169" s="37">
        <v>8</v>
      </c>
      <c r="F169" s="8">
        <f t="shared" si="43"/>
        <v>0.24</v>
      </c>
      <c r="G169" s="6">
        <f t="shared" si="44"/>
        <v>750</v>
      </c>
      <c r="H169" s="38">
        <f t="shared" si="45"/>
        <v>6</v>
      </c>
      <c r="I169" s="6">
        <f t="shared" si="46"/>
        <v>900</v>
      </c>
      <c r="J169" s="6">
        <f t="shared" si="47"/>
        <v>1500</v>
      </c>
    </row>
    <row r="170" spans="2:10" x14ac:dyDescent="0.3">
      <c r="B170" s="35"/>
      <c r="C170" s="5" t="s">
        <v>517</v>
      </c>
      <c r="D170" s="6">
        <v>20</v>
      </c>
      <c r="E170" s="37">
        <v>130</v>
      </c>
      <c r="F170" s="8">
        <f t="shared" si="43"/>
        <v>2.6</v>
      </c>
      <c r="G170" s="6">
        <f t="shared" si="44"/>
        <v>500</v>
      </c>
      <c r="H170" s="38">
        <f t="shared" si="45"/>
        <v>65</v>
      </c>
      <c r="I170" s="6">
        <f t="shared" si="46"/>
        <v>600</v>
      </c>
      <c r="J170" s="6">
        <f t="shared" si="47"/>
        <v>1000</v>
      </c>
    </row>
    <row r="171" spans="2:10" x14ac:dyDescent="0.3">
      <c r="B171" s="35"/>
      <c r="C171" s="5" t="s">
        <v>551</v>
      </c>
      <c r="D171" s="6">
        <v>20</v>
      </c>
      <c r="E171" s="37">
        <v>124</v>
      </c>
      <c r="F171" s="8">
        <f t="shared" si="43"/>
        <v>2.48</v>
      </c>
      <c r="G171" s="6">
        <f t="shared" si="44"/>
        <v>500</v>
      </c>
      <c r="H171" s="38">
        <f t="shared" si="45"/>
        <v>62</v>
      </c>
      <c r="I171" s="6">
        <f t="shared" si="46"/>
        <v>600</v>
      </c>
      <c r="J171" s="6">
        <f t="shared" si="47"/>
        <v>1000</v>
      </c>
    </row>
    <row r="172" spans="2:10" x14ac:dyDescent="0.3">
      <c r="B172" s="35"/>
      <c r="C172" s="5" t="s">
        <v>226</v>
      </c>
      <c r="D172" s="6">
        <v>20</v>
      </c>
      <c r="E172" s="37">
        <v>124</v>
      </c>
      <c r="F172" s="8">
        <f t="shared" si="43"/>
        <v>2.48</v>
      </c>
      <c r="G172" s="6">
        <f t="shared" si="44"/>
        <v>500</v>
      </c>
      <c r="H172" s="38">
        <f t="shared" si="45"/>
        <v>62</v>
      </c>
      <c r="I172" s="6">
        <f t="shared" si="46"/>
        <v>600</v>
      </c>
      <c r="J172" s="6">
        <f t="shared" si="47"/>
        <v>1000</v>
      </c>
    </row>
    <row r="173" spans="2:10" x14ac:dyDescent="0.3">
      <c r="B173" s="35"/>
      <c r="C173" s="5" t="s">
        <v>552</v>
      </c>
      <c r="D173" s="6">
        <v>20</v>
      </c>
      <c r="E173" s="37">
        <v>124</v>
      </c>
      <c r="F173" s="8">
        <f t="shared" si="43"/>
        <v>2.48</v>
      </c>
      <c r="G173" s="6">
        <f t="shared" si="44"/>
        <v>500</v>
      </c>
      <c r="H173" s="38">
        <f t="shared" si="45"/>
        <v>62</v>
      </c>
      <c r="I173" s="6">
        <f t="shared" si="46"/>
        <v>600</v>
      </c>
      <c r="J173" s="6">
        <f t="shared" si="47"/>
        <v>1000</v>
      </c>
    </row>
    <row r="174" spans="2:10" x14ac:dyDescent="0.3">
      <c r="B174" s="35"/>
      <c r="C174" s="5" t="s">
        <v>275</v>
      </c>
      <c r="D174" s="6">
        <v>100</v>
      </c>
      <c r="E174" s="37">
        <v>20</v>
      </c>
      <c r="F174" s="8">
        <f t="shared" si="43"/>
        <v>2</v>
      </c>
      <c r="G174" s="6">
        <f t="shared" si="44"/>
        <v>2500</v>
      </c>
      <c r="H174" s="38">
        <f t="shared" si="45"/>
        <v>50</v>
      </c>
      <c r="I174" s="6">
        <f t="shared" si="46"/>
        <v>3000</v>
      </c>
      <c r="J174" s="6">
        <f t="shared" si="47"/>
        <v>5000</v>
      </c>
    </row>
    <row r="175" spans="2:10" x14ac:dyDescent="0.3">
      <c r="B175" s="35"/>
      <c r="C175" s="5" t="s">
        <v>276</v>
      </c>
      <c r="D175" s="6">
        <v>100</v>
      </c>
      <c r="E175" s="37">
        <v>20</v>
      </c>
      <c r="F175" s="8">
        <f t="shared" si="43"/>
        <v>2</v>
      </c>
      <c r="G175" s="6">
        <f t="shared" si="44"/>
        <v>2500</v>
      </c>
      <c r="H175" s="38">
        <f t="shared" si="45"/>
        <v>50</v>
      </c>
      <c r="I175" s="6">
        <f t="shared" si="46"/>
        <v>3000</v>
      </c>
      <c r="J175" s="6">
        <f t="shared" si="47"/>
        <v>5000</v>
      </c>
    </row>
    <row r="176" spans="2:10" x14ac:dyDescent="0.3">
      <c r="B176" s="35"/>
      <c r="C176" s="5" t="s">
        <v>208</v>
      </c>
      <c r="D176" s="6">
        <v>1</v>
      </c>
      <c r="E176" s="37">
        <v>25</v>
      </c>
      <c r="F176" s="8">
        <f t="shared" si="43"/>
        <v>2.5000000000000001E-2</v>
      </c>
      <c r="G176" s="6">
        <f t="shared" si="44"/>
        <v>25</v>
      </c>
      <c r="H176" s="38">
        <f t="shared" si="45"/>
        <v>0.625</v>
      </c>
      <c r="I176" s="6">
        <f t="shared" si="46"/>
        <v>30</v>
      </c>
      <c r="J176" s="6">
        <f t="shared" si="47"/>
        <v>50</v>
      </c>
    </row>
    <row r="177" spans="2:10" x14ac:dyDescent="0.3">
      <c r="B177" s="35"/>
      <c r="C177" s="5" t="s">
        <v>701</v>
      </c>
      <c r="D177" s="11">
        <v>2.5</v>
      </c>
      <c r="E177" s="37">
        <v>45</v>
      </c>
      <c r="F177" s="8">
        <f t="shared" si="43"/>
        <v>0.11249999999999999</v>
      </c>
      <c r="G177" s="6">
        <f t="shared" si="44"/>
        <v>62.5</v>
      </c>
      <c r="H177" s="38">
        <f t="shared" si="45"/>
        <v>2.8125</v>
      </c>
      <c r="I177" s="6">
        <f t="shared" si="46"/>
        <v>75</v>
      </c>
      <c r="J177" s="6">
        <f t="shared" si="47"/>
        <v>125</v>
      </c>
    </row>
    <row r="178" spans="2:10" x14ac:dyDescent="0.3">
      <c r="B178" s="35"/>
      <c r="C178" s="5" t="s">
        <v>174</v>
      </c>
      <c r="D178" s="11">
        <v>0.3</v>
      </c>
      <c r="E178" s="37">
        <v>25</v>
      </c>
      <c r="F178" s="8">
        <f t="shared" si="43"/>
        <v>7.4999999999999997E-3</v>
      </c>
      <c r="G178" s="6">
        <f t="shared" si="44"/>
        <v>7.5</v>
      </c>
      <c r="H178" s="38">
        <f t="shared" si="45"/>
        <v>0.1875</v>
      </c>
      <c r="I178" s="6">
        <f t="shared" si="46"/>
        <v>9</v>
      </c>
      <c r="J178" s="6">
        <f t="shared" si="47"/>
        <v>15</v>
      </c>
    </row>
    <row r="179" spans="2:10" x14ac:dyDescent="0.3">
      <c r="D179" s="13">
        <f>SUM(D167:D178)</f>
        <v>999.8</v>
      </c>
      <c r="E179" s="14"/>
      <c r="F179" s="15">
        <f>SUM(F167:F178)</f>
        <v>17.304600000000001</v>
      </c>
      <c r="G179" s="13">
        <f>SUM(G167:G178)</f>
        <v>24995</v>
      </c>
      <c r="H179" s="39">
        <f>SUM(H167:H178)</f>
        <v>432.61500000000001</v>
      </c>
      <c r="I179" s="13">
        <f>SUM(I167:I178)</f>
        <v>29994</v>
      </c>
      <c r="J179" s="84">
        <f>SUM(J167:J178)</f>
        <v>49990</v>
      </c>
    </row>
    <row r="182" spans="2:10" ht="23.4" x14ac:dyDescent="0.45">
      <c r="C182" s="221" t="s">
        <v>964</v>
      </c>
      <c r="D182" s="222"/>
      <c r="E182" s="222"/>
      <c r="F182" s="222"/>
      <c r="G182" s="222"/>
      <c r="H182" s="222"/>
      <c r="I182" s="222"/>
      <c r="J182" s="223"/>
    </row>
    <row r="183" spans="2:10" ht="46.8" x14ac:dyDescent="0.3">
      <c r="B183" s="224">
        <v>16</v>
      </c>
      <c r="C183" s="225" t="s">
        <v>0</v>
      </c>
      <c r="D183" s="226" t="s">
        <v>135</v>
      </c>
      <c r="E183" s="226" t="s">
        <v>926</v>
      </c>
      <c r="F183" s="226" t="s">
        <v>819</v>
      </c>
      <c r="G183" s="226"/>
      <c r="H183" s="226" t="s">
        <v>126</v>
      </c>
      <c r="I183" s="226" t="s">
        <v>408</v>
      </c>
      <c r="J183" s="227"/>
    </row>
    <row r="184" spans="2:10" x14ac:dyDescent="0.3">
      <c r="C184" s="228" t="s">
        <v>173</v>
      </c>
      <c r="D184" s="229">
        <v>845</v>
      </c>
      <c r="E184" s="230"/>
      <c r="F184" s="231">
        <f>(E184/1000)*D184</f>
        <v>0</v>
      </c>
      <c r="G184" s="229"/>
      <c r="H184" s="229"/>
      <c r="I184" s="229"/>
      <c r="J184" s="232" t="s">
        <v>7</v>
      </c>
    </row>
    <row r="185" spans="2:10" x14ac:dyDescent="0.3">
      <c r="C185" s="228" t="s">
        <v>965</v>
      </c>
      <c r="D185" s="229">
        <v>50</v>
      </c>
      <c r="E185" s="230"/>
      <c r="F185" s="231"/>
      <c r="G185" s="229"/>
      <c r="H185" s="229"/>
      <c r="I185" s="229"/>
      <c r="J185" s="232"/>
    </row>
    <row r="186" spans="2:10" x14ac:dyDescent="0.3">
      <c r="C186" s="228" t="s">
        <v>59</v>
      </c>
      <c r="D186" s="229">
        <v>30</v>
      </c>
      <c r="E186" s="230"/>
      <c r="F186" s="231"/>
      <c r="G186" s="229"/>
      <c r="H186" s="229"/>
      <c r="I186" s="229"/>
      <c r="J186" s="232"/>
    </row>
    <row r="187" spans="2:10" x14ac:dyDescent="0.3">
      <c r="C187" s="228" t="s">
        <v>843</v>
      </c>
      <c r="D187" s="229">
        <v>50</v>
      </c>
      <c r="E187" s="230"/>
      <c r="F187" s="231"/>
      <c r="G187" s="229"/>
      <c r="H187" s="229"/>
      <c r="I187" s="229"/>
      <c r="J187" s="232"/>
    </row>
    <row r="188" spans="2:10" x14ac:dyDescent="0.3">
      <c r="C188" s="235"/>
      <c r="D188" s="253">
        <f>SUM(D184:D187)</f>
        <v>975</v>
      </c>
      <c r="E188" s="254"/>
      <c r="F188" s="255">
        <f>SUM(F184:F187)</f>
        <v>0</v>
      </c>
      <c r="G188" s="253">
        <f>SUM(G184:G187)</f>
        <v>0</v>
      </c>
      <c r="H188" s="258">
        <f>SUM(H184:H187)</f>
        <v>0</v>
      </c>
      <c r="I188" s="258">
        <f>SUM(I184:I187)</f>
        <v>0</v>
      </c>
      <c r="J188" s="257"/>
    </row>
    <row r="191" spans="2:10" ht="24.6" customHeight="1" x14ac:dyDescent="0.45">
      <c r="C191" s="172" t="s">
        <v>624</v>
      </c>
      <c r="D191" s="173"/>
      <c r="E191" s="173"/>
      <c r="F191" s="173"/>
      <c r="G191" s="173"/>
      <c r="H191" s="173"/>
    </row>
    <row r="192" spans="2:10" ht="62.4" x14ac:dyDescent="0.3">
      <c r="B192" s="1">
        <v>4</v>
      </c>
      <c r="C192" s="2" t="s">
        <v>0</v>
      </c>
      <c r="D192" s="3" t="s">
        <v>1</v>
      </c>
      <c r="E192" s="3" t="s">
        <v>2</v>
      </c>
      <c r="F192" s="3" t="s">
        <v>24</v>
      </c>
      <c r="G192" s="3" t="s">
        <v>577</v>
      </c>
      <c r="H192" s="3" t="s">
        <v>576</v>
      </c>
    </row>
    <row r="193" spans="2:10" x14ac:dyDescent="0.3">
      <c r="C193" s="5" t="s">
        <v>573</v>
      </c>
      <c r="D193" s="11">
        <v>965</v>
      </c>
      <c r="E193" s="11">
        <v>8</v>
      </c>
      <c r="F193" s="8">
        <v>7.5</v>
      </c>
      <c r="G193" s="6">
        <f>(D193*50)</f>
        <v>48250</v>
      </c>
      <c r="H193" s="6">
        <f>(D193*50)</f>
        <v>48250</v>
      </c>
    </row>
    <row r="194" spans="2:10" x14ac:dyDescent="0.3">
      <c r="C194" s="5" t="s">
        <v>574</v>
      </c>
      <c r="D194" s="11">
        <v>30</v>
      </c>
      <c r="E194" s="11">
        <v>75</v>
      </c>
      <c r="F194" s="8">
        <f t="shared" ref="F194:F200" si="48">(E194/1000)*D194</f>
        <v>2.25</v>
      </c>
      <c r="G194" s="6">
        <f t="shared" ref="G194:G200" si="49">(D194*50)</f>
        <v>1500</v>
      </c>
      <c r="H194" s="6">
        <f t="shared" ref="H194:H200" si="50">(D194*50)</f>
        <v>1500</v>
      </c>
    </row>
    <row r="195" spans="2:10" x14ac:dyDescent="0.3">
      <c r="C195" s="24" t="s">
        <v>21</v>
      </c>
      <c r="D195" s="11">
        <v>5</v>
      </c>
      <c r="E195" s="11">
        <v>120</v>
      </c>
      <c r="F195" s="8">
        <f t="shared" si="48"/>
        <v>0.6</v>
      </c>
      <c r="G195" s="6">
        <f t="shared" si="49"/>
        <v>250</v>
      </c>
      <c r="H195" s="6">
        <f t="shared" si="50"/>
        <v>250</v>
      </c>
    </row>
    <row r="196" spans="2:10" x14ac:dyDescent="0.3">
      <c r="C196" s="5" t="s">
        <v>484</v>
      </c>
      <c r="D196" s="6">
        <v>1</v>
      </c>
      <c r="E196" s="6">
        <v>380</v>
      </c>
      <c r="F196" s="8">
        <f t="shared" si="48"/>
        <v>0.38</v>
      </c>
      <c r="G196" s="6">
        <f t="shared" si="49"/>
        <v>50</v>
      </c>
      <c r="H196" s="6">
        <f t="shared" si="50"/>
        <v>50</v>
      </c>
    </row>
    <row r="197" spans="2:10" x14ac:dyDescent="0.3">
      <c r="C197" s="5" t="s">
        <v>520</v>
      </c>
      <c r="D197" s="6">
        <v>3</v>
      </c>
      <c r="E197" s="6">
        <v>390</v>
      </c>
      <c r="F197" s="8">
        <f t="shared" si="48"/>
        <v>1.17</v>
      </c>
      <c r="G197" s="6">
        <f t="shared" si="49"/>
        <v>150</v>
      </c>
      <c r="H197" s="6">
        <f t="shared" si="50"/>
        <v>150</v>
      </c>
    </row>
    <row r="198" spans="2:10" x14ac:dyDescent="0.3">
      <c r="C198" s="5" t="s">
        <v>625</v>
      </c>
      <c r="D198" s="6">
        <v>3</v>
      </c>
      <c r="E198" s="6">
        <v>536</v>
      </c>
      <c r="F198" s="8">
        <f t="shared" si="48"/>
        <v>1.6080000000000001</v>
      </c>
      <c r="G198" s="6">
        <f t="shared" si="49"/>
        <v>150</v>
      </c>
      <c r="H198" s="6">
        <f t="shared" si="50"/>
        <v>150</v>
      </c>
    </row>
    <row r="199" spans="2:10" x14ac:dyDescent="0.3">
      <c r="C199" s="5" t="s">
        <v>626</v>
      </c>
      <c r="D199" s="6">
        <v>2</v>
      </c>
      <c r="E199" s="6">
        <v>636</v>
      </c>
      <c r="F199" s="8">
        <f t="shared" si="48"/>
        <v>1.272</v>
      </c>
      <c r="G199" s="6">
        <f t="shared" si="49"/>
        <v>100</v>
      </c>
      <c r="H199" s="6">
        <f t="shared" si="50"/>
        <v>100</v>
      </c>
    </row>
    <row r="200" spans="2:10" x14ac:dyDescent="0.3">
      <c r="C200" s="5" t="s">
        <v>627</v>
      </c>
      <c r="D200" s="6">
        <v>2</v>
      </c>
      <c r="E200" s="6">
        <v>248</v>
      </c>
      <c r="F200" s="8">
        <f t="shared" si="48"/>
        <v>0.496</v>
      </c>
      <c r="G200" s="6">
        <f t="shared" si="49"/>
        <v>100</v>
      </c>
      <c r="H200" s="6">
        <f t="shared" si="50"/>
        <v>100</v>
      </c>
    </row>
    <row r="201" spans="2:10" x14ac:dyDescent="0.3">
      <c r="C201" s="27"/>
      <c r="D201" s="19">
        <f>SUM(D193:D200)</f>
        <v>1011</v>
      </c>
      <c r="E201" s="20"/>
      <c r="F201" s="21">
        <f>SUM(F193:F200)</f>
        <v>15.276000000000002</v>
      </c>
      <c r="G201" s="19">
        <f>SUM(G193:G200)</f>
        <v>50550</v>
      </c>
      <c r="H201" s="153">
        <f>SUM(H193:H200)</f>
        <v>50550</v>
      </c>
    </row>
    <row r="204" spans="2:10" ht="23.4" x14ac:dyDescent="0.45">
      <c r="B204">
        <v>0</v>
      </c>
      <c r="C204" s="172" t="s">
        <v>686</v>
      </c>
      <c r="D204" s="173"/>
      <c r="E204" s="173"/>
      <c r="F204" s="173"/>
      <c r="G204" s="173"/>
      <c r="H204" s="173"/>
      <c r="I204" s="173"/>
      <c r="J204" s="174"/>
    </row>
    <row r="205" spans="2:10" ht="62.4" x14ac:dyDescent="0.3">
      <c r="B205" s="1">
        <v>0</v>
      </c>
      <c r="C205" s="2" t="s">
        <v>0</v>
      </c>
      <c r="D205" s="3" t="s">
        <v>1</v>
      </c>
      <c r="E205" s="3" t="s">
        <v>2</v>
      </c>
      <c r="F205" s="3" t="s">
        <v>24</v>
      </c>
      <c r="G205" s="3" t="s">
        <v>270</v>
      </c>
      <c r="H205" s="3" t="s">
        <v>102</v>
      </c>
      <c r="I205" s="3" t="s">
        <v>408</v>
      </c>
      <c r="J205" s="3" t="s">
        <v>87</v>
      </c>
    </row>
    <row r="206" spans="2:10" x14ac:dyDescent="0.3">
      <c r="C206" s="5" t="s">
        <v>67</v>
      </c>
      <c r="D206" s="6">
        <v>70</v>
      </c>
      <c r="E206" s="11">
        <v>20</v>
      </c>
      <c r="F206" s="8">
        <f t="shared" ref="F206:F213" si="51">(E206/1000)*D206</f>
        <v>1.4000000000000001</v>
      </c>
      <c r="G206" s="6">
        <f t="shared" ref="G206:G212" si="52">(D206*20)</f>
        <v>1400</v>
      </c>
      <c r="H206" s="6">
        <f t="shared" ref="H206:H213" si="53">(D206*15)</f>
        <v>1050</v>
      </c>
      <c r="I206" s="6">
        <f>(D206*114)</f>
        <v>7980</v>
      </c>
      <c r="J206" s="6">
        <f>(D206*100)</f>
        <v>7000</v>
      </c>
    </row>
    <row r="207" spans="2:10" x14ac:dyDescent="0.3">
      <c r="C207" s="5" t="s">
        <v>68</v>
      </c>
      <c r="D207" s="6">
        <v>70</v>
      </c>
      <c r="E207" s="6">
        <v>20</v>
      </c>
      <c r="F207" s="8">
        <f t="shared" si="51"/>
        <v>1.4000000000000001</v>
      </c>
      <c r="G207" s="6">
        <f t="shared" si="52"/>
        <v>1400</v>
      </c>
      <c r="H207" s="6">
        <f t="shared" si="53"/>
        <v>1050</v>
      </c>
      <c r="I207" s="6">
        <f t="shared" ref="I207:I213" si="54">(D207*114)</f>
        <v>7980</v>
      </c>
      <c r="J207" s="6">
        <f t="shared" ref="J207:J213" si="55">(D207*100)</f>
        <v>7000</v>
      </c>
    </row>
    <row r="208" spans="2:10" x14ac:dyDescent="0.3">
      <c r="C208" s="5" t="s">
        <v>125</v>
      </c>
      <c r="D208" s="6">
        <v>30</v>
      </c>
      <c r="E208" s="6">
        <v>60</v>
      </c>
      <c r="F208" s="8">
        <f t="shared" si="51"/>
        <v>1.7999999999999998</v>
      </c>
      <c r="G208" s="6">
        <f t="shared" si="52"/>
        <v>600</v>
      </c>
      <c r="H208" s="6">
        <f t="shared" si="53"/>
        <v>450</v>
      </c>
      <c r="I208" s="6">
        <f t="shared" si="54"/>
        <v>3420</v>
      </c>
      <c r="J208" s="6">
        <f t="shared" si="55"/>
        <v>3000</v>
      </c>
    </row>
    <row r="209" spans="2:10" x14ac:dyDescent="0.3">
      <c r="C209" s="5" t="s">
        <v>244</v>
      </c>
      <c r="D209" s="6">
        <v>30</v>
      </c>
      <c r="E209" s="6">
        <v>250</v>
      </c>
      <c r="F209" s="8">
        <f t="shared" si="51"/>
        <v>7.5</v>
      </c>
      <c r="G209" s="6">
        <f t="shared" si="52"/>
        <v>600</v>
      </c>
      <c r="H209" s="6">
        <f t="shared" si="53"/>
        <v>450</v>
      </c>
      <c r="I209" s="6">
        <f t="shared" si="54"/>
        <v>3420</v>
      </c>
      <c r="J209" s="6">
        <f t="shared" si="55"/>
        <v>3000</v>
      </c>
    </row>
    <row r="210" spans="2:10" x14ac:dyDescent="0.3">
      <c r="C210" s="5" t="s">
        <v>535</v>
      </c>
      <c r="D210" s="32">
        <v>0.5</v>
      </c>
      <c r="E210" s="6">
        <v>960</v>
      </c>
      <c r="F210" s="8">
        <f t="shared" si="51"/>
        <v>0.48</v>
      </c>
      <c r="G210" s="6">
        <f t="shared" si="52"/>
        <v>10</v>
      </c>
      <c r="H210" s="6">
        <f t="shared" si="53"/>
        <v>7.5</v>
      </c>
      <c r="I210" s="6">
        <f t="shared" si="54"/>
        <v>57</v>
      </c>
      <c r="J210" s="6">
        <f t="shared" si="55"/>
        <v>50</v>
      </c>
    </row>
    <row r="211" spans="2:10" x14ac:dyDescent="0.3">
      <c r="C211" s="24" t="s">
        <v>59</v>
      </c>
      <c r="D211" s="25">
        <v>20</v>
      </c>
      <c r="E211" s="6">
        <v>8</v>
      </c>
      <c r="F211" s="8">
        <f t="shared" si="51"/>
        <v>0.16</v>
      </c>
      <c r="G211" s="6">
        <f t="shared" si="52"/>
        <v>400</v>
      </c>
      <c r="H211" s="6">
        <f t="shared" si="53"/>
        <v>300</v>
      </c>
      <c r="I211" s="6">
        <f t="shared" si="54"/>
        <v>2280</v>
      </c>
      <c r="J211" s="6">
        <f t="shared" si="55"/>
        <v>2000</v>
      </c>
    </row>
    <row r="212" spans="2:10" x14ac:dyDescent="0.3">
      <c r="C212" s="24" t="s">
        <v>16</v>
      </c>
      <c r="D212" s="25">
        <v>777</v>
      </c>
      <c r="E212" s="11">
        <v>0.6</v>
      </c>
      <c r="F212" s="8">
        <f t="shared" si="51"/>
        <v>0.46619999999999995</v>
      </c>
      <c r="G212" s="6">
        <f t="shared" si="52"/>
        <v>15540</v>
      </c>
      <c r="H212" s="6">
        <f t="shared" si="53"/>
        <v>11655</v>
      </c>
      <c r="I212" s="6">
        <f t="shared" si="54"/>
        <v>88578</v>
      </c>
      <c r="J212" s="6">
        <f t="shared" si="55"/>
        <v>77700</v>
      </c>
    </row>
    <row r="213" spans="2:10" x14ac:dyDescent="0.3">
      <c r="C213" s="24" t="s">
        <v>385</v>
      </c>
      <c r="D213" s="32">
        <v>2.5</v>
      </c>
      <c r="E213" s="6">
        <v>60</v>
      </c>
      <c r="F213" s="8">
        <f t="shared" si="51"/>
        <v>0.15</v>
      </c>
      <c r="G213" s="6">
        <f t="shared" ref="G213" si="56">(D213*20)</f>
        <v>50</v>
      </c>
      <c r="H213" s="6">
        <f t="shared" si="53"/>
        <v>37.5</v>
      </c>
      <c r="I213" s="6">
        <f t="shared" si="54"/>
        <v>285</v>
      </c>
      <c r="J213" s="6">
        <f t="shared" si="55"/>
        <v>250</v>
      </c>
    </row>
    <row r="214" spans="2:10" x14ac:dyDescent="0.3">
      <c r="C214" s="27"/>
      <c r="D214" s="13">
        <f>SUM(D206:D213)</f>
        <v>1000</v>
      </c>
      <c r="E214" s="14"/>
      <c r="F214" s="15">
        <f>SUM(F206:F213)</f>
        <v>13.356200000000001</v>
      </c>
      <c r="G214" s="13">
        <f>SUM(G206:G213)</f>
        <v>20000</v>
      </c>
      <c r="H214" s="16">
        <f>SUM(H206:H213)</f>
        <v>15000</v>
      </c>
      <c r="I214" s="84">
        <f>SUM(I206:I213)</f>
        <v>114000</v>
      </c>
      <c r="J214" s="84">
        <f>SUM(J206:J213)</f>
        <v>100000</v>
      </c>
    </row>
    <row r="218" spans="2:10" ht="23.4" x14ac:dyDescent="0.45">
      <c r="C218" s="172" t="s">
        <v>754</v>
      </c>
      <c r="D218" s="173"/>
      <c r="E218" s="173"/>
      <c r="F218" s="173"/>
      <c r="G218" s="173"/>
      <c r="H218" s="173"/>
      <c r="I218" s="173"/>
      <c r="J218" s="174"/>
    </row>
    <row r="219" spans="2:10" ht="62.4" x14ac:dyDescent="0.3">
      <c r="B219" s="1">
        <v>4</v>
      </c>
      <c r="C219" s="2" t="s">
        <v>0</v>
      </c>
      <c r="D219" s="3" t="s">
        <v>1</v>
      </c>
      <c r="E219" s="3" t="s">
        <v>2</v>
      </c>
      <c r="F219" s="3" t="s">
        <v>24</v>
      </c>
      <c r="G219" s="3" t="s">
        <v>752</v>
      </c>
      <c r="H219" s="3" t="s">
        <v>548</v>
      </c>
      <c r="I219" s="3" t="s">
        <v>87</v>
      </c>
      <c r="J219" s="3" t="s">
        <v>753</v>
      </c>
    </row>
    <row r="220" spans="2:10" x14ac:dyDescent="0.3">
      <c r="C220" s="24" t="s">
        <v>232</v>
      </c>
      <c r="D220" s="11">
        <v>673</v>
      </c>
      <c r="E220" s="11"/>
      <c r="F220" s="8"/>
      <c r="G220" s="6">
        <f>(D220*75)</f>
        <v>50475</v>
      </c>
      <c r="H220" s="6"/>
      <c r="I220" s="6">
        <f>(D220*100)</f>
        <v>67300</v>
      </c>
      <c r="J220" s="6">
        <f>(D220*150)</f>
        <v>100950</v>
      </c>
    </row>
    <row r="221" spans="2:10" x14ac:dyDescent="0.3">
      <c r="C221" s="5" t="s">
        <v>19</v>
      </c>
      <c r="D221" s="11">
        <v>30</v>
      </c>
      <c r="E221" s="11"/>
      <c r="F221" s="8"/>
      <c r="G221" s="6">
        <f t="shared" ref="G221:G230" si="57">(D221*75)</f>
        <v>2250</v>
      </c>
      <c r="H221" s="6"/>
      <c r="I221" s="6">
        <f t="shared" ref="I221:I234" si="58">(D221*100)</f>
        <v>3000</v>
      </c>
      <c r="J221" s="6">
        <f t="shared" ref="J221:J234" si="59">(D221*150)</f>
        <v>4500</v>
      </c>
    </row>
    <row r="222" spans="2:10" x14ac:dyDescent="0.3">
      <c r="C222" s="5" t="s">
        <v>244</v>
      </c>
      <c r="D222" s="11">
        <v>3</v>
      </c>
      <c r="E222" s="11"/>
      <c r="F222" s="8"/>
      <c r="G222" s="6">
        <f t="shared" si="57"/>
        <v>225</v>
      </c>
      <c r="H222" s="6"/>
      <c r="I222" s="6">
        <f t="shared" si="58"/>
        <v>300</v>
      </c>
      <c r="J222" s="6">
        <f t="shared" si="59"/>
        <v>450</v>
      </c>
    </row>
    <row r="223" spans="2:10" x14ac:dyDescent="0.3">
      <c r="C223" s="5" t="s">
        <v>481</v>
      </c>
      <c r="D223" s="11">
        <v>150</v>
      </c>
      <c r="E223" s="11"/>
      <c r="F223" s="8"/>
      <c r="G223" s="6">
        <f t="shared" si="57"/>
        <v>11250</v>
      </c>
      <c r="H223" s="6"/>
      <c r="I223" s="6">
        <f t="shared" si="58"/>
        <v>15000</v>
      </c>
      <c r="J223" s="6">
        <f t="shared" si="59"/>
        <v>22500</v>
      </c>
    </row>
    <row r="224" spans="2:10" x14ac:dyDescent="0.3">
      <c r="C224" s="5" t="s">
        <v>203</v>
      </c>
      <c r="D224" s="11">
        <v>50</v>
      </c>
      <c r="E224" s="11"/>
      <c r="F224" s="8"/>
      <c r="G224" s="6">
        <f t="shared" si="57"/>
        <v>3750</v>
      </c>
      <c r="H224" s="6"/>
      <c r="I224" s="6">
        <f t="shared" si="58"/>
        <v>5000</v>
      </c>
      <c r="J224" s="6">
        <f t="shared" si="59"/>
        <v>7500</v>
      </c>
    </row>
    <row r="225" spans="2:10" x14ac:dyDescent="0.3">
      <c r="C225" s="5" t="s">
        <v>750</v>
      </c>
      <c r="D225" s="11">
        <v>20</v>
      </c>
      <c r="E225" s="11"/>
      <c r="F225" s="8"/>
      <c r="G225" s="6">
        <f t="shared" si="57"/>
        <v>1500</v>
      </c>
      <c r="H225" s="6"/>
      <c r="I225" s="6">
        <f t="shared" si="58"/>
        <v>2000</v>
      </c>
      <c r="J225" s="6">
        <f t="shared" si="59"/>
        <v>3000</v>
      </c>
    </row>
    <row r="226" spans="2:10" x14ac:dyDescent="0.3">
      <c r="C226" s="5" t="s">
        <v>536</v>
      </c>
      <c r="D226" s="11">
        <v>20</v>
      </c>
      <c r="E226" s="11"/>
      <c r="F226" s="8"/>
      <c r="G226" s="6">
        <f t="shared" si="57"/>
        <v>1500</v>
      </c>
      <c r="H226" s="6"/>
      <c r="I226" s="6">
        <f t="shared" si="58"/>
        <v>2000</v>
      </c>
      <c r="J226" s="6">
        <f t="shared" si="59"/>
        <v>3000</v>
      </c>
    </row>
    <row r="227" spans="2:10" x14ac:dyDescent="0.3">
      <c r="C227" s="5" t="s">
        <v>619</v>
      </c>
      <c r="D227" s="11">
        <v>20</v>
      </c>
      <c r="E227" s="11"/>
      <c r="F227" s="8"/>
      <c r="G227" s="6">
        <f t="shared" si="57"/>
        <v>1500</v>
      </c>
      <c r="H227" s="6"/>
      <c r="I227" s="6">
        <f t="shared" si="58"/>
        <v>2000</v>
      </c>
      <c r="J227" s="6">
        <f t="shared" si="59"/>
        <v>3000</v>
      </c>
    </row>
    <row r="228" spans="2:10" x14ac:dyDescent="0.3">
      <c r="C228" s="5" t="s">
        <v>521</v>
      </c>
      <c r="D228" s="11">
        <v>10</v>
      </c>
      <c r="E228" s="11"/>
      <c r="F228" s="8"/>
      <c r="G228" s="6">
        <f t="shared" si="57"/>
        <v>750</v>
      </c>
      <c r="H228" s="6"/>
      <c r="I228" s="6">
        <f t="shared" si="58"/>
        <v>1000</v>
      </c>
      <c r="J228" s="6">
        <f t="shared" si="59"/>
        <v>1500</v>
      </c>
    </row>
    <row r="229" spans="2:10" x14ac:dyDescent="0.3">
      <c r="C229" s="5" t="s">
        <v>56</v>
      </c>
      <c r="D229" s="11">
        <v>2</v>
      </c>
      <c r="E229" s="11"/>
      <c r="F229" s="8"/>
      <c r="G229" s="6">
        <f t="shared" si="57"/>
        <v>150</v>
      </c>
      <c r="H229" s="6"/>
      <c r="I229" s="6">
        <f t="shared" si="58"/>
        <v>200</v>
      </c>
      <c r="J229" s="6">
        <f t="shared" si="59"/>
        <v>300</v>
      </c>
    </row>
    <row r="230" spans="2:10" x14ac:dyDescent="0.3">
      <c r="C230" s="5" t="s">
        <v>57</v>
      </c>
      <c r="D230" s="11">
        <v>1</v>
      </c>
      <c r="E230" s="11"/>
      <c r="F230" s="8"/>
      <c r="G230" s="6">
        <f t="shared" si="57"/>
        <v>75</v>
      </c>
      <c r="H230" s="6"/>
      <c r="I230" s="6">
        <f t="shared" si="58"/>
        <v>100</v>
      </c>
      <c r="J230" s="6">
        <f t="shared" si="59"/>
        <v>150</v>
      </c>
    </row>
    <row r="231" spans="2:10" x14ac:dyDescent="0.3">
      <c r="C231" s="5" t="s">
        <v>751</v>
      </c>
      <c r="D231" s="11">
        <v>1</v>
      </c>
      <c r="E231" s="11">
        <v>20</v>
      </c>
      <c r="F231" s="8">
        <f t="shared" ref="F231:F234" si="60">(E231/1000)*D231</f>
        <v>0.02</v>
      </c>
      <c r="G231" s="6">
        <f>(D231*75)</f>
        <v>75</v>
      </c>
      <c r="H231" s="6">
        <f t="shared" ref="H231:H234" si="61">(D231*50)</f>
        <v>50</v>
      </c>
      <c r="I231" s="6">
        <f t="shared" si="58"/>
        <v>100</v>
      </c>
      <c r="J231" s="6">
        <f t="shared" si="59"/>
        <v>150</v>
      </c>
    </row>
    <row r="232" spans="2:10" x14ac:dyDescent="0.3">
      <c r="C232" s="5" t="s">
        <v>520</v>
      </c>
      <c r="D232" s="11">
        <v>2</v>
      </c>
      <c r="E232" s="11">
        <v>15</v>
      </c>
      <c r="F232" s="8">
        <f t="shared" si="60"/>
        <v>0.03</v>
      </c>
      <c r="G232" s="6">
        <f t="shared" ref="G232:G234" si="62">(D232*75)</f>
        <v>150</v>
      </c>
      <c r="H232" s="6">
        <f t="shared" si="61"/>
        <v>100</v>
      </c>
      <c r="I232" s="6">
        <f t="shared" si="58"/>
        <v>200</v>
      </c>
      <c r="J232" s="6">
        <f t="shared" si="59"/>
        <v>300</v>
      </c>
    </row>
    <row r="233" spans="2:10" x14ac:dyDescent="0.3">
      <c r="C233" s="24" t="s">
        <v>620</v>
      </c>
      <c r="D233" s="11">
        <v>15</v>
      </c>
      <c r="E233" s="11">
        <v>8</v>
      </c>
      <c r="F233" s="8">
        <f t="shared" si="60"/>
        <v>0.12</v>
      </c>
      <c r="G233" s="6">
        <f t="shared" si="62"/>
        <v>1125</v>
      </c>
      <c r="H233" s="6">
        <f t="shared" si="61"/>
        <v>750</v>
      </c>
      <c r="I233" s="6">
        <f t="shared" si="58"/>
        <v>1500</v>
      </c>
      <c r="J233" s="6">
        <f t="shared" si="59"/>
        <v>2250</v>
      </c>
    </row>
    <row r="234" spans="2:10" x14ac:dyDescent="0.3">
      <c r="C234" s="5" t="s">
        <v>174</v>
      </c>
      <c r="D234" s="6">
        <v>3</v>
      </c>
      <c r="E234" s="6">
        <v>25</v>
      </c>
      <c r="F234" s="8">
        <f t="shared" si="60"/>
        <v>7.5000000000000011E-2</v>
      </c>
      <c r="G234" s="6">
        <f t="shared" si="62"/>
        <v>225</v>
      </c>
      <c r="H234" s="6">
        <f t="shared" si="61"/>
        <v>150</v>
      </c>
      <c r="I234" s="6">
        <f t="shared" si="58"/>
        <v>300</v>
      </c>
      <c r="J234" s="6">
        <f t="shared" si="59"/>
        <v>450</v>
      </c>
    </row>
    <row r="235" spans="2:10" x14ac:dyDescent="0.3">
      <c r="C235" s="27"/>
      <c r="D235" s="19">
        <f>SUM(D220:D234)</f>
        <v>1000</v>
      </c>
      <c r="E235" s="20"/>
      <c r="F235" s="21">
        <f>SUM(F220:F234)</f>
        <v>0.245</v>
      </c>
      <c r="G235" s="19">
        <f>SUM(G220:G234)</f>
        <v>75000</v>
      </c>
      <c r="H235" s="153">
        <f>SUM(H220:H234)</f>
        <v>1050</v>
      </c>
      <c r="I235" s="154">
        <f>SUM(I220:I234)</f>
        <v>100000</v>
      </c>
      <c r="J235" s="170">
        <f>SUM(J220:J234)</f>
        <v>150000</v>
      </c>
    </row>
    <row r="238" spans="2:10" ht="23.4" x14ac:dyDescent="0.45">
      <c r="C238" s="172" t="s">
        <v>792</v>
      </c>
      <c r="D238" s="173"/>
      <c r="E238" s="173"/>
      <c r="F238" s="173"/>
      <c r="G238" s="173"/>
      <c r="H238" s="173"/>
      <c r="I238" s="173"/>
      <c r="J238" s="174"/>
    </row>
    <row r="239" spans="2:10" ht="62.4" x14ac:dyDescent="0.3">
      <c r="B239" s="1">
        <v>2</v>
      </c>
      <c r="C239" s="36" t="s">
        <v>0</v>
      </c>
      <c r="D239" s="4" t="s">
        <v>1</v>
      </c>
      <c r="E239" s="4" t="s">
        <v>2</v>
      </c>
      <c r="F239" s="4" t="s">
        <v>14</v>
      </c>
      <c r="G239" s="4" t="s">
        <v>793</v>
      </c>
      <c r="H239" s="4" t="s">
        <v>75</v>
      </c>
      <c r="I239" s="4" t="s">
        <v>715</v>
      </c>
      <c r="J239" s="4" t="s">
        <v>76</v>
      </c>
    </row>
    <row r="240" spans="2:10" x14ac:dyDescent="0.3">
      <c r="B240" s="35"/>
      <c r="C240" s="5" t="s">
        <v>16</v>
      </c>
      <c r="D240" s="6">
        <v>868</v>
      </c>
      <c r="E240" s="37">
        <v>0.6</v>
      </c>
      <c r="F240" s="8">
        <f t="shared" ref="F240:F249" si="63">(E240/1000)*D240</f>
        <v>0.52079999999999993</v>
      </c>
      <c r="G240" s="6">
        <f>(D240*18)</f>
        <v>15624</v>
      </c>
      <c r="H240" s="38">
        <f>(E240/1000)*G240</f>
        <v>9.3743999999999996</v>
      </c>
      <c r="I240" s="6">
        <f>(D240*30)</f>
        <v>26040</v>
      </c>
      <c r="J240" s="6">
        <f>(D240*50)</f>
        <v>43400</v>
      </c>
    </row>
    <row r="241" spans="2:10" x14ac:dyDescent="0.3">
      <c r="B241" s="35"/>
      <c r="C241" s="5" t="s">
        <v>550</v>
      </c>
      <c r="D241" s="6">
        <v>20</v>
      </c>
      <c r="E241" s="37">
        <v>124</v>
      </c>
      <c r="F241" s="8">
        <f t="shared" si="63"/>
        <v>2.48</v>
      </c>
      <c r="G241" s="6">
        <f t="shared" ref="G241:G249" si="64">(D241*18)</f>
        <v>360</v>
      </c>
      <c r="H241" s="38">
        <f t="shared" ref="H241:H249" si="65">(E241/1000)*G241</f>
        <v>44.64</v>
      </c>
      <c r="I241" s="6">
        <f t="shared" ref="I241:I249" si="66">(D241*30)</f>
        <v>600</v>
      </c>
      <c r="J241" s="6">
        <f t="shared" ref="J241:J249" si="67">(D241*50)</f>
        <v>1000</v>
      </c>
    </row>
    <row r="242" spans="2:10" x14ac:dyDescent="0.3">
      <c r="B242" s="35"/>
      <c r="C242" s="5" t="s">
        <v>59</v>
      </c>
      <c r="D242" s="6">
        <v>30</v>
      </c>
      <c r="E242" s="37">
        <v>8</v>
      </c>
      <c r="F242" s="8">
        <f t="shared" si="63"/>
        <v>0.24</v>
      </c>
      <c r="G242" s="6">
        <f t="shared" si="64"/>
        <v>540</v>
      </c>
      <c r="H242" s="38">
        <f t="shared" si="65"/>
        <v>4.32</v>
      </c>
      <c r="I242" s="6">
        <f t="shared" si="66"/>
        <v>900</v>
      </c>
      <c r="J242" s="6">
        <f t="shared" si="67"/>
        <v>1500</v>
      </c>
    </row>
    <row r="243" spans="2:10" x14ac:dyDescent="0.3">
      <c r="B243" s="35"/>
      <c r="C243" s="5" t="s">
        <v>517</v>
      </c>
      <c r="D243" s="6">
        <v>20</v>
      </c>
      <c r="E243" s="37">
        <v>130</v>
      </c>
      <c r="F243" s="8">
        <f t="shared" si="63"/>
        <v>2.6</v>
      </c>
      <c r="G243" s="6">
        <f t="shared" si="64"/>
        <v>360</v>
      </c>
      <c r="H243" s="38">
        <f t="shared" si="65"/>
        <v>46.800000000000004</v>
      </c>
      <c r="I243" s="6">
        <f t="shared" si="66"/>
        <v>600</v>
      </c>
      <c r="J243" s="6">
        <f t="shared" si="67"/>
        <v>1000</v>
      </c>
    </row>
    <row r="244" spans="2:10" x14ac:dyDescent="0.3">
      <c r="B244" s="35"/>
      <c r="C244" s="5" t="s">
        <v>551</v>
      </c>
      <c r="D244" s="6">
        <v>20</v>
      </c>
      <c r="E244" s="37">
        <v>124</v>
      </c>
      <c r="F244" s="8">
        <f t="shared" si="63"/>
        <v>2.48</v>
      </c>
      <c r="G244" s="6">
        <f t="shared" si="64"/>
        <v>360</v>
      </c>
      <c r="H244" s="38">
        <f t="shared" si="65"/>
        <v>44.64</v>
      </c>
      <c r="I244" s="6">
        <f t="shared" si="66"/>
        <v>600</v>
      </c>
      <c r="J244" s="6">
        <f t="shared" si="67"/>
        <v>1000</v>
      </c>
    </row>
    <row r="245" spans="2:10" x14ac:dyDescent="0.3">
      <c r="B245" s="35"/>
      <c r="C245" s="5" t="s">
        <v>226</v>
      </c>
      <c r="D245" s="6">
        <v>20</v>
      </c>
      <c r="E245" s="37">
        <v>124</v>
      </c>
      <c r="F245" s="8">
        <f t="shared" si="63"/>
        <v>2.48</v>
      </c>
      <c r="G245" s="6">
        <f t="shared" si="64"/>
        <v>360</v>
      </c>
      <c r="H245" s="38">
        <f t="shared" si="65"/>
        <v>44.64</v>
      </c>
      <c r="I245" s="6">
        <f t="shared" si="66"/>
        <v>600</v>
      </c>
      <c r="J245" s="6">
        <f t="shared" si="67"/>
        <v>1000</v>
      </c>
    </row>
    <row r="246" spans="2:10" x14ac:dyDescent="0.3">
      <c r="B246" s="35"/>
      <c r="C246" s="5" t="s">
        <v>552</v>
      </c>
      <c r="D246" s="6">
        <v>20</v>
      </c>
      <c r="E246" s="37">
        <v>124</v>
      </c>
      <c r="F246" s="8">
        <f t="shared" si="63"/>
        <v>2.48</v>
      </c>
      <c r="G246" s="6">
        <f t="shared" si="64"/>
        <v>360</v>
      </c>
      <c r="H246" s="38">
        <f t="shared" si="65"/>
        <v>44.64</v>
      </c>
      <c r="I246" s="6">
        <f t="shared" si="66"/>
        <v>600</v>
      </c>
      <c r="J246" s="6">
        <f t="shared" si="67"/>
        <v>1000</v>
      </c>
    </row>
    <row r="247" spans="2:10" x14ac:dyDescent="0.3">
      <c r="B247" s="35"/>
      <c r="C247" s="5" t="s">
        <v>208</v>
      </c>
      <c r="D247" s="6">
        <v>1</v>
      </c>
      <c r="E247" s="37">
        <v>25</v>
      </c>
      <c r="F247" s="8">
        <f t="shared" si="63"/>
        <v>2.5000000000000001E-2</v>
      </c>
      <c r="G247" s="6">
        <f t="shared" si="64"/>
        <v>18</v>
      </c>
      <c r="H247" s="38">
        <f t="shared" si="65"/>
        <v>0.45</v>
      </c>
      <c r="I247" s="6">
        <f t="shared" si="66"/>
        <v>30</v>
      </c>
      <c r="J247" s="6">
        <f t="shared" si="67"/>
        <v>50</v>
      </c>
    </row>
    <row r="248" spans="2:10" x14ac:dyDescent="0.3">
      <c r="B248" s="35"/>
      <c r="C248" s="5" t="s">
        <v>701</v>
      </c>
      <c r="D248" s="11">
        <v>2.5</v>
      </c>
      <c r="E248" s="37">
        <v>45</v>
      </c>
      <c r="F248" s="8">
        <f t="shared" si="63"/>
        <v>0.11249999999999999</v>
      </c>
      <c r="G248" s="6">
        <f t="shared" si="64"/>
        <v>45</v>
      </c>
      <c r="H248" s="38">
        <f t="shared" si="65"/>
        <v>2.0249999999999999</v>
      </c>
      <c r="I248" s="6">
        <f t="shared" si="66"/>
        <v>75</v>
      </c>
      <c r="J248" s="6">
        <f t="shared" si="67"/>
        <v>125</v>
      </c>
    </row>
    <row r="249" spans="2:10" x14ac:dyDescent="0.3">
      <c r="B249" s="35"/>
      <c r="C249" s="5" t="s">
        <v>174</v>
      </c>
      <c r="D249" s="11">
        <v>0.3</v>
      </c>
      <c r="E249" s="37">
        <v>25</v>
      </c>
      <c r="F249" s="8">
        <f t="shared" si="63"/>
        <v>7.4999999999999997E-3</v>
      </c>
      <c r="G249" s="6">
        <f t="shared" si="64"/>
        <v>5.3999999999999995</v>
      </c>
      <c r="H249" s="38">
        <f t="shared" si="65"/>
        <v>0.13499999999999998</v>
      </c>
      <c r="I249" s="6">
        <f t="shared" si="66"/>
        <v>9</v>
      </c>
      <c r="J249" s="6">
        <f t="shared" si="67"/>
        <v>15</v>
      </c>
    </row>
    <row r="250" spans="2:10" x14ac:dyDescent="0.3">
      <c r="D250" s="13">
        <f>SUM(D240:D249)</f>
        <v>1001.8</v>
      </c>
      <c r="E250" s="14"/>
      <c r="F250" s="15">
        <f>SUM(F240:F249)</f>
        <v>13.425800000000002</v>
      </c>
      <c r="G250" s="13">
        <f>SUM(G240:G249)</f>
        <v>18032.400000000001</v>
      </c>
      <c r="H250" s="39">
        <f>SUM(H240:H249)</f>
        <v>241.66439999999997</v>
      </c>
      <c r="I250" s="13">
        <f>SUM(I240:I249)</f>
        <v>30054</v>
      </c>
      <c r="J250" s="84">
        <f>SUM(J240:J249)</f>
        <v>50090</v>
      </c>
    </row>
    <row r="253" spans="2:10" ht="23.4" x14ac:dyDescent="0.45">
      <c r="C253" s="221" t="s">
        <v>852</v>
      </c>
      <c r="D253" s="222"/>
      <c r="E253" s="222"/>
      <c r="F253" s="222"/>
      <c r="G253" s="222"/>
      <c r="H253" s="222"/>
      <c r="I253" s="222"/>
      <c r="J253" s="223"/>
    </row>
    <row r="254" spans="2:10" ht="46.8" x14ac:dyDescent="0.3">
      <c r="B254" s="224">
        <v>3</v>
      </c>
      <c r="C254" s="225" t="s">
        <v>0</v>
      </c>
      <c r="D254" s="226" t="s">
        <v>1</v>
      </c>
      <c r="E254" s="226" t="s">
        <v>2</v>
      </c>
      <c r="F254" s="226" t="s">
        <v>819</v>
      </c>
      <c r="G254" s="226" t="s">
        <v>407</v>
      </c>
      <c r="H254" s="226" t="s">
        <v>126</v>
      </c>
      <c r="I254" s="226" t="s">
        <v>408</v>
      </c>
      <c r="J254" s="227"/>
    </row>
    <row r="255" spans="2:10" x14ac:dyDescent="0.3">
      <c r="C255" s="228" t="s">
        <v>55</v>
      </c>
      <c r="D255" s="229">
        <v>811</v>
      </c>
      <c r="E255" s="230"/>
      <c r="F255" s="231">
        <f>(E255/1000)*D255</f>
        <v>0</v>
      </c>
      <c r="G255" s="229"/>
      <c r="H255" s="229"/>
      <c r="I255" s="229"/>
      <c r="J255" s="232" t="s">
        <v>7</v>
      </c>
    </row>
    <row r="256" spans="2:10" x14ac:dyDescent="0.3">
      <c r="C256" s="228" t="s">
        <v>59</v>
      </c>
      <c r="D256" s="229">
        <v>100</v>
      </c>
      <c r="E256" s="230"/>
      <c r="F256" s="231"/>
      <c r="G256" s="229"/>
      <c r="H256" s="229"/>
      <c r="I256" s="229"/>
      <c r="J256" s="232"/>
    </row>
    <row r="257" spans="2:10" x14ac:dyDescent="0.3">
      <c r="C257" s="228" t="s">
        <v>286</v>
      </c>
      <c r="D257" s="229">
        <v>8</v>
      </c>
      <c r="E257" s="230"/>
      <c r="F257" s="231"/>
      <c r="G257" s="229"/>
      <c r="H257" s="229"/>
      <c r="I257" s="229"/>
      <c r="J257" s="232"/>
    </row>
    <row r="258" spans="2:10" x14ac:dyDescent="0.3">
      <c r="C258" s="228" t="s">
        <v>805</v>
      </c>
      <c r="D258" s="229">
        <v>2</v>
      </c>
      <c r="E258" s="230"/>
      <c r="F258" s="231"/>
      <c r="G258" s="229"/>
      <c r="H258" s="229"/>
      <c r="I258" s="229"/>
      <c r="J258" s="232"/>
    </row>
    <row r="259" spans="2:10" x14ac:dyDescent="0.3">
      <c r="C259" s="228" t="s">
        <v>20</v>
      </c>
      <c r="D259" s="229">
        <v>2.5</v>
      </c>
      <c r="E259" s="230"/>
      <c r="F259" s="231"/>
      <c r="G259" s="229"/>
      <c r="H259" s="229"/>
      <c r="I259" s="229"/>
      <c r="J259" s="232"/>
    </row>
    <row r="260" spans="2:10" x14ac:dyDescent="0.3">
      <c r="C260" s="228" t="s">
        <v>166</v>
      </c>
      <c r="D260" s="230">
        <v>30</v>
      </c>
      <c r="E260" s="230"/>
      <c r="F260" s="231"/>
      <c r="G260" s="229"/>
      <c r="H260" s="229"/>
      <c r="I260" s="229"/>
      <c r="J260" s="232"/>
    </row>
    <row r="261" spans="2:10" x14ac:dyDescent="0.3">
      <c r="C261" s="228" t="s">
        <v>668</v>
      </c>
      <c r="D261" s="229">
        <v>20</v>
      </c>
      <c r="E261" s="230"/>
      <c r="F261" s="231"/>
      <c r="G261" s="229"/>
      <c r="H261" s="229"/>
      <c r="I261" s="229"/>
      <c r="J261" s="232"/>
    </row>
    <row r="262" spans="2:10" x14ac:dyDescent="0.3">
      <c r="C262" s="228" t="s">
        <v>850</v>
      </c>
      <c r="D262" s="229">
        <v>20</v>
      </c>
      <c r="E262" s="230"/>
      <c r="F262" s="231"/>
      <c r="G262" s="229"/>
      <c r="H262" s="229"/>
      <c r="I262" s="229"/>
      <c r="J262" s="232"/>
    </row>
    <row r="263" spans="2:10" x14ac:dyDescent="0.3">
      <c r="C263" s="228" t="s">
        <v>384</v>
      </c>
      <c r="D263" s="229">
        <v>0.1</v>
      </c>
      <c r="E263" s="230"/>
      <c r="F263" s="231"/>
      <c r="G263" s="229"/>
      <c r="H263" s="229"/>
      <c r="I263" s="229"/>
      <c r="J263" s="232"/>
    </row>
    <row r="264" spans="2:10" x14ac:dyDescent="0.3">
      <c r="C264" s="228" t="s">
        <v>56</v>
      </c>
      <c r="D264" s="229">
        <v>3</v>
      </c>
      <c r="E264" s="230"/>
      <c r="F264" s="231"/>
      <c r="G264" s="229"/>
      <c r="H264" s="229"/>
      <c r="I264" s="229"/>
      <c r="J264" s="232"/>
    </row>
    <row r="265" spans="2:10" x14ac:dyDescent="0.3">
      <c r="C265" s="228" t="s">
        <v>231</v>
      </c>
      <c r="D265" s="229">
        <v>2</v>
      </c>
      <c r="E265" s="230"/>
      <c r="F265" s="231"/>
      <c r="G265" s="229"/>
      <c r="H265" s="229"/>
      <c r="I265" s="229"/>
      <c r="J265" s="232"/>
    </row>
    <row r="266" spans="2:10" x14ac:dyDescent="0.3">
      <c r="C266" s="228" t="s">
        <v>174</v>
      </c>
      <c r="D266" s="268">
        <v>1.5</v>
      </c>
      <c r="E266" s="230"/>
      <c r="F266" s="231"/>
      <c r="G266" s="229"/>
      <c r="H266" s="229"/>
      <c r="I266" s="229"/>
      <c r="J266" s="232"/>
    </row>
    <row r="267" spans="2:10" x14ac:dyDescent="0.3">
      <c r="C267" s="235"/>
      <c r="D267" s="253">
        <f>SUM(D255:D266)</f>
        <v>1000.1</v>
      </c>
      <c r="E267" s="254"/>
      <c r="F267" s="255">
        <f>SUM(F255:F266)</f>
        <v>0</v>
      </c>
      <c r="G267" s="253">
        <f>SUM(G255:G266)</f>
        <v>0</v>
      </c>
      <c r="H267" s="258">
        <f>SUM(H255:H266)</f>
        <v>0</v>
      </c>
      <c r="I267" s="258">
        <f>SUM(I255:I266)</f>
        <v>0</v>
      </c>
      <c r="J267" s="257"/>
    </row>
    <row r="270" spans="2:10" ht="23.4" x14ac:dyDescent="0.45">
      <c r="C270" s="221" t="s">
        <v>175</v>
      </c>
      <c r="D270" s="222"/>
      <c r="E270" s="222"/>
      <c r="F270" s="222"/>
      <c r="G270" s="222"/>
      <c r="H270" s="222"/>
      <c r="I270" s="222"/>
      <c r="J270" s="223"/>
    </row>
    <row r="271" spans="2:10" ht="46.8" x14ac:dyDescent="0.3">
      <c r="B271" s="224">
        <v>4</v>
      </c>
      <c r="C271" s="225" t="s">
        <v>0</v>
      </c>
      <c r="D271" s="226" t="s">
        <v>1</v>
      </c>
      <c r="E271" s="226" t="s">
        <v>2</v>
      </c>
      <c r="F271" s="226" t="s">
        <v>819</v>
      </c>
      <c r="G271" s="226" t="s">
        <v>407</v>
      </c>
      <c r="H271" s="226" t="s">
        <v>126</v>
      </c>
      <c r="I271" s="226" t="s">
        <v>408</v>
      </c>
      <c r="J271" s="227"/>
    </row>
    <row r="272" spans="2:10" x14ac:dyDescent="0.3">
      <c r="C272" s="228" t="s">
        <v>660</v>
      </c>
      <c r="D272" s="229">
        <v>10</v>
      </c>
      <c r="E272" s="230"/>
      <c r="F272" s="231"/>
      <c r="G272" s="229"/>
      <c r="H272" s="229"/>
      <c r="I272" s="229"/>
      <c r="J272" s="232"/>
    </row>
    <row r="273" spans="2:10" x14ac:dyDescent="0.3">
      <c r="C273" s="228" t="s">
        <v>438</v>
      </c>
      <c r="D273" s="229">
        <v>10</v>
      </c>
      <c r="E273" s="230"/>
      <c r="F273" s="231"/>
      <c r="G273" s="229"/>
      <c r="H273" s="229"/>
      <c r="I273" s="229"/>
      <c r="J273" s="232"/>
    </row>
    <row r="274" spans="2:10" x14ac:dyDescent="0.3">
      <c r="C274" s="228" t="s">
        <v>133</v>
      </c>
      <c r="D274" s="229">
        <v>575</v>
      </c>
      <c r="E274" s="230"/>
      <c r="F274" s="231"/>
      <c r="G274" s="229"/>
      <c r="H274" s="229"/>
      <c r="I274" s="229"/>
      <c r="J274" s="232"/>
    </row>
    <row r="275" spans="2:10" x14ac:dyDescent="0.3">
      <c r="C275" s="228" t="s">
        <v>55</v>
      </c>
      <c r="D275" s="229">
        <v>376</v>
      </c>
      <c r="E275" s="230"/>
      <c r="F275" s="231"/>
      <c r="G275" s="229"/>
      <c r="H275" s="229"/>
      <c r="I275" s="229"/>
      <c r="J275" s="232"/>
    </row>
    <row r="276" spans="2:10" x14ac:dyDescent="0.3">
      <c r="C276" s="228" t="s">
        <v>805</v>
      </c>
      <c r="D276" s="229">
        <v>12</v>
      </c>
      <c r="E276" s="230"/>
      <c r="F276" s="231"/>
      <c r="G276" s="229"/>
      <c r="H276" s="229"/>
      <c r="I276" s="229"/>
      <c r="J276" s="232"/>
    </row>
    <row r="277" spans="2:10" x14ac:dyDescent="0.3">
      <c r="C277" s="228" t="s">
        <v>56</v>
      </c>
      <c r="D277" s="229">
        <v>1</v>
      </c>
      <c r="E277" s="230"/>
      <c r="F277" s="231"/>
      <c r="G277" s="229"/>
      <c r="H277" s="229"/>
      <c r="I277" s="229"/>
      <c r="J277" s="232"/>
    </row>
    <row r="278" spans="2:10" x14ac:dyDescent="0.3">
      <c r="C278" s="228" t="s">
        <v>231</v>
      </c>
      <c r="D278" s="229">
        <v>1</v>
      </c>
      <c r="E278" s="230"/>
      <c r="F278" s="231"/>
      <c r="G278" s="229"/>
      <c r="H278" s="229"/>
      <c r="I278" s="229"/>
      <c r="J278" s="232"/>
    </row>
    <row r="279" spans="2:10" x14ac:dyDescent="0.3">
      <c r="C279" s="228" t="s">
        <v>20</v>
      </c>
      <c r="D279" s="229">
        <v>12</v>
      </c>
      <c r="E279" s="230"/>
      <c r="F279" s="231"/>
      <c r="G279" s="229"/>
      <c r="H279" s="229"/>
      <c r="I279" s="229"/>
      <c r="J279" s="232"/>
    </row>
    <row r="280" spans="2:10" x14ac:dyDescent="0.3">
      <c r="C280" s="228" t="s">
        <v>853</v>
      </c>
      <c r="D280" s="230">
        <v>2.5</v>
      </c>
      <c r="E280" s="230"/>
      <c r="F280" s="231"/>
      <c r="G280" s="229"/>
      <c r="H280" s="229"/>
      <c r="I280" s="229"/>
      <c r="J280" s="232"/>
    </row>
    <row r="281" spans="2:10" x14ac:dyDescent="0.3">
      <c r="C281" s="235"/>
      <c r="D281" s="253">
        <f>SUM(D272:D280)</f>
        <v>999.5</v>
      </c>
      <c r="E281" s="254"/>
      <c r="F281" s="255">
        <f>SUM(F272:F280)</f>
        <v>0</v>
      </c>
      <c r="G281" s="253"/>
      <c r="H281" s="258">
        <f t="shared" ref="H281:I281" si="68">SUM(H272:H280)</f>
        <v>0</v>
      </c>
      <c r="I281" s="258">
        <f t="shared" si="68"/>
        <v>0</v>
      </c>
      <c r="J281" s="257"/>
    </row>
    <row r="284" spans="2:10" ht="23.4" x14ac:dyDescent="0.45">
      <c r="C284" s="172" t="s">
        <v>924</v>
      </c>
      <c r="D284" s="173"/>
      <c r="E284" s="173"/>
      <c r="F284" s="173"/>
      <c r="G284" s="173"/>
      <c r="H284" s="173"/>
      <c r="I284" s="173"/>
      <c r="J284" s="174"/>
    </row>
    <row r="285" spans="2:10" ht="62.4" x14ac:dyDescent="0.3">
      <c r="B285" s="1"/>
      <c r="C285" s="2" t="s">
        <v>0</v>
      </c>
      <c r="D285" s="3" t="s">
        <v>1</v>
      </c>
      <c r="E285" s="3" t="s">
        <v>2</v>
      </c>
      <c r="F285" s="3" t="s">
        <v>24</v>
      </c>
      <c r="G285" s="3" t="s">
        <v>747</v>
      </c>
      <c r="H285" s="3" t="s">
        <v>46</v>
      </c>
      <c r="I285" s="3" t="s">
        <v>581</v>
      </c>
      <c r="J285" s="4"/>
    </row>
    <row r="286" spans="2:10" x14ac:dyDescent="0.3">
      <c r="C286" s="5" t="s">
        <v>60</v>
      </c>
      <c r="D286" s="11">
        <v>2.5</v>
      </c>
      <c r="E286" s="11"/>
      <c r="F286" s="8"/>
      <c r="G286" s="6"/>
      <c r="H286" s="6"/>
      <c r="I286" s="6"/>
      <c r="J286" s="10" t="s">
        <v>7</v>
      </c>
    </row>
    <row r="287" spans="2:10" x14ac:dyDescent="0.3">
      <c r="C287" s="24" t="s">
        <v>176</v>
      </c>
      <c r="D287" s="11">
        <v>10</v>
      </c>
      <c r="E287" s="11"/>
      <c r="F287" s="8"/>
      <c r="G287" s="6"/>
      <c r="H287" s="6"/>
      <c r="I287" s="6"/>
      <c r="J287" s="10"/>
    </row>
    <row r="288" spans="2:10" x14ac:dyDescent="0.3">
      <c r="C288" s="5" t="s">
        <v>67</v>
      </c>
      <c r="D288" s="6">
        <v>80</v>
      </c>
      <c r="E288" s="6"/>
      <c r="F288" s="8"/>
      <c r="G288" s="6"/>
      <c r="H288" s="6"/>
      <c r="I288" s="6"/>
      <c r="J288" s="10" t="s">
        <v>7</v>
      </c>
    </row>
    <row r="289" spans="2:10" x14ac:dyDescent="0.3">
      <c r="C289" s="5" t="s">
        <v>372</v>
      </c>
      <c r="D289" s="6">
        <v>80</v>
      </c>
      <c r="E289" s="6"/>
      <c r="F289" s="8"/>
      <c r="G289" s="6"/>
      <c r="H289" s="6"/>
      <c r="I289" s="6"/>
      <c r="J289" s="10"/>
    </row>
    <row r="290" spans="2:10" x14ac:dyDescent="0.3">
      <c r="C290" s="5" t="s">
        <v>911</v>
      </c>
      <c r="D290" s="6">
        <v>10</v>
      </c>
      <c r="E290" s="6"/>
      <c r="F290" s="8"/>
      <c r="G290" s="6"/>
      <c r="H290" s="6"/>
      <c r="I290" s="6"/>
      <c r="J290" s="10"/>
    </row>
    <row r="291" spans="2:10" x14ac:dyDescent="0.3">
      <c r="C291" s="5" t="s">
        <v>553</v>
      </c>
      <c r="D291" s="6">
        <v>14</v>
      </c>
      <c r="E291" s="6"/>
      <c r="F291" s="8"/>
      <c r="G291" s="6"/>
      <c r="H291" s="6"/>
      <c r="I291" s="6"/>
      <c r="J291" s="10"/>
    </row>
    <row r="292" spans="2:10" x14ac:dyDescent="0.3">
      <c r="C292" s="5" t="s">
        <v>363</v>
      </c>
      <c r="D292" s="6">
        <v>5</v>
      </c>
      <c r="E292" s="6"/>
      <c r="F292" s="8"/>
      <c r="G292" s="6"/>
      <c r="H292" s="6"/>
      <c r="I292" s="6"/>
      <c r="J292" s="10"/>
    </row>
    <row r="293" spans="2:10" x14ac:dyDescent="0.3">
      <c r="C293" s="5" t="s">
        <v>16</v>
      </c>
      <c r="D293" s="6">
        <v>800</v>
      </c>
      <c r="E293" s="6"/>
      <c r="F293" s="8"/>
      <c r="G293" s="6"/>
      <c r="H293" s="6"/>
      <c r="I293" s="6"/>
      <c r="J293" s="10" t="s">
        <v>7</v>
      </c>
    </row>
    <row r="294" spans="2:10" x14ac:dyDescent="0.3">
      <c r="C294" s="27"/>
      <c r="D294" s="19">
        <f>SUM(D286:D293)</f>
        <v>1001.5</v>
      </c>
      <c r="E294" s="14"/>
      <c r="F294" s="15">
        <f>SUM(F286:F293)</f>
        <v>0</v>
      </c>
      <c r="G294" s="13">
        <f>SUM(G286:G293)</f>
        <v>0</v>
      </c>
      <c r="H294" s="128">
        <f>SUM(H286:H293)</f>
        <v>0</v>
      </c>
      <c r="I294" s="84">
        <f>SUM(I286:I293)</f>
        <v>0</v>
      </c>
      <c r="J294" s="17"/>
    </row>
    <row r="297" spans="2:10" ht="23.4" x14ac:dyDescent="0.45">
      <c r="C297" s="221" t="s">
        <v>976</v>
      </c>
      <c r="D297" s="222"/>
      <c r="E297" s="222"/>
      <c r="F297" s="222"/>
      <c r="G297" s="222"/>
      <c r="H297" s="222"/>
      <c r="I297" s="222"/>
      <c r="J297" s="223"/>
    </row>
    <row r="298" spans="2:10" ht="46.8" x14ac:dyDescent="0.3">
      <c r="B298" s="224">
        <v>14</v>
      </c>
      <c r="C298" s="225" t="s">
        <v>0</v>
      </c>
      <c r="D298" s="226" t="s">
        <v>135</v>
      </c>
      <c r="E298" s="226" t="s">
        <v>926</v>
      </c>
      <c r="F298" s="226" t="s">
        <v>819</v>
      </c>
      <c r="G298" s="226"/>
      <c r="H298" s="226" t="s">
        <v>126</v>
      </c>
      <c r="I298" s="226" t="s">
        <v>408</v>
      </c>
      <c r="J298" s="227"/>
    </row>
    <row r="299" spans="2:10" x14ac:dyDescent="0.3">
      <c r="C299" s="228" t="s">
        <v>977</v>
      </c>
      <c r="D299" s="229">
        <v>500</v>
      </c>
      <c r="E299" s="230"/>
      <c r="F299" s="231">
        <f>(E299/1000)*D299</f>
        <v>0</v>
      </c>
      <c r="G299" s="229"/>
      <c r="H299" s="229"/>
      <c r="I299" s="229"/>
      <c r="J299" s="232" t="s">
        <v>7</v>
      </c>
    </row>
    <row r="300" spans="2:10" x14ac:dyDescent="0.3">
      <c r="C300" s="228" t="s">
        <v>978</v>
      </c>
      <c r="D300" s="229">
        <v>500</v>
      </c>
      <c r="E300" s="230"/>
      <c r="F300" s="231"/>
      <c r="G300" s="229"/>
      <c r="H300" s="229"/>
      <c r="I300" s="229"/>
      <c r="J300" s="232"/>
    </row>
    <row r="301" spans="2:10" x14ac:dyDescent="0.3">
      <c r="D301" s="253">
        <f>SUM(D299:D300)</f>
        <v>1000</v>
      </c>
      <c r="E301" s="254"/>
      <c r="F301" s="255">
        <f>SUM(F289:F300)</f>
        <v>0</v>
      </c>
      <c r="G301" s="253">
        <f>SUM(G289:G300)</f>
        <v>0</v>
      </c>
      <c r="H301" s="258">
        <f>SUM(H289:H300)</f>
        <v>0</v>
      </c>
      <c r="I301" s="258">
        <f>SUM(I289:I300)</f>
        <v>0</v>
      </c>
      <c r="J301" s="257"/>
    </row>
    <row r="305" spans="2:10" ht="23.4" x14ac:dyDescent="0.45">
      <c r="C305" s="221" t="s">
        <v>979</v>
      </c>
      <c r="D305" s="222"/>
      <c r="E305" s="222"/>
      <c r="F305" s="222"/>
      <c r="G305" s="222"/>
      <c r="H305" s="222"/>
      <c r="I305" s="222"/>
      <c r="J305" s="223"/>
    </row>
    <row r="306" spans="2:10" ht="46.8" x14ac:dyDescent="0.3">
      <c r="B306" s="224">
        <v>13</v>
      </c>
      <c r="C306" s="225" t="s">
        <v>0</v>
      </c>
      <c r="D306" s="226" t="s">
        <v>135</v>
      </c>
      <c r="E306" s="226" t="s">
        <v>926</v>
      </c>
      <c r="F306" s="226" t="s">
        <v>819</v>
      </c>
      <c r="G306" s="226"/>
      <c r="H306" s="226" t="s">
        <v>126</v>
      </c>
      <c r="I306" s="226" t="s">
        <v>408</v>
      </c>
      <c r="J306" s="227"/>
    </row>
    <row r="307" spans="2:10" x14ac:dyDescent="0.3">
      <c r="C307" s="228" t="s">
        <v>16</v>
      </c>
      <c r="D307" s="229">
        <v>901</v>
      </c>
      <c r="E307" s="230"/>
      <c r="F307" s="231">
        <f>(E307/1000)*D307</f>
        <v>0</v>
      </c>
      <c r="G307" s="229"/>
      <c r="H307" s="229"/>
      <c r="I307" s="229"/>
      <c r="J307" s="232" t="s">
        <v>7</v>
      </c>
    </row>
    <row r="308" spans="2:10" x14ac:dyDescent="0.3">
      <c r="C308" s="228" t="s">
        <v>59</v>
      </c>
      <c r="D308" s="229">
        <v>20</v>
      </c>
      <c r="E308" s="230"/>
      <c r="F308" s="231"/>
      <c r="G308" s="229"/>
      <c r="H308" s="229"/>
      <c r="I308" s="229"/>
      <c r="J308" s="232"/>
    </row>
    <row r="309" spans="2:10" x14ac:dyDescent="0.3">
      <c r="C309" s="228" t="s">
        <v>389</v>
      </c>
      <c r="D309" s="229">
        <v>20</v>
      </c>
      <c r="E309" s="230"/>
      <c r="F309" s="231"/>
      <c r="G309" s="229"/>
      <c r="H309" s="229"/>
      <c r="I309" s="229"/>
      <c r="J309" s="232"/>
    </row>
    <row r="310" spans="2:10" x14ac:dyDescent="0.3">
      <c r="C310" s="228" t="s">
        <v>226</v>
      </c>
      <c r="D310" s="229">
        <v>10</v>
      </c>
      <c r="E310" s="230"/>
      <c r="F310" s="231"/>
      <c r="G310" s="229"/>
      <c r="H310" s="229"/>
      <c r="I310" s="229"/>
      <c r="J310" s="232"/>
    </row>
    <row r="311" spans="2:10" x14ac:dyDescent="0.3">
      <c r="C311" s="228" t="s">
        <v>497</v>
      </c>
      <c r="D311" s="229">
        <v>10</v>
      </c>
      <c r="E311" s="230"/>
      <c r="F311" s="231"/>
      <c r="G311" s="229"/>
      <c r="H311" s="229"/>
      <c r="I311" s="229"/>
      <c r="J311" s="232"/>
    </row>
    <row r="312" spans="2:10" x14ac:dyDescent="0.3">
      <c r="C312" s="228" t="s">
        <v>241</v>
      </c>
      <c r="D312" s="229">
        <v>10</v>
      </c>
      <c r="E312" s="230"/>
      <c r="F312" s="231"/>
      <c r="G312" s="229"/>
      <c r="H312" s="229"/>
      <c r="I312" s="229"/>
      <c r="J312" s="232"/>
    </row>
    <row r="313" spans="2:10" x14ac:dyDescent="0.3">
      <c r="C313" s="228" t="s">
        <v>440</v>
      </c>
      <c r="D313" s="229">
        <v>15</v>
      </c>
      <c r="E313" s="230"/>
      <c r="F313" s="231"/>
      <c r="G313" s="229"/>
      <c r="H313" s="229"/>
      <c r="I313" s="229"/>
      <c r="J313" s="232"/>
    </row>
    <row r="314" spans="2:10" x14ac:dyDescent="0.3">
      <c r="C314" s="228" t="s">
        <v>504</v>
      </c>
      <c r="D314" s="229">
        <v>3</v>
      </c>
      <c r="E314" s="230"/>
      <c r="F314" s="231"/>
      <c r="G314" s="229"/>
      <c r="H314" s="229"/>
      <c r="I314" s="229"/>
      <c r="J314" s="232"/>
    </row>
    <row r="315" spans="2:10" x14ac:dyDescent="0.3">
      <c r="C315" s="228" t="s">
        <v>384</v>
      </c>
      <c r="D315" s="229">
        <v>3</v>
      </c>
      <c r="E315" s="230"/>
      <c r="F315" s="231"/>
      <c r="G315" s="229"/>
      <c r="H315" s="229"/>
      <c r="I315" s="229"/>
      <c r="J315" s="232"/>
    </row>
    <row r="316" spans="2:10" x14ac:dyDescent="0.3">
      <c r="C316" s="228" t="s">
        <v>56</v>
      </c>
      <c r="D316" s="229">
        <v>3</v>
      </c>
      <c r="E316" s="230"/>
      <c r="F316" s="231"/>
      <c r="G316" s="229"/>
      <c r="H316" s="229"/>
      <c r="I316" s="229"/>
      <c r="J316" s="232"/>
    </row>
    <row r="317" spans="2:10" x14ac:dyDescent="0.3">
      <c r="C317" s="228" t="s">
        <v>499</v>
      </c>
      <c r="D317" s="229">
        <v>2</v>
      </c>
      <c r="E317" s="230"/>
      <c r="F317" s="231"/>
      <c r="G317" s="229"/>
      <c r="H317" s="229"/>
      <c r="I317" s="229"/>
      <c r="J317" s="232"/>
    </row>
    <row r="318" spans="2:10" x14ac:dyDescent="0.3">
      <c r="C318" s="228" t="s">
        <v>174</v>
      </c>
      <c r="D318" s="229">
        <v>2</v>
      </c>
      <c r="E318" s="230"/>
      <c r="F318" s="231"/>
      <c r="G318" s="229"/>
      <c r="H318" s="229"/>
      <c r="I318" s="229"/>
      <c r="J318" s="232"/>
    </row>
    <row r="319" spans="2:10" x14ac:dyDescent="0.3">
      <c r="C319" s="235"/>
      <c r="D319" s="253">
        <f>SUM(D307:D318)</f>
        <v>999</v>
      </c>
      <c r="E319" s="254"/>
      <c r="F319" s="255">
        <f>SUM(F307:F318)</f>
        <v>0</v>
      </c>
      <c r="G319" s="253">
        <f>SUM(G307:G318)</f>
        <v>0</v>
      </c>
      <c r="H319" s="258">
        <f>SUM(H307:H318)</f>
        <v>0</v>
      </c>
      <c r="I319" s="258">
        <f>SUM(I307:I318)</f>
        <v>0</v>
      </c>
      <c r="J319" s="257"/>
    </row>
  </sheetData>
  <mergeCells count="25">
    <mergeCell ref="C305:J305"/>
    <mergeCell ref="C253:J253"/>
    <mergeCell ref="C270:J270"/>
    <mergeCell ref="C284:J284"/>
    <mergeCell ref="C297:J297"/>
    <mergeCell ref="C3:J3"/>
    <mergeCell ref="C15:J15"/>
    <mergeCell ref="C28:J28"/>
    <mergeCell ref="C35:J35"/>
    <mergeCell ref="C42:J42"/>
    <mergeCell ref="C238:J238"/>
    <mergeCell ref="C52:J52"/>
    <mergeCell ref="C107:J107"/>
    <mergeCell ref="C85:J85"/>
    <mergeCell ref="C96:J96"/>
    <mergeCell ref="C72:J72"/>
    <mergeCell ref="C59:J59"/>
    <mergeCell ref="C119:J119"/>
    <mergeCell ref="C182:J182"/>
    <mergeCell ref="C165:J165"/>
    <mergeCell ref="C218:J218"/>
    <mergeCell ref="C204:J204"/>
    <mergeCell ref="C153:J153"/>
    <mergeCell ref="C136:J136"/>
    <mergeCell ref="C191:H19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8D4-5957-41AB-8C49-5D3478EBE5BF}">
  <dimension ref="C3:K61"/>
  <sheetViews>
    <sheetView workbookViewId="0">
      <selection activeCell="C50" sqref="C50:K61"/>
    </sheetView>
  </sheetViews>
  <sheetFormatPr baseColWidth="10" defaultRowHeight="14.4" x14ac:dyDescent="0.3"/>
  <cols>
    <col min="4" max="4" width="26.109375" bestFit="1" customWidth="1"/>
    <col min="6" max="7" width="0" hidden="1" customWidth="1"/>
  </cols>
  <sheetData>
    <row r="3" spans="3:11" ht="23.4" x14ac:dyDescent="0.3">
      <c r="D3" s="189" t="s">
        <v>538</v>
      </c>
      <c r="E3" s="190"/>
      <c r="F3" s="190"/>
      <c r="G3" s="190"/>
      <c r="H3" s="190"/>
      <c r="I3" s="190"/>
      <c r="J3" s="190"/>
      <c r="K3" s="191"/>
    </row>
    <row r="4" spans="3:11" ht="62.4" x14ac:dyDescent="0.3">
      <c r="C4" s="1">
        <v>1</v>
      </c>
      <c r="D4" s="2" t="s">
        <v>0</v>
      </c>
      <c r="E4" s="3" t="s">
        <v>1</v>
      </c>
      <c r="F4" s="3" t="s">
        <v>2</v>
      </c>
      <c r="G4" s="3" t="s">
        <v>3</v>
      </c>
      <c r="H4" s="3" t="s">
        <v>182</v>
      </c>
      <c r="I4" s="3" t="s">
        <v>4</v>
      </c>
      <c r="J4" s="3" t="s">
        <v>181</v>
      </c>
      <c r="K4" s="4"/>
    </row>
    <row r="5" spans="3:11" x14ac:dyDescent="0.3">
      <c r="D5" s="5" t="s">
        <v>141</v>
      </c>
      <c r="E5" s="6">
        <v>7.5</v>
      </c>
      <c r="F5" s="7">
        <v>25</v>
      </c>
      <c r="G5" s="8">
        <f>(F5/1000)*E5</f>
        <v>0.1875</v>
      </c>
      <c r="H5" s="6">
        <f>(E5*15.5)</f>
        <v>116.25</v>
      </c>
      <c r="I5" s="7">
        <f>(F5/1000)*H5</f>
        <v>2.90625</v>
      </c>
      <c r="J5" s="9">
        <f>(E5*31)</f>
        <v>232.5</v>
      </c>
      <c r="K5" s="10" t="s">
        <v>7</v>
      </c>
    </row>
    <row r="6" spans="3:11" x14ac:dyDescent="0.3">
      <c r="D6" s="5" t="s">
        <v>9</v>
      </c>
      <c r="E6" s="6">
        <v>50</v>
      </c>
      <c r="F6" s="7">
        <v>20</v>
      </c>
      <c r="G6" s="8">
        <f t="shared" ref="G6:G12" si="0">(F6/1000)*E6</f>
        <v>1</v>
      </c>
      <c r="H6" s="6"/>
      <c r="I6" s="7"/>
      <c r="J6" s="9"/>
      <c r="K6" s="10"/>
    </row>
    <row r="7" spans="3:11" x14ac:dyDescent="0.3">
      <c r="C7" s="5"/>
      <c r="D7" s="5" t="s">
        <v>8</v>
      </c>
      <c r="E7" s="6">
        <v>50</v>
      </c>
      <c r="F7" s="7">
        <v>7</v>
      </c>
      <c r="G7" s="8">
        <f t="shared" si="0"/>
        <v>0.35000000000000003</v>
      </c>
      <c r="H7" s="6"/>
      <c r="I7" s="7"/>
      <c r="J7" s="9"/>
      <c r="K7" s="10"/>
    </row>
    <row r="8" spans="3:11" x14ac:dyDescent="0.3">
      <c r="D8" s="5" t="s">
        <v>226</v>
      </c>
      <c r="E8" s="6">
        <v>20</v>
      </c>
      <c r="F8" s="7">
        <v>124</v>
      </c>
      <c r="G8" s="8">
        <f t="shared" si="0"/>
        <v>2.48</v>
      </c>
      <c r="H8" s="6"/>
      <c r="I8" s="7"/>
      <c r="J8" s="9"/>
      <c r="K8" s="10"/>
    </row>
    <row r="9" spans="3:11" x14ac:dyDescent="0.3">
      <c r="D9" s="5" t="s">
        <v>521</v>
      </c>
      <c r="E9" s="6">
        <v>5</v>
      </c>
      <c r="F9" s="7">
        <v>190</v>
      </c>
      <c r="G9" s="8">
        <f t="shared" si="0"/>
        <v>0.95</v>
      </c>
      <c r="H9" s="6">
        <f>(E9*15.5)</f>
        <v>77.5</v>
      </c>
      <c r="I9" s="7">
        <f>(F9/1000)*H9</f>
        <v>14.725</v>
      </c>
      <c r="J9" s="9">
        <f>(E9*31)</f>
        <v>155</v>
      </c>
      <c r="K9" s="10" t="s">
        <v>7</v>
      </c>
    </row>
    <row r="10" spans="3:11" x14ac:dyDescent="0.3">
      <c r="D10" s="5" t="s">
        <v>56</v>
      </c>
      <c r="E10" s="6">
        <v>1</v>
      </c>
      <c r="F10" s="7">
        <v>45</v>
      </c>
      <c r="G10" s="8">
        <f t="shared" si="0"/>
        <v>4.4999999999999998E-2</v>
      </c>
      <c r="H10" s="6">
        <f>(E10*15.5)</f>
        <v>15.5</v>
      </c>
      <c r="I10" s="7">
        <f>(F10/1000)*H10</f>
        <v>0.69750000000000001</v>
      </c>
      <c r="J10" s="9">
        <f>(E10*31)</f>
        <v>31</v>
      </c>
      <c r="K10" s="10" t="s">
        <v>7</v>
      </c>
    </row>
    <row r="11" spans="3:11" x14ac:dyDescent="0.3">
      <c r="D11" s="5" t="s">
        <v>29</v>
      </c>
      <c r="E11" s="11">
        <v>0.5</v>
      </c>
      <c r="F11" s="12">
        <v>60</v>
      </c>
      <c r="G11" s="8">
        <f t="shared" si="0"/>
        <v>0.03</v>
      </c>
      <c r="H11" s="6"/>
      <c r="I11" s="7"/>
      <c r="J11" s="9"/>
      <c r="K11" s="10"/>
    </row>
    <row r="12" spans="3:11" x14ac:dyDescent="0.3">
      <c r="D12" s="5" t="s">
        <v>539</v>
      </c>
      <c r="E12" s="11">
        <v>866</v>
      </c>
      <c r="F12" s="12">
        <v>0.6</v>
      </c>
      <c r="G12" s="8">
        <f t="shared" si="0"/>
        <v>0.51959999999999995</v>
      </c>
      <c r="H12" s="6">
        <f>(E12*15.5)</f>
        <v>13423</v>
      </c>
      <c r="I12" s="7">
        <f>(F12/1000)*H12</f>
        <v>8.053799999999999</v>
      </c>
      <c r="J12" s="9">
        <f>(E12*31)</f>
        <v>26846</v>
      </c>
      <c r="K12" s="10" t="s">
        <v>7</v>
      </c>
    </row>
    <row r="13" spans="3:11" x14ac:dyDescent="0.3">
      <c r="E13" s="13">
        <f>SUM(E5:E12)</f>
        <v>1000</v>
      </c>
      <c r="F13" s="14"/>
      <c r="G13" s="15">
        <f>SUM(G5:G12)</f>
        <v>5.5621</v>
      </c>
      <c r="H13" s="13">
        <f>SUM(H5:H12)</f>
        <v>13632.25</v>
      </c>
      <c r="I13" s="16">
        <f>SUM(I5:I12)</f>
        <v>26.382550000000002</v>
      </c>
      <c r="J13" s="13">
        <f>SUM(J5:J12)</f>
        <v>27264.5</v>
      </c>
      <c r="K13" s="17"/>
    </row>
    <row r="18" spans="3:11" ht="23.4" x14ac:dyDescent="0.45">
      <c r="D18" s="172" t="s">
        <v>578</v>
      </c>
      <c r="E18" s="173"/>
      <c r="F18" s="173"/>
      <c r="G18" s="173"/>
      <c r="H18" s="173"/>
      <c r="I18" s="173"/>
      <c r="J18" s="173"/>
      <c r="K18" s="174"/>
    </row>
    <row r="19" spans="3:11" ht="62.4" x14ac:dyDescent="0.3">
      <c r="C19" s="1">
        <v>4</v>
      </c>
      <c r="D19" s="2" t="s">
        <v>0</v>
      </c>
      <c r="E19" s="3" t="s">
        <v>1</v>
      </c>
      <c r="F19" s="3" t="s">
        <v>2</v>
      </c>
      <c r="G19" s="3" t="s">
        <v>24</v>
      </c>
      <c r="H19" s="3" t="s">
        <v>580</v>
      </c>
      <c r="I19" s="3" t="s">
        <v>581</v>
      </c>
      <c r="J19" s="3" t="s">
        <v>408</v>
      </c>
      <c r="K19" s="4"/>
    </row>
    <row r="20" spans="3:11" x14ac:dyDescent="0.3">
      <c r="D20" s="5" t="s">
        <v>67</v>
      </c>
      <c r="E20" s="6">
        <v>70</v>
      </c>
      <c r="F20" s="11">
        <v>18</v>
      </c>
      <c r="G20" s="8">
        <f t="shared" ref="G20:G28" si="1">(F20/1000)*E20</f>
        <v>1.26</v>
      </c>
      <c r="H20" s="6">
        <f>(E20*10)</f>
        <v>700</v>
      </c>
      <c r="I20" s="6">
        <f>(E20*30)</f>
        <v>2100</v>
      </c>
      <c r="J20" s="6">
        <f>(E20*50)</f>
        <v>3500</v>
      </c>
      <c r="K20" s="10" t="s">
        <v>7</v>
      </c>
    </row>
    <row r="21" spans="3:11" x14ac:dyDescent="0.3">
      <c r="D21" s="5" t="s">
        <v>68</v>
      </c>
      <c r="E21" s="6">
        <v>70</v>
      </c>
      <c r="F21" s="6">
        <v>18</v>
      </c>
      <c r="G21" s="8">
        <f t="shared" si="1"/>
        <v>1.26</v>
      </c>
      <c r="H21" s="6">
        <f t="shared" ref="H21:H28" si="2">(E21*10)</f>
        <v>700</v>
      </c>
      <c r="I21" s="6">
        <f t="shared" ref="I21:I28" si="3">(E21*30)</f>
        <v>2100</v>
      </c>
      <c r="J21" s="6">
        <f t="shared" ref="J21:J28" si="4">(E21*50)</f>
        <v>3500</v>
      </c>
      <c r="K21" s="10" t="s">
        <v>7</v>
      </c>
    </row>
    <row r="22" spans="3:11" x14ac:dyDescent="0.3">
      <c r="D22" s="5" t="s">
        <v>404</v>
      </c>
      <c r="E22" s="6">
        <v>20</v>
      </c>
      <c r="F22" s="6">
        <v>25</v>
      </c>
      <c r="G22" s="8">
        <f t="shared" si="1"/>
        <v>0.5</v>
      </c>
      <c r="H22" s="6">
        <f t="shared" si="2"/>
        <v>200</v>
      </c>
      <c r="I22" s="6">
        <f t="shared" si="3"/>
        <v>600</v>
      </c>
      <c r="J22" s="6">
        <f t="shared" si="4"/>
        <v>1000</v>
      </c>
      <c r="K22" s="10" t="s">
        <v>7</v>
      </c>
    </row>
    <row r="23" spans="3:11" x14ac:dyDescent="0.3">
      <c r="D23" s="5" t="s">
        <v>389</v>
      </c>
      <c r="E23" s="6">
        <v>5</v>
      </c>
      <c r="F23" s="6">
        <v>124</v>
      </c>
      <c r="G23" s="8">
        <f t="shared" si="1"/>
        <v>0.62</v>
      </c>
      <c r="H23" s="6">
        <f t="shared" si="2"/>
        <v>50</v>
      </c>
      <c r="I23" s="6">
        <f t="shared" si="3"/>
        <v>150</v>
      </c>
      <c r="J23" s="6">
        <f t="shared" si="4"/>
        <v>250</v>
      </c>
      <c r="K23" s="10" t="s">
        <v>7</v>
      </c>
    </row>
    <row r="24" spans="3:11" x14ac:dyDescent="0.3">
      <c r="D24" s="5" t="s">
        <v>405</v>
      </c>
      <c r="E24" s="6">
        <v>5</v>
      </c>
      <c r="F24" s="6">
        <v>860</v>
      </c>
      <c r="G24" s="8">
        <f t="shared" si="1"/>
        <v>4.3</v>
      </c>
      <c r="H24" s="6">
        <f t="shared" si="2"/>
        <v>50</v>
      </c>
      <c r="I24" s="6">
        <f t="shared" si="3"/>
        <v>150</v>
      </c>
      <c r="J24" s="6">
        <f t="shared" si="4"/>
        <v>250</v>
      </c>
      <c r="K24" s="10" t="s">
        <v>7</v>
      </c>
    </row>
    <row r="25" spans="3:11" x14ac:dyDescent="0.3">
      <c r="D25" s="5" t="s">
        <v>19</v>
      </c>
      <c r="E25" s="6">
        <v>20</v>
      </c>
      <c r="F25" s="6">
        <v>8</v>
      </c>
      <c r="G25" s="8">
        <f t="shared" si="1"/>
        <v>0.16</v>
      </c>
      <c r="H25" s="6">
        <f t="shared" si="2"/>
        <v>200</v>
      </c>
      <c r="I25" s="6">
        <f t="shared" si="3"/>
        <v>600</v>
      </c>
      <c r="J25" s="6">
        <f t="shared" si="4"/>
        <v>1000</v>
      </c>
      <c r="K25" s="5" t="s">
        <v>7</v>
      </c>
    </row>
    <row r="26" spans="3:11" x14ac:dyDescent="0.3">
      <c r="D26" s="5" t="s">
        <v>385</v>
      </c>
      <c r="E26" s="32">
        <v>2</v>
      </c>
      <c r="F26" s="6">
        <v>60</v>
      </c>
      <c r="G26" s="8">
        <f t="shared" si="1"/>
        <v>0.12</v>
      </c>
      <c r="H26" s="6">
        <f t="shared" si="2"/>
        <v>20</v>
      </c>
      <c r="I26" s="6">
        <f t="shared" si="3"/>
        <v>60</v>
      </c>
      <c r="J26" s="6">
        <f t="shared" si="4"/>
        <v>100</v>
      </c>
      <c r="K26" s="5"/>
    </row>
    <row r="27" spans="3:11" x14ac:dyDescent="0.3">
      <c r="D27" s="24" t="s">
        <v>579</v>
      </c>
      <c r="E27" s="25">
        <v>2</v>
      </c>
      <c r="F27" s="6">
        <v>100</v>
      </c>
      <c r="G27" s="8">
        <f t="shared" si="1"/>
        <v>0.2</v>
      </c>
      <c r="H27" s="6">
        <f t="shared" si="2"/>
        <v>20</v>
      </c>
      <c r="I27" s="6">
        <f t="shared" si="3"/>
        <v>60</v>
      </c>
      <c r="J27" s="6">
        <f t="shared" si="4"/>
        <v>100</v>
      </c>
      <c r="K27" s="5" t="s">
        <v>7</v>
      </c>
    </row>
    <row r="28" spans="3:11" x14ac:dyDescent="0.3">
      <c r="D28" s="24" t="s">
        <v>406</v>
      </c>
      <c r="E28" s="11">
        <v>807</v>
      </c>
      <c r="F28" s="6">
        <v>0.6</v>
      </c>
      <c r="G28" s="8">
        <f t="shared" si="1"/>
        <v>0.48419999999999996</v>
      </c>
      <c r="H28" s="6">
        <f t="shared" si="2"/>
        <v>8070</v>
      </c>
      <c r="I28" s="6">
        <f t="shared" si="3"/>
        <v>24210</v>
      </c>
      <c r="J28" s="6">
        <f t="shared" si="4"/>
        <v>40350</v>
      </c>
      <c r="K28" s="5" t="s">
        <v>7</v>
      </c>
    </row>
    <row r="29" spans="3:11" x14ac:dyDescent="0.3">
      <c r="D29" s="27"/>
      <c r="E29" s="13">
        <f>SUM(E20:E28)</f>
        <v>1001</v>
      </c>
      <c r="F29" s="14"/>
      <c r="G29" s="15">
        <f>SUM(G20:G28)</f>
        <v>8.9041999999999977</v>
      </c>
      <c r="H29" s="13">
        <f>SUM(H20:H28)</f>
        <v>10010</v>
      </c>
      <c r="I29" s="128">
        <f>SUM(I20:I28)</f>
        <v>30030</v>
      </c>
      <c r="J29" s="84">
        <f>SUM(J20:J28)</f>
        <v>50050</v>
      </c>
      <c r="K29" s="17"/>
    </row>
    <row r="32" spans="3:11" ht="23.4" x14ac:dyDescent="0.45">
      <c r="D32" s="266" t="s">
        <v>848</v>
      </c>
      <c r="E32" s="222"/>
      <c r="F32" s="222"/>
      <c r="G32" s="222"/>
      <c r="H32" s="222"/>
      <c r="I32" s="222"/>
      <c r="J32" s="222"/>
      <c r="K32" s="223"/>
    </row>
    <row r="33" spans="3:11" ht="46.8" x14ac:dyDescent="0.3">
      <c r="C33" s="224">
        <v>3</v>
      </c>
      <c r="D33" s="225" t="s">
        <v>0</v>
      </c>
      <c r="E33" s="226" t="s">
        <v>1</v>
      </c>
      <c r="F33" s="226" t="s">
        <v>2</v>
      </c>
      <c r="G33" s="226" t="s">
        <v>819</v>
      </c>
      <c r="H33" s="226" t="s">
        <v>407</v>
      </c>
      <c r="I33" s="226" t="s">
        <v>126</v>
      </c>
      <c r="J33" s="226" t="s">
        <v>408</v>
      </c>
      <c r="K33" s="227"/>
    </row>
    <row r="34" spans="3:11" x14ac:dyDescent="0.3">
      <c r="D34" s="228" t="s">
        <v>27</v>
      </c>
      <c r="E34" s="229">
        <v>860</v>
      </c>
      <c r="F34" s="230"/>
      <c r="G34" s="231">
        <f t="shared" ref="G34:G36" si="5">(F34/1000)*E34</f>
        <v>0</v>
      </c>
      <c r="H34" s="229"/>
      <c r="I34" s="229">
        <f t="shared" ref="I34:I45" si="6">+E34*8</f>
        <v>6880</v>
      </c>
      <c r="J34" s="229"/>
      <c r="K34" s="232" t="s">
        <v>7</v>
      </c>
    </row>
    <row r="35" spans="3:11" x14ac:dyDescent="0.3">
      <c r="D35" s="228" t="s">
        <v>643</v>
      </c>
      <c r="E35" s="229">
        <v>50</v>
      </c>
      <c r="F35" s="230"/>
      <c r="G35" s="231">
        <f t="shared" si="5"/>
        <v>0</v>
      </c>
      <c r="H35" s="229"/>
      <c r="I35" s="229">
        <f t="shared" si="6"/>
        <v>400</v>
      </c>
      <c r="J35" s="229"/>
      <c r="K35" s="232"/>
    </row>
    <row r="36" spans="3:11" x14ac:dyDescent="0.3">
      <c r="D36" s="228" t="s">
        <v>244</v>
      </c>
      <c r="E36" s="229">
        <v>20</v>
      </c>
      <c r="F36" s="229"/>
      <c r="G36" s="231">
        <f t="shared" si="5"/>
        <v>0</v>
      </c>
      <c r="H36" s="229"/>
      <c r="I36" s="229">
        <f t="shared" si="6"/>
        <v>160</v>
      </c>
      <c r="J36" s="229"/>
      <c r="K36" s="232" t="s">
        <v>7</v>
      </c>
    </row>
    <row r="37" spans="3:11" x14ac:dyDescent="0.3">
      <c r="D37" s="228" t="s">
        <v>829</v>
      </c>
      <c r="E37" s="229">
        <v>5</v>
      </c>
      <c r="F37" s="229"/>
      <c r="G37" s="231"/>
      <c r="H37" s="229"/>
      <c r="I37" s="229">
        <f t="shared" si="6"/>
        <v>40</v>
      </c>
      <c r="J37" s="229"/>
      <c r="K37" s="232"/>
    </row>
    <row r="38" spans="3:11" x14ac:dyDescent="0.3">
      <c r="D38" s="228" t="s">
        <v>59</v>
      </c>
      <c r="E38" s="229">
        <v>50</v>
      </c>
      <c r="F38" s="229"/>
      <c r="G38" s="231"/>
      <c r="H38" s="229"/>
      <c r="I38" s="229">
        <f t="shared" si="6"/>
        <v>400</v>
      </c>
      <c r="J38" s="229"/>
      <c r="K38" s="232"/>
    </row>
    <row r="39" spans="3:11" x14ac:dyDescent="0.3">
      <c r="D39" s="228" t="s">
        <v>286</v>
      </c>
      <c r="E39" s="229">
        <v>8</v>
      </c>
      <c r="F39" s="229"/>
      <c r="G39" s="231"/>
      <c r="H39" s="229"/>
      <c r="I39" s="229">
        <f t="shared" si="6"/>
        <v>64</v>
      </c>
      <c r="J39" s="229"/>
      <c r="K39" s="232"/>
    </row>
    <row r="40" spans="3:11" x14ac:dyDescent="0.3">
      <c r="D40" s="228" t="s">
        <v>384</v>
      </c>
      <c r="E40" s="229">
        <v>2</v>
      </c>
      <c r="F40" s="229"/>
      <c r="G40" s="231">
        <f t="shared" ref="G40:G45" si="7">(F40/1000)*E40</f>
        <v>0</v>
      </c>
      <c r="H40" s="229"/>
      <c r="I40" s="229">
        <f t="shared" si="6"/>
        <v>16</v>
      </c>
      <c r="J40" s="229"/>
      <c r="K40" s="232"/>
    </row>
    <row r="41" spans="3:11" x14ac:dyDescent="0.3">
      <c r="D41" s="228" t="s">
        <v>168</v>
      </c>
      <c r="E41" s="230">
        <v>8</v>
      </c>
      <c r="F41" s="229"/>
      <c r="G41" s="231">
        <f t="shared" si="7"/>
        <v>0</v>
      </c>
      <c r="H41" s="229"/>
      <c r="I41" s="229">
        <f t="shared" si="6"/>
        <v>64</v>
      </c>
      <c r="J41" s="229"/>
      <c r="K41" s="232"/>
    </row>
    <row r="42" spans="3:11" x14ac:dyDescent="0.3">
      <c r="D42" s="228" t="s">
        <v>484</v>
      </c>
      <c r="E42" s="229">
        <v>1</v>
      </c>
      <c r="F42" s="229"/>
      <c r="G42" s="231">
        <f t="shared" si="7"/>
        <v>0</v>
      </c>
      <c r="H42" s="229"/>
      <c r="I42" s="229">
        <f t="shared" si="6"/>
        <v>8</v>
      </c>
      <c r="J42" s="229"/>
      <c r="K42" s="232" t="s">
        <v>7</v>
      </c>
    </row>
    <row r="43" spans="3:11" x14ac:dyDescent="0.3">
      <c r="D43" s="260" t="s">
        <v>415</v>
      </c>
      <c r="E43" s="229">
        <v>5</v>
      </c>
      <c r="F43" s="229"/>
      <c r="G43" s="231">
        <f t="shared" si="7"/>
        <v>0</v>
      </c>
      <c r="H43" s="229"/>
      <c r="I43" s="229">
        <f t="shared" si="6"/>
        <v>40</v>
      </c>
      <c r="J43" s="229"/>
      <c r="K43" s="232" t="s">
        <v>7</v>
      </c>
    </row>
    <row r="44" spans="3:11" x14ac:dyDescent="0.3">
      <c r="D44" s="264" t="s">
        <v>60</v>
      </c>
      <c r="E44" s="267">
        <v>1</v>
      </c>
      <c r="F44" s="229"/>
      <c r="G44" s="231">
        <f t="shared" si="7"/>
        <v>0</v>
      </c>
      <c r="H44" s="229"/>
      <c r="I44" s="229">
        <f t="shared" si="6"/>
        <v>8</v>
      </c>
      <c r="J44" s="229"/>
      <c r="K44" s="232" t="s">
        <v>7</v>
      </c>
    </row>
    <row r="45" spans="3:11" x14ac:dyDescent="0.3">
      <c r="D45" s="264" t="s">
        <v>225</v>
      </c>
      <c r="E45" s="267">
        <v>2</v>
      </c>
      <c r="F45" s="229"/>
      <c r="G45" s="231">
        <f t="shared" si="7"/>
        <v>0</v>
      </c>
      <c r="H45" s="229"/>
      <c r="I45" s="229">
        <f t="shared" si="6"/>
        <v>16</v>
      </c>
      <c r="J45" s="229"/>
      <c r="K45" s="232"/>
    </row>
    <row r="46" spans="3:11" x14ac:dyDescent="0.3">
      <c r="D46" s="264" t="s">
        <v>174</v>
      </c>
      <c r="E46" s="267"/>
      <c r="F46" s="229"/>
      <c r="G46" s="231"/>
      <c r="H46" s="229"/>
      <c r="I46" s="229"/>
      <c r="J46" s="229"/>
      <c r="K46" s="232"/>
    </row>
    <row r="47" spans="3:11" x14ac:dyDescent="0.3">
      <c r="D47" s="235"/>
      <c r="E47" s="236">
        <f>SUM(E34:E45)</f>
        <v>1012</v>
      </c>
      <c r="F47" s="237"/>
      <c r="G47" s="238">
        <f t="shared" ref="G47:J47" si="8">SUM(G34:G42)</f>
        <v>0</v>
      </c>
      <c r="H47" s="236">
        <f t="shared" si="8"/>
        <v>0</v>
      </c>
      <c r="I47" s="239">
        <f t="shared" si="8"/>
        <v>8032</v>
      </c>
      <c r="J47" s="239">
        <f t="shared" si="8"/>
        <v>0</v>
      </c>
      <c r="K47" s="240"/>
    </row>
    <row r="50" spans="3:11" ht="23.4" x14ac:dyDescent="0.45">
      <c r="D50" s="269" t="s">
        <v>855</v>
      </c>
      <c r="E50" s="270"/>
      <c r="F50" s="270"/>
      <c r="G50" s="270"/>
      <c r="H50" s="270"/>
      <c r="I50" s="270"/>
      <c r="J50" s="270"/>
      <c r="K50" s="270"/>
    </row>
    <row r="51" spans="3:11" ht="46.8" x14ac:dyDescent="0.3">
      <c r="C51" s="224">
        <v>5</v>
      </c>
      <c r="D51" s="225" t="s">
        <v>0</v>
      </c>
      <c r="E51" s="226" t="s">
        <v>1</v>
      </c>
      <c r="F51" s="226" t="s">
        <v>2</v>
      </c>
      <c r="G51" s="226" t="s">
        <v>736</v>
      </c>
      <c r="H51" s="226" t="s">
        <v>115</v>
      </c>
      <c r="I51" s="226" t="s">
        <v>115</v>
      </c>
      <c r="J51" s="227"/>
      <c r="K51" s="227"/>
    </row>
    <row r="52" spans="3:11" x14ac:dyDescent="0.3">
      <c r="D52" s="233" t="s">
        <v>516</v>
      </c>
      <c r="E52" s="229">
        <v>10</v>
      </c>
      <c r="F52" s="271"/>
      <c r="G52" s="229"/>
      <c r="H52" s="229"/>
      <c r="I52" s="229"/>
      <c r="J52" s="228"/>
      <c r="K52" s="228"/>
    </row>
    <row r="53" spans="3:11" x14ac:dyDescent="0.3">
      <c r="D53" s="233" t="s">
        <v>168</v>
      </c>
      <c r="E53" s="229">
        <v>10</v>
      </c>
      <c r="F53" s="271"/>
      <c r="G53" s="229"/>
      <c r="H53" s="229"/>
      <c r="I53" s="229"/>
      <c r="J53" s="228"/>
      <c r="K53" s="228"/>
    </row>
    <row r="54" spans="3:11" x14ac:dyDescent="0.3">
      <c r="D54" s="233" t="s">
        <v>383</v>
      </c>
      <c r="E54" s="229">
        <v>50</v>
      </c>
      <c r="F54" s="271"/>
      <c r="G54" s="229"/>
      <c r="H54" s="229"/>
      <c r="I54" s="229"/>
      <c r="J54" s="228"/>
      <c r="K54" s="228"/>
    </row>
    <row r="55" spans="3:11" x14ac:dyDescent="0.3">
      <c r="D55" s="233" t="s">
        <v>125</v>
      </c>
      <c r="E55" s="229">
        <v>20</v>
      </c>
      <c r="F55" s="271"/>
      <c r="G55" s="229"/>
      <c r="H55" s="229"/>
      <c r="I55" s="229"/>
      <c r="J55" s="228"/>
      <c r="K55" s="228"/>
    </row>
    <row r="56" spans="3:11" x14ac:dyDescent="0.3">
      <c r="D56" s="233" t="s">
        <v>124</v>
      </c>
      <c r="E56" s="234">
        <v>10</v>
      </c>
      <c r="F56" s="272"/>
      <c r="G56" s="229"/>
      <c r="H56" s="229"/>
      <c r="I56" s="229"/>
      <c r="J56" s="228"/>
      <c r="K56" s="228"/>
    </row>
    <row r="57" spans="3:11" x14ac:dyDescent="0.3">
      <c r="D57" s="233" t="s">
        <v>419</v>
      </c>
      <c r="E57" s="234">
        <v>5</v>
      </c>
      <c r="F57" s="272"/>
      <c r="G57" s="229"/>
      <c r="H57" s="229"/>
      <c r="I57" s="229"/>
      <c r="J57" s="228"/>
      <c r="K57" s="228"/>
    </row>
    <row r="58" spans="3:11" x14ac:dyDescent="0.3">
      <c r="D58" s="233" t="s">
        <v>19</v>
      </c>
      <c r="E58" s="234">
        <v>30</v>
      </c>
      <c r="F58" s="272"/>
      <c r="G58" s="229"/>
      <c r="H58" s="229"/>
      <c r="I58" s="229"/>
      <c r="J58" s="228"/>
      <c r="K58" s="228"/>
    </row>
    <row r="59" spans="3:11" x14ac:dyDescent="0.3">
      <c r="D59" s="233" t="s">
        <v>60</v>
      </c>
      <c r="E59" s="234">
        <v>2</v>
      </c>
      <c r="F59" s="272"/>
      <c r="G59" s="229"/>
      <c r="H59" s="229"/>
      <c r="I59" s="229"/>
      <c r="J59" s="228"/>
      <c r="K59" s="228"/>
    </row>
    <row r="60" spans="3:11" x14ac:dyDescent="0.3">
      <c r="D60" s="233" t="s">
        <v>16</v>
      </c>
      <c r="E60" s="242">
        <v>863</v>
      </c>
      <c r="F60" s="272"/>
      <c r="G60" s="229"/>
      <c r="H60" s="229"/>
      <c r="I60" s="229"/>
      <c r="J60" s="228"/>
      <c r="K60" s="228"/>
    </row>
    <row r="61" spans="3:11" x14ac:dyDescent="0.3">
      <c r="E61" s="236">
        <f>SUM(E52:E60)</f>
        <v>1000</v>
      </c>
      <c r="F61" s="237"/>
      <c r="G61" s="236">
        <f t="shared" ref="G61:I61" si="9">SUM(G52:G60)</f>
        <v>0</v>
      </c>
      <c r="H61" s="239">
        <f t="shared" si="9"/>
        <v>0</v>
      </c>
      <c r="I61" s="239">
        <f t="shared" si="9"/>
        <v>0</v>
      </c>
      <c r="J61" s="232"/>
      <c r="K61" s="232"/>
    </row>
  </sheetData>
  <mergeCells count="4">
    <mergeCell ref="D3:K3"/>
    <mergeCell ref="D18:K18"/>
    <mergeCell ref="D32:K32"/>
    <mergeCell ref="D50:K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360F-2436-41A9-B576-6252DC01ADA7}">
  <dimension ref="A1:J73"/>
  <sheetViews>
    <sheetView workbookViewId="0">
      <selection activeCell="A14" sqref="A14:XFD14"/>
    </sheetView>
  </sheetViews>
  <sheetFormatPr baseColWidth="10" defaultRowHeight="14.4" x14ac:dyDescent="0.3"/>
  <cols>
    <col min="3" max="3" width="21.44140625" bestFit="1" customWidth="1"/>
    <col min="4" max="4" width="19.33203125" customWidth="1"/>
    <col min="5" max="5" width="10.33203125" hidden="1" customWidth="1"/>
    <col min="6" max="6" width="10.6640625" hidden="1" customWidth="1"/>
    <col min="7" max="7" width="19.109375" customWidth="1"/>
    <col min="8" max="8" width="12.44140625" hidden="1" customWidth="1"/>
    <col min="9" max="9" width="13.88671875" hidden="1" customWidth="1"/>
  </cols>
  <sheetData>
    <row r="1" spans="1:10" x14ac:dyDescent="0.3">
      <c r="A1" t="s">
        <v>534</v>
      </c>
    </row>
    <row r="4" spans="1:10" ht="23.4" x14ac:dyDescent="0.45">
      <c r="C4" s="172" t="s">
        <v>692</v>
      </c>
      <c r="D4" s="173"/>
      <c r="E4" s="173"/>
      <c r="F4" s="173"/>
      <c r="G4" s="173"/>
      <c r="H4" s="173"/>
      <c r="I4" s="173"/>
      <c r="J4" s="174"/>
    </row>
    <row r="5" spans="1:10" ht="62.4" x14ac:dyDescent="0.3">
      <c r="B5" s="1">
        <v>6</v>
      </c>
      <c r="C5" s="2" t="s">
        <v>0</v>
      </c>
      <c r="D5" s="3" t="s">
        <v>1</v>
      </c>
      <c r="E5" s="3" t="s">
        <v>2</v>
      </c>
      <c r="F5" s="3" t="s">
        <v>24</v>
      </c>
      <c r="G5" s="3" t="s">
        <v>246</v>
      </c>
      <c r="H5" s="3" t="s">
        <v>102</v>
      </c>
      <c r="I5" s="3" t="s">
        <v>87</v>
      </c>
      <c r="J5" s="3" t="s">
        <v>270</v>
      </c>
    </row>
    <row r="6" spans="1:10" x14ac:dyDescent="0.3">
      <c r="C6" s="5" t="s">
        <v>67</v>
      </c>
      <c r="D6" s="6">
        <v>70</v>
      </c>
      <c r="E6" s="11">
        <v>20</v>
      </c>
      <c r="F6" s="8">
        <f t="shared" ref="F6:F13" si="0">(E6/1000)*D6</f>
        <v>1.4000000000000001</v>
      </c>
      <c r="G6" s="6">
        <f>(D6*15)</f>
        <v>1050</v>
      </c>
      <c r="H6" s="6">
        <f t="shared" ref="H6:H13" si="1">(D6*15)</f>
        <v>1050</v>
      </c>
      <c r="I6" s="6">
        <f t="shared" ref="I6:I13" si="2">(D6*100)</f>
        <v>7000</v>
      </c>
      <c r="J6" s="6">
        <f>(D6*20)</f>
        <v>1400</v>
      </c>
    </row>
    <row r="7" spans="1:10" x14ac:dyDescent="0.3">
      <c r="C7" s="5" t="s">
        <v>68</v>
      </c>
      <c r="D7" s="6">
        <v>70</v>
      </c>
      <c r="E7" s="6">
        <v>20</v>
      </c>
      <c r="F7" s="8">
        <f t="shared" si="0"/>
        <v>1.4000000000000001</v>
      </c>
      <c r="G7" s="6">
        <f>(D7*15)</f>
        <v>1050</v>
      </c>
      <c r="H7" s="6">
        <f t="shared" si="1"/>
        <v>1050</v>
      </c>
      <c r="I7" s="6">
        <f t="shared" si="2"/>
        <v>7000</v>
      </c>
      <c r="J7" s="6">
        <f t="shared" ref="J7:J13" si="3">(D7*20)</f>
        <v>1400</v>
      </c>
    </row>
    <row r="8" spans="1:10" x14ac:dyDescent="0.3">
      <c r="C8" s="5" t="s">
        <v>125</v>
      </c>
      <c r="D8" s="6">
        <v>30</v>
      </c>
      <c r="E8" s="6">
        <v>60</v>
      </c>
      <c r="F8" s="8">
        <f t="shared" si="0"/>
        <v>1.7999999999999998</v>
      </c>
      <c r="G8" s="6">
        <f>(D8*15)</f>
        <v>450</v>
      </c>
      <c r="H8" s="6">
        <f t="shared" si="1"/>
        <v>450</v>
      </c>
      <c r="I8" s="6">
        <f t="shared" si="2"/>
        <v>3000</v>
      </c>
      <c r="J8" s="6">
        <f t="shared" si="3"/>
        <v>600</v>
      </c>
    </row>
    <row r="9" spans="1:10" x14ac:dyDescent="0.3">
      <c r="C9" s="5" t="s">
        <v>244</v>
      </c>
      <c r="D9" s="6">
        <v>30</v>
      </c>
      <c r="E9" s="6">
        <v>250</v>
      </c>
      <c r="F9" s="8">
        <f t="shared" si="0"/>
        <v>7.5</v>
      </c>
      <c r="G9" s="6">
        <f>(D9*15)</f>
        <v>450</v>
      </c>
      <c r="H9" s="6">
        <f t="shared" si="1"/>
        <v>450</v>
      </c>
      <c r="I9" s="6">
        <f t="shared" si="2"/>
        <v>3000</v>
      </c>
      <c r="J9" s="6">
        <f>(D9*20)</f>
        <v>600</v>
      </c>
    </row>
    <row r="10" spans="1:10" x14ac:dyDescent="0.3">
      <c r="C10" s="5" t="s">
        <v>535</v>
      </c>
      <c r="D10" s="32">
        <v>0.5</v>
      </c>
      <c r="E10" s="6">
        <v>960</v>
      </c>
      <c r="F10" s="8">
        <f t="shared" si="0"/>
        <v>0.48</v>
      </c>
      <c r="G10" s="6">
        <f t="shared" ref="G10:G11" si="4">(D10*15)</f>
        <v>7.5</v>
      </c>
      <c r="H10" s="6">
        <f t="shared" si="1"/>
        <v>7.5</v>
      </c>
      <c r="I10" s="6">
        <f t="shared" si="2"/>
        <v>50</v>
      </c>
      <c r="J10" s="6">
        <f t="shared" si="3"/>
        <v>10</v>
      </c>
    </row>
    <row r="11" spans="1:10" x14ac:dyDescent="0.3">
      <c r="C11" s="24" t="s">
        <v>59</v>
      </c>
      <c r="D11" s="25">
        <v>20</v>
      </c>
      <c r="E11" s="6">
        <v>8</v>
      </c>
      <c r="F11" s="8">
        <f t="shared" si="0"/>
        <v>0.16</v>
      </c>
      <c r="G11" s="6">
        <f t="shared" si="4"/>
        <v>300</v>
      </c>
      <c r="H11" s="6">
        <f t="shared" si="1"/>
        <v>300</v>
      </c>
      <c r="I11" s="6">
        <f t="shared" si="2"/>
        <v>2000</v>
      </c>
      <c r="J11" s="6">
        <f t="shared" si="3"/>
        <v>400</v>
      </c>
    </row>
    <row r="12" spans="1:10" x14ac:dyDescent="0.3">
      <c r="C12" s="24" t="s">
        <v>16</v>
      </c>
      <c r="D12" s="25">
        <v>776</v>
      </c>
      <c r="E12" s="11">
        <v>0.6</v>
      </c>
      <c r="F12" s="8">
        <f t="shared" si="0"/>
        <v>0.46559999999999996</v>
      </c>
      <c r="G12" s="6">
        <f>(D12*15)</f>
        <v>11640</v>
      </c>
      <c r="H12" s="6">
        <f t="shared" si="1"/>
        <v>11640</v>
      </c>
      <c r="I12" s="6">
        <f t="shared" si="2"/>
        <v>77600</v>
      </c>
      <c r="J12" s="6">
        <f t="shared" si="3"/>
        <v>15520</v>
      </c>
    </row>
    <row r="13" spans="1:10" x14ac:dyDescent="0.3">
      <c r="C13" s="24" t="s">
        <v>60</v>
      </c>
      <c r="D13" s="32">
        <v>5</v>
      </c>
      <c r="E13" s="6">
        <v>60</v>
      </c>
      <c r="F13" s="8">
        <f t="shared" si="0"/>
        <v>0.3</v>
      </c>
      <c r="G13" s="6">
        <f>(D13*15)</f>
        <v>75</v>
      </c>
      <c r="H13" s="6">
        <f t="shared" si="1"/>
        <v>75</v>
      </c>
      <c r="I13" s="6">
        <f t="shared" si="2"/>
        <v>500</v>
      </c>
      <c r="J13" s="6">
        <f t="shared" si="3"/>
        <v>100</v>
      </c>
    </row>
    <row r="14" spans="1:10" x14ac:dyDescent="0.3">
      <c r="C14" s="27"/>
      <c r="D14" s="13">
        <f>SUM(D6:D13)</f>
        <v>1001.5</v>
      </c>
      <c r="E14" s="14"/>
      <c r="F14" s="15">
        <f>SUM(F6:F13)</f>
        <v>13.505600000000001</v>
      </c>
      <c r="G14" s="13">
        <f>SUM(G6:G13)</f>
        <v>15022.5</v>
      </c>
      <c r="H14" s="16">
        <f>SUM(H6:H13)</f>
        <v>15022.5</v>
      </c>
      <c r="I14" s="17">
        <f>SUM(I6:I13)</f>
        <v>100150</v>
      </c>
      <c r="J14" s="13">
        <f>SUM(J6:K13)</f>
        <v>20030</v>
      </c>
    </row>
    <row r="17" spans="2:10" ht="23.4" x14ac:dyDescent="0.45">
      <c r="C17" s="221" t="s">
        <v>852</v>
      </c>
      <c r="D17" s="222"/>
      <c r="E17" s="222"/>
      <c r="F17" s="222"/>
      <c r="G17" s="222"/>
      <c r="H17" s="222"/>
      <c r="I17" s="222"/>
      <c r="J17" s="223"/>
    </row>
    <row r="18" spans="2:10" ht="46.8" x14ac:dyDescent="0.3">
      <c r="B18" s="224">
        <v>2</v>
      </c>
      <c r="C18" s="225" t="s">
        <v>0</v>
      </c>
      <c r="D18" s="226" t="s">
        <v>1</v>
      </c>
      <c r="E18" s="226" t="s">
        <v>2</v>
      </c>
      <c r="F18" s="226" t="s">
        <v>819</v>
      </c>
      <c r="G18" s="226" t="s">
        <v>407</v>
      </c>
      <c r="H18" s="226" t="s">
        <v>126</v>
      </c>
      <c r="I18" s="226" t="s">
        <v>408</v>
      </c>
      <c r="J18" s="227"/>
    </row>
    <row r="19" spans="2:10" x14ac:dyDescent="0.3">
      <c r="C19" s="228" t="s">
        <v>55</v>
      </c>
      <c r="D19" s="230">
        <v>807</v>
      </c>
      <c r="E19" s="230"/>
      <c r="F19" s="231">
        <f>(E19/1000)*D19</f>
        <v>0</v>
      </c>
      <c r="G19" s="229"/>
      <c r="H19" s="229"/>
      <c r="I19" s="229"/>
      <c r="J19" s="232" t="s">
        <v>7</v>
      </c>
    </row>
    <row r="20" spans="2:10" x14ac:dyDescent="0.3">
      <c r="C20" s="228" t="s">
        <v>59</v>
      </c>
      <c r="D20" s="230">
        <v>100</v>
      </c>
      <c r="E20" s="230"/>
      <c r="F20" s="231"/>
      <c r="G20" s="229"/>
      <c r="H20" s="229"/>
      <c r="I20" s="229"/>
      <c r="J20" s="232"/>
    </row>
    <row r="21" spans="2:10" x14ac:dyDescent="0.3">
      <c r="C21" s="228" t="s">
        <v>286</v>
      </c>
      <c r="D21" s="230">
        <v>12</v>
      </c>
      <c r="E21" s="230"/>
      <c r="F21" s="231"/>
      <c r="G21" s="229"/>
      <c r="H21" s="229"/>
      <c r="I21" s="229"/>
      <c r="J21" s="232"/>
    </row>
    <row r="22" spans="2:10" x14ac:dyDescent="0.3">
      <c r="C22" s="228" t="s">
        <v>805</v>
      </c>
      <c r="D22" s="230">
        <v>2</v>
      </c>
      <c r="E22" s="230"/>
      <c r="F22" s="231"/>
      <c r="G22" s="229"/>
      <c r="H22" s="229"/>
      <c r="I22" s="229"/>
      <c r="J22" s="232"/>
    </row>
    <row r="23" spans="2:10" x14ac:dyDescent="0.3">
      <c r="C23" s="228" t="s">
        <v>20</v>
      </c>
      <c r="D23" s="229">
        <v>2.5</v>
      </c>
      <c r="E23" s="230"/>
      <c r="F23" s="231"/>
      <c r="G23" s="229"/>
      <c r="H23" s="229"/>
      <c r="I23" s="229"/>
      <c r="J23" s="232"/>
    </row>
    <row r="24" spans="2:10" x14ac:dyDescent="0.3">
      <c r="C24" s="228" t="s">
        <v>166</v>
      </c>
      <c r="D24" s="230">
        <v>30</v>
      </c>
      <c r="E24" s="230"/>
      <c r="F24" s="231"/>
      <c r="G24" s="229"/>
      <c r="H24" s="229"/>
      <c r="I24" s="229"/>
      <c r="J24" s="232"/>
    </row>
    <row r="25" spans="2:10" x14ac:dyDescent="0.3">
      <c r="C25" s="228" t="s">
        <v>668</v>
      </c>
      <c r="D25" s="229">
        <v>20</v>
      </c>
      <c r="E25" s="230"/>
      <c r="F25" s="231"/>
      <c r="G25" s="229"/>
      <c r="H25" s="229"/>
      <c r="I25" s="229"/>
      <c r="J25" s="232"/>
    </row>
    <row r="26" spans="2:10" x14ac:dyDescent="0.3">
      <c r="C26" s="228" t="s">
        <v>850</v>
      </c>
      <c r="D26" s="229">
        <v>20</v>
      </c>
      <c r="E26" s="230"/>
      <c r="F26" s="231"/>
      <c r="G26" s="229"/>
      <c r="H26" s="229"/>
      <c r="I26" s="229"/>
      <c r="J26" s="232"/>
    </row>
    <row r="27" spans="2:10" x14ac:dyDescent="0.3">
      <c r="C27" s="228" t="s">
        <v>384</v>
      </c>
      <c r="D27" s="229">
        <v>0.1</v>
      </c>
      <c r="E27" s="230"/>
      <c r="F27" s="231"/>
      <c r="G27" s="229"/>
      <c r="H27" s="229"/>
      <c r="I27" s="229"/>
      <c r="J27" s="232"/>
    </row>
    <row r="28" spans="2:10" x14ac:dyDescent="0.3">
      <c r="C28" s="228" t="s">
        <v>56</v>
      </c>
      <c r="D28" s="229">
        <v>3</v>
      </c>
      <c r="E28" s="230"/>
      <c r="F28" s="231"/>
      <c r="G28" s="229"/>
      <c r="H28" s="229"/>
      <c r="I28" s="229"/>
      <c r="J28" s="232"/>
    </row>
    <row r="29" spans="2:10" x14ac:dyDescent="0.3">
      <c r="C29" s="228" t="s">
        <v>231</v>
      </c>
      <c r="D29" s="229">
        <v>2</v>
      </c>
      <c r="E29" s="230"/>
      <c r="F29" s="231"/>
      <c r="G29" s="229"/>
      <c r="H29" s="229"/>
      <c r="I29" s="229"/>
      <c r="J29" s="232"/>
    </row>
    <row r="30" spans="2:10" x14ac:dyDescent="0.3">
      <c r="C30" s="228" t="s">
        <v>174</v>
      </c>
      <c r="D30" s="268">
        <v>1.5</v>
      </c>
      <c r="E30" s="230"/>
      <c r="F30" s="231"/>
      <c r="G30" s="229"/>
      <c r="H30" s="229"/>
      <c r="I30" s="229"/>
      <c r="J30" s="232"/>
    </row>
    <row r="31" spans="2:10" x14ac:dyDescent="0.3">
      <c r="C31" s="235"/>
      <c r="D31" s="253">
        <f>SUM(D19:D30)</f>
        <v>1000.1</v>
      </c>
      <c r="E31" s="254"/>
      <c r="F31" s="255">
        <f>SUM(F19:F30)</f>
        <v>0</v>
      </c>
      <c r="G31" s="253">
        <f>SUM(G19:G30)</f>
        <v>0</v>
      </c>
      <c r="H31" s="258">
        <f>SUM(H19:H30)</f>
        <v>0</v>
      </c>
      <c r="I31" s="258">
        <f>SUM(I19:I30)</f>
        <v>0</v>
      </c>
      <c r="J31" s="257"/>
    </row>
    <row r="34" spans="2:10" ht="23.4" x14ac:dyDescent="0.45">
      <c r="C34" s="172" t="s">
        <v>584</v>
      </c>
      <c r="D34" s="173"/>
      <c r="E34" s="173"/>
      <c r="F34" s="173"/>
      <c r="G34" s="173"/>
      <c r="H34" s="173"/>
      <c r="I34" s="173"/>
      <c r="J34" s="174"/>
    </row>
    <row r="35" spans="2:10" ht="78" x14ac:dyDescent="0.3">
      <c r="B35" s="1">
        <v>2</v>
      </c>
      <c r="C35" s="36" t="s">
        <v>0</v>
      </c>
      <c r="D35" s="4" t="s">
        <v>1</v>
      </c>
      <c r="E35" s="4" t="s">
        <v>2</v>
      </c>
      <c r="F35" s="4" t="s">
        <v>14</v>
      </c>
      <c r="G35" s="4" t="s">
        <v>501</v>
      </c>
      <c r="H35" s="4" t="s">
        <v>75</v>
      </c>
      <c r="I35" s="4" t="s">
        <v>76</v>
      </c>
      <c r="J35" s="4"/>
    </row>
    <row r="36" spans="2:10" x14ac:dyDescent="0.3">
      <c r="B36" s="35"/>
      <c r="C36" s="5" t="s">
        <v>585</v>
      </c>
      <c r="D36" s="6">
        <v>230</v>
      </c>
      <c r="E36" s="37">
        <v>8</v>
      </c>
      <c r="F36" s="8">
        <f t="shared" ref="F36:F44" si="5">(E36/1000)*D36</f>
        <v>1.84</v>
      </c>
      <c r="G36" s="6">
        <f t="shared" ref="G36:G44" si="6">(D36*21.5)</f>
        <v>4945</v>
      </c>
      <c r="H36" s="38">
        <f t="shared" ref="H36:H44" si="7">(E36/1000)*G36</f>
        <v>39.56</v>
      </c>
      <c r="I36" s="6">
        <f t="shared" ref="I36:I44" si="8">(D36*50)</f>
        <v>11500</v>
      </c>
      <c r="J36" s="5" t="s">
        <v>7</v>
      </c>
    </row>
    <row r="37" spans="2:10" x14ac:dyDescent="0.3">
      <c r="B37" s="35"/>
      <c r="C37" s="5" t="s">
        <v>527</v>
      </c>
      <c r="D37" s="6">
        <v>35</v>
      </c>
      <c r="E37" s="37">
        <v>9</v>
      </c>
      <c r="F37" s="8">
        <f t="shared" si="5"/>
        <v>0.315</v>
      </c>
      <c r="G37" s="6">
        <f t="shared" si="6"/>
        <v>752.5</v>
      </c>
      <c r="H37" s="38">
        <f t="shared" si="7"/>
        <v>6.7724999999999991</v>
      </c>
      <c r="I37" s="6">
        <f t="shared" si="8"/>
        <v>1750</v>
      </c>
      <c r="J37" s="5" t="s">
        <v>7</v>
      </c>
    </row>
    <row r="38" spans="2:10" x14ac:dyDescent="0.3">
      <c r="B38" s="35"/>
      <c r="C38" s="5" t="s">
        <v>174</v>
      </c>
      <c r="D38" s="6">
        <v>30</v>
      </c>
      <c r="E38" s="37">
        <v>8</v>
      </c>
      <c r="F38" s="8">
        <f t="shared" si="5"/>
        <v>0.24</v>
      </c>
      <c r="G38" s="6">
        <f t="shared" si="6"/>
        <v>645</v>
      </c>
      <c r="H38" s="38">
        <f t="shared" si="7"/>
        <v>5.16</v>
      </c>
      <c r="I38" s="6">
        <f t="shared" si="8"/>
        <v>1500</v>
      </c>
      <c r="J38" s="5"/>
    </row>
    <row r="39" spans="2:10" x14ac:dyDescent="0.3">
      <c r="B39" s="35"/>
      <c r="C39" s="5" t="s">
        <v>586</v>
      </c>
      <c r="D39" s="6">
        <v>40</v>
      </c>
      <c r="E39" s="37">
        <v>10</v>
      </c>
      <c r="F39" s="8">
        <f t="shared" si="5"/>
        <v>0.4</v>
      </c>
      <c r="G39" s="6">
        <f t="shared" si="6"/>
        <v>860</v>
      </c>
      <c r="H39" s="38">
        <f t="shared" si="7"/>
        <v>8.6</v>
      </c>
      <c r="I39" s="6">
        <f t="shared" si="8"/>
        <v>2000</v>
      </c>
      <c r="J39" s="5"/>
    </row>
    <row r="40" spans="2:10" x14ac:dyDescent="0.3">
      <c r="B40" s="35"/>
      <c r="C40" s="5" t="s">
        <v>587</v>
      </c>
      <c r="D40" s="6">
        <v>20</v>
      </c>
      <c r="E40" s="37">
        <v>18</v>
      </c>
      <c r="F40" s="8">
        <f t="shared" si="5"/>
        <v>0.36</v>
      </c>
      <c r="G40" s="6">
        <f t="shared" si="6"/>
        <v>430</v>
      </c>
      <c r="H40" s="38">
        <f t="shared" si="7"/>
        <v>7.7399999999999993</v>
      </c>
      <c r="I40" s="6">
        <f t="shared" si="8"/>
        <v>1000</v>
      </c>
      <c r="J40" s="5"/>
    </row>
    <row r="41" spans="2:10" x14ac:dyDescent="0.3">
      <c r="B41" s="35"/>
      <c r="C41" s="5" t="s">
        <v>588</v>
      </c>
      <c r="D41" s="6">
        <v>10</v>
      </c>
      <c r="E41" s="37">
        <v>45</v>
      </c>
      <c r="F41" s="8">
        <f t="shared" si="5"/>
        <v>0.44999999999999996</v>
      </c>
      <c r="G41" s="6">
        <f t="shared" si="6"/>
        <v>215</v>
      </c>
      <c r="H41" s="38">
        <f t="shared" si="7"/>
        <v>9.6749999999999989</v>
      </c>
      <c r="I41" s="6">
        <f t="shared" si="8"/>
        <v>500</v>
      </c>
      <c r="J41" s="5"/>
    </row>
    <row r="42" spans="2:10" x14ac:dyDescent="0.3">
      <c r="B42" s="35"/>
      <c r="C42" s="5" t="s">
        <v>589</v>
      </c>
      <c r="D42" s="6">
        <v>10</v>
      </c>
      <c r="E42" s="37">
        <v>8</v>
      </c>
      <c r="F42" s="8">
        <f t="shared" si="5"/>
        <v>0.08</v>
      </c>
      <c r="G42" s="6">
        <f t="shared" si="6"/>
        <v>215</v>
      </c>
      <c r="H42" s="38">
        <f t="shared" si="7"/>
        <v>1.72</v>
      </c>
      <c r="I42" s="6">
        <f t="shared" si="8"/>
        <v>500</v>
      </c>
      <c r="J42" s="5"/>
    </row>
    <row r="43" spans="2:10" x14ac:dyDescent="0.3">
      <c r="B43" s="35"/>
      <c r="C43" s="5" t="s">
        <v>590</v>
      </c>
      <c r="D43" s="6">
        <v>0.05</v>
      </c>
      <c r="E43" s="37">
        <v>45</v>
      </c>
      <c r="F43" s="8">
        <f t="shared" si="5"/>
        <v>2.2499999999999998E-3</v>
      </c>
      <c r="G43" s="6">
        <f t="shared" si="6"/>
        <v>1.075</v>
      </c>
      <c r="H43" s="38">
        <f t="shared" si="7"/>
        <v>4.8374999999999994E-2</v>
      </c>
      <c r="I43" s="6">
        <f t="shared" si="8"/>
        <v>2.5</v>
      </c>
      <c r="J43" s="5"/>
    </row>
    <row r="44" spans="2:10" x14ac:dyDescent="0.3">
      <c r="B44" s="35"/>
      <c r="C44" s="5" t="s">
        <v>173</v>
      </c>
      <c r="D44" s="6">
        <v>625</v>
      </c>
      <c r="E44" s="37">
        <v>0.6</v>
      </c>
      <c r="F44" s="8">
        <f t="shared" si="5"/>
        <v>0.37499999999999994</v>
      </c>
      <c r="G44" s="6">
        <f t="shared" si="6"/>
        <v>13437.5</v>
      </c>
      <c r="H44" s="38">
        <f t="shared" si="7"/>
        <v>8.0625</v>
      </c>
      <c r="I44" s="6">
        <f t="shared" si="8"/>
        <v>31250</v>
      </c>
      <c r="J44" s="5"/>
    </row>
    <row r="45" spans="2:10" x14ac:dyDescent="0.3">
      <c r="D45" s="13">
        <f>SUM(D36:D44)</f>
        <v>1000.05</v>
      </c>
      <c r="E45" s="14"/>
      <c r="F45" s="15">
        <f>SUM(F36:F44)</f>
        <v>4.0622500000000006</v>
      </c>
      <c r="G45" s="13">
        <f>SUM(G36:G44)</f>
        <v>21501.075000000001</v>
      </c>
      <c r="H45" s="39">
        <f>SUM(H36:H44)</f>
        <v>87.338374999999999</v>
      </c>
      <c r="I45" s="13">
        <f>SUM(I36:I44)</f>
        <v>50002.5</v>
      </c>
      <c r="J45" s="17"/>
    </row>
    <row r="48" spans="2:10" ht="23.4" x14ac:dyDescent="0.45">
      <c r="C48" s="172" t="s">
        <v>631</v>
      </c>
      <c r="D48" s="173"/>
      <c r="E48" s="173"/>
      <c r="F48" s="173"/>
      <c r="G48" s="173"/>
      <c r="H48" s="173"/>
      <c r="I48" s="173"/>
      <c r="J48" s="174"/>
    </row>
    <row r="49" spans="2:10" ht="62.4" x14ac:dyDescent="0.3">
      <c r="B49" s="1">
        <v>4</v>
      </c>
      <c r="C49" s="2" t="s">
        <v>0</v>
      </c>
      <c r="D49" s="3" t="s">
        <v>1</v>
      </c>
      <c r="E49" s="3" t="s">
        <v>2</v>
      </c>
      <c r="F49" s="3" t="s">
        <v>24</v>
      </c>
      <c r="G49" s="3" t="s">
        <v>545</v>
      </c>
      <c r="H49" s="3" t="s">
        <v>548</v>
      </c>
      <c r="I49" s="3" t="s">
        <v>87</v>
      </c>
      <c r="J49" s="4"/>
    </row>
    <row r="50" spans="2:10" x14ac:dyDescent="0.3">
      <c r="C50" s="5" t="s">
        <v>481</v>
      </c>
      <c r="D50" s="11">
        <v>100</v>
      </c>
      <c r="E50" s="11">
        <v>8</v>
      </c>
      <c r="F50" s="8">
        <f t="shared" ref="F50:F59" si="9">(E50/1000)*D50</f>
        <v>0.8</v>
      </c>
      <c r="G50" s="6">
        <f>(D50*300)</f>
        <v>30000</v>
      </c>
      <c r="H50" s="6">
        <f>(D50*50)</f>
        <v>5000</v>
      </c>
      <c r="I50" s="6">
        <f>(D50*100)</f>
        <v>10000</v>
      </c>
      <c r="J50" s="10" t="s">
        <v>7</v>
      </c>
    </row>
    <row r="51" spans="2:10" x14ac:dyDescent="0.3">
      <c r="C51" s="5" t="s">
        <v>542</v>
      </c>
      <c r="D51" s="11">
        <v>1</v>
      </c>
      <c r="E51" s="11">
        <v>25</v>
      </c>
      <c r="F51" s="8">
        <f>(E51/1000)*D51</f>
        <v>2.5000000000000001E-2</v>
      </c>
      <c r="G51" s="6">
        <f t="shared" ref="G51:G59" si="10">(D51*300)</f>
        <v>300</v>
      </c>
      <c r="H51" s="6">
        <f t="shared" ref="H51:H59" si="11">(D51*50)</f>
        <v>50</v>
      </c>
      <c r="I51" s="6">
        <f t="shared" ref="I51:I59" si="12">(D51*100)</f>
        <v>100</v>
      </c>
      <c r="J51" s="10"/>
    </row>
    <row r="52" spans="2:10" x14ac:dyDescent="0.3">
      <c r="C52" s="5" t="s">
        <v>543</v>
      </c>
      <c r="D52" s="11">
        <v>10</v>
      </c>
      <c r="E52" s="11">
        <v>15</v>
      </c>
      <c r="F52" s="8">
        <f t="shared" si="9"/>
        <v>0.15</v>
      </c>
      <c r="G52" s="6">
        <f t="shared" si="10"/>
        <v>3000</v>
      </c>
      <c r="H52" s="6">
        <f t="shared" si="11"/>
        <v>500</v>
      </c>
      <c r="I52" s="6">
        <f t="shared" si="12"/>
        <v>1000</v>
      </c>
      <c r="J52" s="10"/>
    </row>
    <row r="53" spans="2:10" x14ac:dyDescent="0.3">
      <c r="C53" s="24" t="s">
        <v>203</v>
      </c>
      <c r="D53" s="11">
        <v>50</v>
      </c>
      <c r="E53" s="11">
        <v>8</v>
      </c>
      <c r="F53" s="8">
        <f t="shared" si="9"/>
        <v>0.4</v>
      </c>
      <c r="G53" s="6">
        <f t="shared" si="10"/>
        <v>15000</v>
      </c>
      <c r="H53" s="6">
        <f t="shared" si="11"/>
        <v>2500</v>
      </c>
      <c r="I53" s="6">
        <f t="shared" si="12"/>
        <v>5000</v>
      </c>
      <c r="J53" s="10"/>
    </row>
    <row r="54" spans="2:10" x14ac:dyDescent="0.3">
      <c r="C54" s="24" t="s">
        <v>12</v>
      </c>
      <c r="D54" s="11">
        <v>0.5</v>
      </c>
      <c r="E54" s="11">
        <v>33</v>
      </c>
      <c r="F54" s="8">
        <f t="shared" si="9"/>
        <v>1.6500000000000001E-2</v>
      </c>
      <c r="G54" s="6">
        <f t="shared" si="10"/>
        <v>150</v>
      </c>
      <c r="H54" s="6">
        <f t="shared" si="11"/>
        <v>25</v>
      </c>
      <c r="I54" s="6">
        <f t="shared" si="12"/>
        <v>50</v>
      </c>
      <c r="J54" s="10"/>
    </row>
    <row r="55" spans="2:10" x14ac:dyDescent="0.3">
      <c r="C55" s="5" t="s">
        <v>544</v>
      </c>
      <c r="D55" s="6">
        <v>20</v>
      </c>
      <c r="E55" s="6">
        <v>2.5</v>
      </c>
      <c r="F55" s="8">
        <f t="shared" si="9"/>
        <v>0.05</v>
      </c>
      <c r="G55" s="6">
        <f t="shared" si="10"/>
        <v>6000</v>
      </c>
      <c r="H55" s="6">
        <f t="shared" si="11"/>
        <v>1000</v>
      </c>
      <c r="I55" s="6">
        <f t="shared" si="12"/>
        <v>2000</v>
      </c>
      <c r="J55" s="10" t="s">
        <v>7</v>
      </c>
    </row>
    <row r="56" spans="2:10" x14ac:dyDescent="0.3">
      <c r="C56" s="5" t="s">
        <v>174</v>
      </c>
      <c r="D56" s="6">
        <v>1</v>
      </c>
      <c r="E56" s="6">
        <v>25</v>
      </c>
      <c r="F56" s="8">
        <f t="shared" si="9"/>
        <v>2.5000000000000001E-2</v>
      </c>
      <c r="G56" s="6">
        <f t="shared" si="10"/>
        <v>300</v>
      </c>
      <c r="H56" s="6">
        <f t="shared" si="11"/>
        <v>50</v>
      </c>
      <c r="I56" s="6">
        <f t="shared" si="12"/>
        <v>100</v>
      </c>
      <c r="J56" s="10"/>
    </row>
    <row r="57" spans="2:10" x14ac:dyDescent="0.3">
      <c r="C57" s="24" t="s">
        <v>287</v>
      </c>
      <c r="D57" s="11">
        <v>1</v>
      </c>
      <c r="E57" s="6">
        <v>45</v>
      </c>
      <c r="F57" s="8">
        <f t="shared" si="9"/>
        <v>4.4999999999999998E-2</v>
      </c>
      <c r="G57" s="6">
        <f t="shared" si="10"/>
        <v>300</v>
      </c>
      <c r="H57" s="6">
        <f t="shared" si="11"/>
        <v>50</v>
      </c>
      <c r="I57" s="6">
        <f t="shared" si="12"/>
        <v>100</v>
      </c>
      <c r="J57" s="5"/>
    </row>
    <row r="58" spans="2:10" x14ac:dyDescent="0.3">
      <c r="C58" s="24" t="s">
        <v>57</v>
      </c>
      <c r="D58" s="11">
        <v>0.5</v>
      </c>
      <c r="E58" s="6">
        <v>60</v>
      </c>
      <c r="F58" s="8">
        <f t="shared" si="9"/>
        <v>0.03</v>
      </c>
      <c r="G58" s="6">
        <f t="shared" si="10"/>
        <v>150</v>
      </c>
      <c r="H58" s="6">
        <f t="shared" si="11"/>
        <v>25</v>
      </c>
      <c r="I58" s="6">
        <f t="shared" si="12"/>
        <v>50</v>
      </c>
      <c r="J58" s="5"/>
    </row>
    <row r="59" spans="2:10" x14ac:dyDescent="0.3">
      <c r="C59" s="24" t="s">
        <v>232</v>
      </c>
      <c r="D59" s="11">
        <v>815</v>
      </c>
      <c r="E59" s="11">
        <v>0.6</v>
      </c>
      <c r="F59" s="8">
        <f t="shared" si="9"/>
        <v>0.48899999999999993</v>
      </c>
      <c r="G59" s="6">
        <f t="shared" si="10"/>
        <v>244500</v>
      </c>
      <c r="H59" s="6">
        <f t="shared" si="11"/>
        <v>40750</v>
      </c>
      <c r="I59" s="6">
        <f t="shared" si="12"/>
        <v>81500</v>
      </c>
      <c r="J59" s="5"/>
    </row>
    <row r="60" spans="2:10" x14ac:dyDescent="0.3">
      <c r="C60" s="27"/>
      <c r="D60" s="19">
        <f>SUM(D50:D59)</f>
        <v>999</v>
      </c>
      <c r="E60" s="20"/>
      <c r="F60" s="21">
        <f>SUM(F50:F59)</f>
        <v>2.0305</v>
      </c>
      <c r="G60" s="19">
        <f>SUM(G50:G59)</f>
        <v>299700</v>
      </c>
      <c r="H60" s="153">
        <f>SUM(H50:H59)</f>
        <v>49950</v>
      </c>
      <c r="I60" s="154">
        <f>SUM(I50:I59)</f>
        <v>99900</v>
      </c>
      <c r="J60" s="17"/>
    </row>
    <row r="62" spans="2:10" ht="23.4" x14ac:dyDescent="0.45">
      <c r="C62" s="269" t="s">
        <v>855</v>
      </c>
      <c r="D62" s="270"/>
      <c r="E62" s="270"/>
      <c r="F62" s="270"/>
      <c r="G62" s="270"/>
      <c r="H62" s="270"/>
      <c r="I62" s="270"/>
      <c r="J62" s="270"/>
    </row>
    <row r="63" spans="2:10" ht="62.4" x14ac:dyDescent="0.3">
      <c r="B63" s="224">
        <v>5</v>
      </c>
      <c r="C63" s="225" t="s">
        <v>0</v>
      </c>
      <c r="D63" s="226" t="s">
        <v>1</v>
      </c>
      <c r="E63" s="226" t="s">
        <v>2</v>
      </c>
      <c r="F63" s="226" t="s">
        <v>736</v>
      </c>
      <c r="G63" s="226" t="s">
        <v>115</v>
      </c>
      <c r="H63" s="226" t="s">
        <v>115</v>
      </c>
      <c r="I63" s="227"/>
      <c r="J63" s="227"/>
    </row>
    <row r="64" spans="2:10" x14ac:dyDescent="0.3">
      <c r="C64" s="233" t="s">
        <v>516</v>
      </c>
      <c r="D64" s="229">
        <v>10</v>
      </c>
      <c r="E64" s="271"/>
      <c r="F64" s="229"/>
      <c r="G64" s="229"/>
      <c r="H64" s="229"/>
      <c r="I64" s="228"/>
      <c r="J64" s="228"/>
    </row>
    <row r="65" spans="3:10" x14ac:dyDescent="0.3">
      <c r="C65" s="233" t="s">
        <v>168</v>
      </c>
      <c r="D65" s="229">
        <v>10</v>
      </c>
      <c r="E65" s="271"/>
      <c r="F65" s="229"/>
      <c r="G65" s="229"/>
      <c r="H65" s="229"/>
      <c r="I65" s="228"/>
      <c r="J65" s="228"/>
    </row>
    <row r="66" spans="3:10" x14ac:dyDescent="0.3">
      <c r="C66" s="233" t="s">
        <v>383</v>
      </c>
      <c r="D66" s="229">
        <v>50</v>
      </c>
      <c r="E66" s="271"/>
      <c r="F66" s="229"/>
      <c r="G66" s="229"/>
      <c r="H66" s="229"/>
      <c r="I66" s="228"/>
      <c r="J66" s="228"/>
    </row>
    <row r="67" spans="3:10" x14ac:dyDescent="0.3">
      <c r="C67" s="233" t="s">
        <v>125</v>
      </c>
      <c r="D67" s="229">
        <v>20</v>
      </c>
      <c r="E67" s="271"/>
      <c r="F67" s="229"/>
      <c r="G67" s="229"/>
      <c r="H67" s="229"/>
      <c r="I67" s="228"/>
      <c r="J67" s="228"/>
    </row>
    <row r="68" spans="3:10" x14ac:dyDescent="0.3">
      <c r="C68" s="233" t="s">
        <v>124</v>
      </c>
      <c r="D68" s="234">
        <v>10</v>
      </c>
      <c r="E68" s="272"/>
      <c r="F68" s="229"/>
      <c r="G68" s="229"/>
      <c r="H68" s="229"/>
      <c r="I68" s="228"/>
      <c r="J68" s="228"/>
    </row>
    <row r="69" spans="3:10" x14ac:dyDescent="0.3">
      <c r="C69" s="233" t="s">
        <v>419</v>
      </c>
      <c r="D69" s="234">
        <v>5</v>
      </c>
      <c r="E69" s="272"/>
      <c r="F69" s="229"/>
      <c r="G69" s="229"/>
      <c r="H69" s="229"/>
      <c r="I69" s="228"/>
      <c r="J69" s="228"/>
    </row>
    <row r="70" spans="3:10" x14ac:dyDescent="0.3">
      <c r="C70" s="233" t="s">
        <v>19</v>
      </c>
      <c r="D70" s="234">
        <v>30</v>
      </c>
      <c r="E70" s="272"/>
      <c r="F70" s="229"/>
      <c r="G70" s="229"/>
      <c r="H70" s="229"/>
      <c r="I70" s="228"/>
      <c r="J70" s="228"/>
    </row>
    <row r="71" spans="3:10" x14ac:dyDescent="0.3">
      <c r="C71" s="233" t="s">
        <v>60</v>
      </c>
      <c r="D71" s="234">
        <v>2</v>
      </c>
      <c r="E71" s="272"/>
      <c r="F71" s="229"/>
      <c r="G71" s="229"/>
      <c r="H71" s="229"/>
      <c r="I71" s="228"/>
      <c r="J71" s="228"/>
    </row>
    <row r="72" spans="3:10" x14ac:dyDescent="0.3">
      <c r="C72" s="233" t="s">
        <v>16</v>
      </c>
      <c r="D72" s="242">
        <v>863</v>
      </c>
      <c r="E72" s="272"/>
      <c r="F72" s="229"/>
      <c r="G72" s="229"/>
      <c r="H72" s="229"/>
      <c r="I72" s="228"/>
      <c r="J72" s="228"/>
    </row>
    <row r="73" spans="3:10" x14ac:dyDescent="0.3">
      <c r="D73" s="236">
        <f>SUM(D64:D72)</f>
        <v>1000</v>
      </c>
      <c r="E73" s="237"/>
      <c r="F73" s="236">
        <f t="shared" ref="F73:H73" si="13">SUM(F64:F72)</f>
        <v>0</v>
      </c>
      <c r="G73" s="239">
        <f t="shared" si="13"/>
        <v>0</v>
      </c>
      <c r="H73" s="239">
        <f t="shared" si="13"/>
        <v>0</v>
      </c>
      <c r="I73" s="232"/>
      <c r="J73" s="232"/>
    </row>
  </sheetData>
  <mergeCells count="5">
    <mergeCell ref="C4:J4"/>
    <mergeCell ref="C17:J17"/>
    <mergeCell ref="C34:J34"/>
    <mergeCell ref="C48:J48"/>
    <mergeCell ref="C62:J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388B-BB3B-4216-924C-F95A568EB995}">
  <dimension ref="B3:I12"/>
  <sheetViews>
    <sheetView workbookViewId="0">
      <selection activeCell="C5" sqref="C5:C11"/>
    </sheetView>
  </sheetViews>
  <sheetFormatPr baseColWidth="10" defaultRowHeight="14.4" x14ac:dyDescent="0.3"/>
  <cols>
    <col min="3" max="3" width="40.6640625" customWidth="1"/>
    <col min="4" max="4" width="19" bestFit="1" customWidth="1"/>
    <col min="5" max="5" width="9.88671875" hidden="1" customWidth="1"/>
    <col min="6" max="6" width="14" hidden="1" customWidth="1"/>
    <col min="7" max="7" width="17.88671875" bestFit="1" customWidth="1"/>
    <col min="8" max="8" width="14" hidden="1" customWidth="1"/>
    <col min="9" max="9" width="20.44140625" customWidth="1"/>
  </cols>
  <sheetData>
    <row r="3" spans="2:9" ht="23.4" x14ac:dyDescent="0.45">
      <c r="C3" s="172" t="s">
        <v>541</v>
      </c>
      <c r="D3" s="173"/>
      <c r="E3" s="173"/>
      <c r="F3" s="173"/>
      <c r="G3" s="173"/>
      <c r="H3" s="173"/>
      <c r="I3" s="174"/>
    </row>
    <row r="4" spans="2:9" ht="46.8" x14ac:dyDescent="0.3">
      <c r="B4" s="1">
        <v>27</v>
      </c>
      <c r="C4" s="2" t="s">
        <v>0</v>
      </c>
      <c r="D4" s="3" t="s">
        <v>1</v>
      </c>
      <c r="E4" s="3" t="s">
        <v>90</v>
      </c>
      <c r="F4" s="3" t="s">
        <v>152</v>
      </c>
      <c r="G4" s="3" t="s">
        <v>280</v>
      </c>
      <c r="H4" s="4" t="s">
        <v>281</v>
      </c>
      <c r="I4" s="3" t="s">
        <v>540</v>
      </c>
    </row>
    <row r="5" spans="2:9" ht="15.6" x14ac:dyDescent="0.3">
      <c r="C5" s="41" t="s">
        <v>60</v>
      </c>
      <c r="D5" s="42">
        <v>2.5</v>
      </c>
      <c r="E5" s="7">
        <v>60</v>
      </c>
      <c r="F5" s="7">
        <f>(E5/1000)*D5</f>
        <v>0.15</v>
      </c>
      <c r="G5" s="6">
        <f t="shared" ref="G5:G11" si="0">(D5*100)</f>
        <v>250</v>
      </c>
      <c r="H5" s="43">
        <f>(E5/1000)*G5</f>
        <v>15</v>
      </c>
      <c r="I5" s="6">
        <f>(D5*100)</f>
        <v>250</v>
      </c>
    </row>
    <row r="6" spans="2:9" ht="15.6" x14ac:dyDescent="0.3">
      <c r="C6" s="41" t="s">
        <v>157</v>
      </c>
      <c r="D6" s="42">
        <v>10</v>
      </c>
      <c r="E6" s="44">
        <v>180</v>
      </c>
      <c r="F6" s="7">
        <f t="shared" ref="F6:F11" si="1">(E6/1000)*D6</f>
        <v>1.7999999999999998</v>
      </c>
      <c r="G6" s="6">
        <f t="shared" si="0"/>
        <v>1000</v>
      </c>
      <c r="H6" s="43">
        <f t="shared" ref="H6:H11" si="2">(E6/1000)*G6</f>
        <v>180</v>
      </c>
      <c r="I6" s="6">
        <f t="shared" ref="I6:I11" si="3">(D6*100)</f>
        <v>1000</v>
      </c>
    </row>
    <row r="7" spans="2:9" ht="15.6" x14ac:dyDescent="0.3">
      <c r="C7" s="41" t="s">
        <v>67</v>
      </c>
      <c r="D7" s="42">
        <v>50</v>
      </c>
      <c r="E7" s="44">
        <v>24</v>
      </c>
      <c r="F7" s="7">
        <f t="shared" si="1"/>
        <v>1.2</v>
      </c>
      <c r="G7" s="6">
        <f t="shared" si="0"/>
        <v>5000</v>
      </c>
      <c r="H7" s="43">
        <f t="shared" si="2"/>
        <v>120</v>
      </c>
      <c r="I7" s="6">
        <f t="shared" si="3"/>
        <v>5000</v>
      </c>
    </row>
    <row r="8" spans="2:9" ht="15.6" x14ac:dyDescent="0.3">
      <c r="C8" s="41" t="s">
        <v>68</v>
      </c>
      <c r="D8" s="42">
        <v>50</v>
      </c>
      <c r="E8" s="44">
        <v>25</v>
      </c>
      <c r="F8" s="7">
        <f t="shared" si="1"/>
        <v>1.25</v>
      </c>
      <c r="G8" s="6">
        <f t="shared" si="0"/>
        <v>5000</v>
      </c>
      <c r="H8" s="43">
        <f t="shared" si="2"/>
        <v>125</v>
      </c>
      <c r="I8" s="6">
        <f t="shared" si="3"/>
        <v>5000</v>
      </c>
    </row>
    <row r="9" spans="2:9" ht="15.6" x14ac:dyDescent="0.3">
      <c r="C9" s="41" t="s">
        <v>35</v>
      </c>
      <c r="D9" s="42">
        <v>10</v>
      </c>
      <c r="E9" s="44">
        <v>200</v>
      </c>
      <c r="F9" s="7">
        <f t="shared" si="1"/>
        <v>2</v>
      </c>
      <c r="G9" s="6">
        <f t="shared" si="0"/>
        <v>1000</v>
      </c>
      <c r="H9" s="43">
        <f t="shared" si="2"/>
        <v>200</v>
      </c>
      <c r="I9" s="6">
        <f t="shared" si="3"/>
        <v>1000</v>
      </c>
    </row>
    <row r="10" spans="2:9" ht="15.6" x14ac:dyDescent="0.3">
      <c r="C10" s="41" t="s">
        <v>282</v>
      </c>
      <c r="D10" s="42">
        <v>5</v>
      </c>
      <c r="E10" s="44">
        <v>390</v>
      </c>
      <c r="F10" s="7">
        <f t="shared" si="1"/>
        <v>1.9500000000000002</v>
      </c>
      <c r="G10" s="6">
        <f t="shared" si="0"/>
        <v>500</v>
      </c>
      <c r="H10" s="43">
        <f t="shared" si="2"/>
        <v>195</v>
      </c>
      <c r="I10" s="6">
        <f t="shared" si="3"/>
        <v>500</v>
      </c>
    </row>
    <row r="11" spans="2:9" ht="15.6" x14ac:dyDescent="0.3">
      <c r="C11" s="41" t="s">
        <v>16</v>
      </c>
      <c r="D11" s="42">
        <v>873</v>
      </c>
      <c r="E11" s="44">
        <v>0.6</v>
      </c>
      <c r="F11" s="7">
        <f t="shared" si="1"/>
        <v>0.52379999999999993</v>
      </c>
      <c r="G11" s="6">
        <f t="shared" si="0"/>
        <v>87300</v>
      </c>
      <c r="H11" s="43">
        <f t="shared" si="2"/>
        <v>52.379999999999995</v>
      </c>
      <c r="I11" s="6">
        <f t="shared" si="3"/>
        <v>87300</v>
      </c>
    </row>
    <row r="12" spans="2:9" x14ac:dyDescent="0.3">
      <c r="D12" s="50">
        <f>SUM(D5:D11)</f>
        <v>1000.5</v>
      </c>
      <c r="E12" s="51"/>
      <c r="F12" s="52">
        <f>SUM(F5:F11)</f>
        <v>8.8737999999999992</v>
      </c>
      <c r="G12" s="50">
        <f>SUM(G5:G11)</f>
        <v>100050</v>
      </c>
      <c r="H12" s="53">
        <f>SUM(H5:H11)</f>
        <v>887.38</v>
      </c>
      <c r="I12" s="50">
        <f>SUM(I5:I11)</f>
        <v>100050</v>
      </c>
    </row>
  </sheetData>
  <mergeCells count="1">
    <mergeCell ref="C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D9E4-AEBC-4BAB-AE9D-2EBB955E68EC}">
  <dimension ref="B3:K10"/>
  <sheetViews>
    <sheetView workbookViewId="0">
      <selection activeCell="E33" sqref="E33"/>
    </sheetView>
  </sheetViews>
  <sheetFormatPr baseColWidth="10" defaultRowHeight="14.4" x14ac:dyDescent="0.3"/>
  <cols>
    <col min="4" max="4" width="24.109375" customWidth="1"/>
    <col min="6" max="7" width="0" hidden="1" customWidth="1"/>
    <col min="9" max="9" width="0" hidden="1" customWidth="1"/>
    <col min="10" max="10" width="14" customWidth="1"/>
  </cols>
  <sheetData>
    <row r="3" spans="2:11" ht="23.4" x14ac:dyDescent="0.45">
      <c r="D3" s="172" t="s">
        <v>211</v>
      </c>
      <c r="E3" s="173"/>
      <c r="F3" s="173"/>
      <c r="G3" s="173"/>
      <c r="H3" s="173"/>
      <c r="I3" s="173"/>
      <c r="J3" s="173"/>
      <c r="K3" s="174"/>
    </row>
    <row r="4" spans="2:11" ht="62.4" x14ac:dyDescent="0.3">
      <c r="C4" s="1">
        <v>1</v>
      </c>
      <c r="D4" s="2" t="s">
        <v>0</v>
      </c>
      <c r="E4" s="3" t="s">
        <v>1</v>
      </c>
      <c r="F4" s="3" t="s">
        <v>2</v>
      </c>
      <c r="G4" s="3" t="s">
        <v>24</v>
      </c>
      <c r="H4" s="3" t="s">
        <v>283</v>
      </c>
      <c r="I4" s="3" t="s">
        <v>25</v>
      </c>
      <c r="J4" s="3" t="s">
        <v>26</v>
      </c>
      <c r="K4" s="4"/>
    </row>
    <row r="5" spans="2:11" ht="15" customHeight="1" x14ac:dyDescent="0.3">
      <c r="B5" s="83"/>
      <c r="C5" s="31">
        <v>1</v>
      </c>
      <c r="D5" s="29" t="s">
        <v>212</v>
      </c>
      <c r="E5" s="6">
        <v>10</v>
      </c>
      <c r="F5" s="7">
        <v>0.3</v>
      </c>
      <c r="G5" s="7">
        <f>(F5/1000)*E5</f>
        <v>2.9999999999999996E-3</v>
      </c>
      <c r="H5" s="6">
        <f>(E5*3)</f>
        <v>30</v>
      </c>
      <c r="I5" s="12">
        <f>(F5/1000)*H5</f>
        <v>8.9999999999999993E-3</v>
      </c>
      <c r="J5" s="6">
        <f>(E5*12.5)</f>
        <v>125</v>
      </c>
      <c r="K5" s="10" t="s">
        <v>7</v>
      </c>
    </row>
    <row r="6" spans="2:11" ht="15" customHeight="1" x14ac:dyDescent="0.3">
      <c r="B6" s="83"/>
      <c r="C6" s="31">
        <v>2</v>
      </c>
      <c r="D6" s="29" t="s">
        <v>213</v>
      </c>
      <c r="E6" s="6">
        <v>50</v>
      </c>
      <c r="F6" s="7">
        <v>15</v>
      </c>
      <c r="G6" s="7">
        <f>(F6/1000)*E6</f>
        <v>0.75</v>
      </c>
      <c r="H6" s="6">
        <f>(E6*3)</f>
        <v>150</v>
      </c>
      <c r="I6" s="12">
        <f>(F6/1000)*H6</f>
        <v>2.25</v>
      </c>
      <c r="J6" s="6">
        <f>(E6*12.5)</f>
        <v>625</v>
      </c>
      <c r="K6" s="10" t="s">
        <v>7</v>
      </c>
    </row>
    <row r="7" spans="2:11" ht="15" customHeight="1" x14ac:dyDescent="0.3">
      <c r="B7" s="83"/>
      <c r="C7" s="31">
        <v>3</v>
      </c>
      <c r="D7" s="29" t="s">
        <v>214</v>
      </c>
      <c r="E7" s="11">
        <v>1000</v>
      </c>
      <c r="F7" s="7">
        <v>30</v>
      </c>
      <c r="G7" s="7">
        <f>(F7/1000)*E7</f>
        <v>30</v>
      </c>
      <c r="H7" s="6">
        <f>(E7*3)</f>
        <v>3000</v>
      </c>
      <c r="I7" s="12">
        <f>(F7/1000)*H7</f>
        <v>90</v>
      </c>
      <c r="J7" s="6">
        <f>(E7*12.5)</f>
        <v>12500</v>
      </c>
      <c r="K7" s="10" t="s">
        <v>7</v>
      </c>
    </row>
    <row r="8" spans="2:11" x14ac:dyDescent="0.3">
      <c r="D8" s="27"/>
      <c r="E8" s="19">
        <f>SUM(E5:E7)</f>
        <v>1060</v>
      </c>
      <c r="F8" s="20"/>
      <c r="G8" s="21">
        <f>SUM(G5:G7)</f>
        <v>30.753</v>
      </c>
      <c r="H8" s="19">
        <f>SUM(H5:H7)</f>
        <v>3180</v>
      </c>
      <c r="I8" s="22">
        <f>SUM(I5:I7)</f>
        <v>92.259</v>
      </c>
      <c r="J8" s="19">
        <f>SUM(J5:J7)</f>
        <v>13250</v>
      </c>
      <c r="K8" s="23"/>
    </row>
    <row r="10" spans="2:11" x14ac:dyDescent="0.3">
      <c r="C10" t="s">
        <v>215</v>
      </c>
    </row>
  </sheetData>
  <mergeCells count="1">
    <mergeCell ref="D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3390-4430-4FB1-96B3-EE2B98670E3A}">
  <dimension ref="B3:J55"/>
  <sheetViews>
    <sheetView topLeftCell="A37" workbookViewId="0">
      <selection activeCell="A29" sqref="A29:XFD30"/>
    </sheetView>
  </sheetViews>
  <sheetFormatPr baseColWidth="10" defaultRowHeight="14.4" x14ac:dyDescent="0.3"/>
  <cols>
    <col min="3" max="3" width="21.5546875" customWidth="1"/>
    <col min="4" max="4" width="13.109375" bestFit="1" customWidth="1"/>
    <col min="5" max="5" width="10.33203125" hidden="1" customWidth="1"/>
    <col min="6" max="6" width="10.6640625" hidden="1" customWidth="1"/>
    <col min="7" max="7" width="11.109375" bestFit="1" customWidth="1"/>
    <col min="8" max="8" width="12.44140625" bestFit="1" customWidth="1"/>
    <col min="9" max="9" width="11.44140625" customWidth="1"/>
    <col min="10" max="10" width="9.44140625" customWidth="1"/>
  </cols>
  <sheetData>
    <row r="3" spans="2:10" ht="23.4" x14ac:dyDescent="0.45">
      <c r="C3" s="172" t="s">
        <v>85</v>
      </c>
      <c r="D3" s="173"/>
      <c r="E3" s="173"/>
      <c r="F3" s="173"/>
      <c r="G3" s="173"/>
      <c r="H3" s="173"/>
      <c r="I3" s="173"/>
      <c r="J3" s="174"/>
    </row>
    <row r="4" spans="2:10" ht="62.4" x14ac:dyDescent="0.3">
      <c r="B4" s="33">
        <v>1</v>
      </c>
      <c r="C4" s="2" t="s">
        <v>0</v>
      </c>
      <c r="D4" s="3" t="s">
        <v>1</v>
      </c>
      <c r="E4" s="3" t="s">
        <v>2</v>
      </c>
      <c r="F4" s="3" t="s">
        <v>24</v>
      </c>
      <c r="G4" s="3" t="s">
        <v>251</v>
      </c>
      <c r="H4" s="3" t="s">
        <v>47</v>
      </c>
      <c r="I4" s="3" t="s">
        <v>86</v>
      </c>
      <c r="J4" s="4"/>
    </row>
    <row r="5" spans="2:10" x14ac:dyDescent="0.3">
      <c r="B5" s="35">
        <v>1</v>
      </c>
      <c r="C5" s="24" t="s">
        <v>27</v>
      </c>
      <c r="D5" s="6">
        <v>891</v>
      </c>
      <c r="E5" s="7">
        <v>0.6</v>
      </c>
      <c r="F5" s="7">
        <f>(E5/1000)*D5</f>
        <v>0.53459999999999996</v>
      </c>
      <c r="G5" s="6">
        <f>(D5*20)</f>
        <v>17820</v>
      </c>
      <c r="H5" s="12">
        <f>(E5/1000)*G5</f>
        <v>10.691999999999998</v>
      </c>
      <c r="I5" s="6">
        <f>(D5*50)</f>
        <v>44550</v>
      </c>
      <c r="J5" s="10" t="s">
        <v>7</v>
      </c>
    </row>
    <row r="6" spans="2:10" x14ac:dyDescent="0.3">
      <c r="B6" s="35">
        <v>6</v>
      </c>
      <c r="C6" s="24" t="s">
        <v>17</v>
      </c>
      <c r="D6" s="6">
        <v>11</v>
      </c>
      <c r="E6" s="7">
        <v>98</v>
      </c>
      <c r="F6" s="7">
        <f t="shared" ref="F6:F15" si="0">(E6/1000)*D6</f>
        <v>1.0780000000000001</v>
      </c>
      <c r="G6" s="6">
        <f t="shared" ref="G6:G15" si="1">(D6*20)</f>
        <v>220</v>
      </c>
      <c r="H6" s="12">
        <f t="shared" ref="H6:H15" si="2">(E6/1000)*G6</f>
        <v>21.560000000000002</v>
      </c>
      <c r="I6" s="6">
        <f t="shared" ref="I6:I14" si="3">(D6*50)</f>
        <v>550</v>
      </c>
      <c r="J6" s="10" t="s">
        <v>7</v>
      </c>
    </row>
    <row r="7" spans="2:10" x14ac:dyDescent="0.3">
      <c r="B7" s="35">
        <v>10</v>
      </c>
      <c r="C7" s="24" t="s">
        <v>48</v>
      </c>
      <c r="D7" s="6">
        <v>2</v>
      </c>
      <c r="E7" s="7">
        <v>55</v>
      </c>
      <c r="F7" s="7">
        <f t="shared" si="0"/>
        <v>0.11</v>
      </c>
      <c r="G7" s="6">
        <f t="shared" si="1"/>
        <v>40</v>
      </c>
      <c r="H7" s="12">
        <f t="shared" si="2"/>
        <v>2.2000000000000002</v>
      </c>
      <c r="I7" s="6">
        <f t="shared" si="3"/>
        <v>100</v>
      </c>
      <c r="J7" s="10" t="s">
        <v>7</v>
      </c>
    </row>
    <row r="8" spans="2:10" x14ac:dyDescent="0.3">
      <c r="B8" s="35">
        <v>2</v>
      </c>
      <c r="C8" s="24" t="s">
        <v>28</v>
      </c>
      <c r="D8" s="6">
        <v>1</v>
      </c>
      <c r="E8" s="7">
        <v>45</v>
      </c>
      <c r="F8" s="7">
        <f t="shared" si="0"/>
        <v>4.4999999999999998E-2</v>
      </c>
      <c r="G8" s="6">
        <f t="shared" si="1"/>
        <v>20</v>
      </c>
      <c r="H8" s="12">
        <f t="shared" si="2"/>
        <v>0.89999999999999991</v>
      </c>
      <c r="I8" s="6">
        <f t="shared" si="3"/>
        <v>50</v>
      </c>
      <c r="J8" s="10" t="s">
        <v>7</v>
      </c>
    </row>
    <row r="9" spans="2:10" x14ac:dyDescent="0.3">
      <c r="B9" s="35">
        <v>3</v>
      </c>
      <c r="C9" s="24" t="s">
        <v>29</v>
      </c>
      <c r="D9" s="11">
        <v>0.5</v>
      </c>
      <c r="E9" s="7">
        <v>60</v>
      </c>
      <c r="F9" s="7">
        <f t="shared" si="0"/>
        <v>0.03</v>
      </c>
      <c r="G9" s="6">
        <f t="shared" si="1"/>
        <v>10</v>
      </c>
      <c r="H9" s="12">
        <f t="shared" si="2"/>
        <v>0.6</v>
      </c>
      <c r="I9" s="6">
        <f t="shared" si="3"/>
        <v>25</v>
      </c>
      <c r="J9" s="10" t="s">
        <v>7</v>
      </c>
    </row>
    <row r="10" spans="2:10" x14ac:dyDescent="0.3">
      <c r="B10" s="35">
        <v>4</v>
      </c>
      <c r="C10" s="24" t="s">
        <v>49</v>
      </c>
      <c r="D10" s="32">
        <v>0.5</v>
      </c>
      <c r="E10" s="7">
        <v>90</v>
      </c>
      <c r="F10" s="7">
        <f t="shared" si="0"/>
        <v>4.4999999999999998E-2</v>
      </c>
      <c r="G10" s="6">
        <f t="shared" si="1"/>
        <v>10</v>
      </c>
      <c r="H10" s="12">
        <f t="shared" si="2"/>
        <v>0.89999999999999991</v>
      </c>
      <c r="I10" s="6">
        <f t="shared" si="3"/>
        <v>25</v>
      </c>
      <c r="J10" s="10" t="s">
        <v>7</v>
      </c>
    </row>
    <row r="11" spans="2:10" x14ac:dyDescent="0.3">
      <c r="B11" s="35">
        <v>7</v>
      </c>
      <c r="C11" s="24" t="s">
        <v>53</v>
      </c>
      <c r="D11" s="32">
        <v>11</v>
      </c>
      <c r="E11" s="7">
        <v>20</v>
      </c>
      <c r="F11" s="7">
        <f t="shared" si="0"/>
        <v>0.22</v>
      </c>
      <c r="G11" s="6">
        <f t="shared" si="1"/>
        <v>220</v>
      </c>
      <c r="H11" s="12">
        <f t="shared" si="2"/>
        <v>4.4000000000000004</v>
      </c>
      <c r="I11" s="6">
        <f t="shared" si="3"/>
        <v>550</v>
      </c>
      <c r="J11" s="10"/>
    </row>
    <row r="12" spans="2:10" x14ac:dyDescent="0.3">
      <c r="B12" s="35">
        <v>11</v>
      </c>
      <c r="C12" s="24" t="s">
        <v>50</v>
      </c>
      <c r="D12" s="25">
        <v>1</v>
      </c>
      <c r="E12" s="7">
        <v>200</v>
      </c>
      <c r="F12" s="7">
        <f t="shared" si="0"/>
        <v>0.2</v>
      </c>
      <c r="G12" s="6">
        <f t="shared" si="1"/>
        <v>20</v>
      </c>
      <c r="H12" s="12">
        <f t="shared" si="2"/>
        <v>4</v>
      </c>
      <c r="I12" s="6">
        <f t="shared" si="3"/>
        <v>50</v>
      </c>
      <c r="J12" s="10" t="s">
        <v>7</v>
      </c>
    </row>
    <row r="13" spans="2:10" x14ac:dyDescent="0.3">
      <c r="B13" s="35">
        <v>8</v>
      </c>
      <c r="C13" s="24" t="s">
        <v>19</v>
      </c>
      <c r="D13" s="6">
        <v>50</v>
      </c>
      <c r="E13" s="7">
        <v>8</v>
      </c>
      <c r="F13" s="7">
        <f t="shared" si="0"/>
        <v>0.4</v>
      </c>
      <c r="G13" s="6">
        <f t="shared" si="1"/>
        <v>1000</v>
      </c>
      <c r="H13" s="12">
        <f t="shared" si="2"/>
        <v>8</v>
      </c>
      <c r="I13" s="6">
        <f t="shared" si="3"/>
        <v>2500</v>
      </c>
      <c r="J13" s="10" t="s">
        <v>7</v>
      </c>
    </row>
    <row r="14" spans="2:10" x14ac:dyDescent="0.3">
      <c r="B14" s="35">
        <v>9</v>
      </c>
      <c r="C14" s="24" t="s">
        <v>51</v>
      </c>
      <c r="D14" s="6">
        <v>3</v>
      </c>
      <c r="E14" s="7">
        <v>20</v>
      </c>
      <c r="F14" s="7">
        <f t="shared" si="0"/>
        <v>0.06</v>
      </c>
      <c r="G14" s="6">
        <f t="shared" si="1"/>
        <v>60</v>
      </c>
      <c r="H14" s="12">
        <f t="shared" si="2"/>
        <v>1.2</v>
      </c>
      <c r="I14" s="6">
        <f t="shared" si="3"/>
        <v>150</v>
      </c>
      <c r="J14" s="10" t="s">
        <v>7</v>
      </c>
    </row>
    <row r="15" spans="2:10" x14ac:dyDescent="0.3">
      <c r="B15" s="35">
        <v>5</v>
      </c>
      <c r="C15" s="24" t="s">
        <v>52</v>
      </c>
      <c r="D15" s="6">
        <v>40</v>
      </c>
      <c r="E15" s="7">
        <v>130</v>
      </c>
      <c r="F15" s="7">
        <f t="shared" si="0"/>
        <v>5.2</v>
      </c>
      <c r="G15" s="6">
        <f t="shared" si="1"/>
        <v>800</v>
      </c>
      <c r="H15" s="12">
        <f t="shared" si="2"/>
        <v>104</v>
      </c>
      <c r="I15" s="6">
        <f>(D15*50)</f>
        <v>2000</v>
      </c>
      <c r="J15" s="10" t="s">
        <v>7</v>
      </c>
    </row>
    <row r="16" spans="2:10" x14ac:dyDescent="0.3">
      <c r="C16" s="27"/>
      <c r="D16" s="19">
        <f>SUM(D5:D15)</f>
        <v>1011</v>
      </c>
      <c r="E16" s="20"/>
      <c r="F16" s="21">
        <f>SUM(F5:F15)</f>
        <v>7.922600000000001</v>
      </c>
      <c r="G16" s="19">
        <f>SUM(G5:G15)</f>
        <v>20220</v>
      </c>
      <c r="H16" s="22">
        <f>SUM(H5:H15)</f>
        <v>158.452</v>
      </c>
      <c r="I16" s="19">
        <f>SUM(I5:I15)</f>
        <v>50550</v>
      </c>
      <c r="J16" s="23"/>
    </row>
    <row r="20" spans="2:10" ht="23.4" x14ac:dyDescent="0.45">
      <c r="C20" s="172" t="s">
        <v>422</v>
      </c>
      <c r="D20" s="173"/>
      <c r="E20" s="173"/>
      <c r="F20" s="173"/>
      <c r="G20" s="173"/>
      <c r="H20" s="173"/>
      <c r="I20" s="173"/>
      <c r="J20" s="174"/>
    </row>
    <row r="21" spans="2:10" ht="78" x14ac:dyDescent="0.3">
      <c r="B21" s="1">
        <v>2</v>
      </c>
      <c r="C21" s="36" t="s">
        <v>0</v>
      </c>
      <c r="D21" s="4" t="s">
        <v>1</v>
      </c>
      <c r="E21" s="4" t="s">
        <v>2</v>
      </c>
      <c r="F21" s="4" t="s">
        <v>14</v>
      </c>
      <c r="G21" s="4" t="s">
        <v>412</v>
      </c>
      <c r="H21" s="4" t="s">
        <v>75</v>
      </c>
      <c r="I21" s="4" t="s">
        <v>76</v>
      </c>
      <c r="J21" s="4"/>
    </row>
    <row r="22" spans="2:10" x14ac:dyDescent="0.3">
      <c r="B22" s="35">
        <v>2</v>
      </c>
      <c r="C22" s="5" t="s">
        <v>67</v>
      </c>
      <c r="D22" s="6">
        <v>70</v>
      </c>
      <c r="E22" s="37">
        <v>20</v>
      </c>
      <c r="F22" s="8">
        <f t="shared" ref="F22:F29" si="4">(E22/1000)*D22</f>
        <v>1.4000000000000001</v>
      </c>
      <c r="G22" s="6">
        <f>(D22*65)</f>
        <v>4550</v>
      </c>
      <c r="H22" s="38">
        <f t="shared" ref="H22:H29" si="5">(E22/1000)*G22</f>
        <v>91</v>
      </c>
      <c r="I22" s="6">
        <f>(D22*50)</f>
        <v>3500</v>
      </c>
      <c r="J22" s="5" t="s">
        <v>7</v>
      </c>
    </row>
    <row r="23" spans="2:10" x14ac:dyDescent="0.3">
      <c r="B23" s="35">
        <v>3</v>
      </c>
      <c r="C23" s="5" t="s">
        <v>372</v>
      </c>
      <c r="D23" s="6">
        <v>70</v>
      </c>
      <c r="E23" s="37">
        <v>20</v>
      </c>
      <c r="F23" s="8">
        <f t="shared" si="4"/>
        <v>1.4000000000000001</v>
      </c>
      <c r="G23" s="6">
        <f t="shared" ref="G23:G29" si="6">(D23*65)</f>
        <v>4550</v>
      </c>
      <c r="H23" s="38">
        <f t="shared" si="5"/>
        <v>91</v>
      </c>
      <c r="I23" s="6">
        <f t="shared" ref="I23:I29" si="7">(D23*50)</f>
        <v>3500</v>
      </c>
      <c r="J23" s="5" t="s">
        <v>7</v>
      </c>
    </row>
    <row r="24" spans="2:10" x14ac:dyDescent="0.3">
      <c r="B24" s="35">
        <v>9</v>
      </c>
      <c r="C24" s="5" t="s">
        <v>70</v>
      </c>
      <c r="D24" s="6">
        <v>20</v>
      </c>
      <c r="E24" s="37">
        <v>26</v>
      </c>
      <c r="F24" s="8">
        <f t="shared" si="4"/>
        <v>0.52</v>
      </c>
      <c r="G24" s="6">
        <f t="shared" si="6"/>
        <v>1300</v>
      </c>
      <c r="H24" s="38">
        <f t="shared" si="5"/>
        <v>33.799999999999997</v>
      </c>
      <c r="I24" s="6">
        <f t="shared" si="7"/>
        <v>1000</v>
      </c>
      <c r="J24" s="5" t="s">
        <v>7</v>
      </c>
    </row>
    <row r="25" spans="2:10" x14ac:dyDescent="0.3">
      <c r="B25" s="35">
        <v>10</v>
      </c>
      <c r="C25" s="5" t="s">
        <v>423</v>
      </c>
      <c r="D25" s="6">
        <v>5</v>
      </c>
      <c r="E25" s="37">
        <v>70.8</v>
      </c>
      <c r="F25" s="8">
        <f t="shared" si="4"/>
        <v>0.35399999999999998</v>
      </c>
      <c r="G25" s="6">
        <f t="shared" si="6"/>
        <v>325</v>
      </c>
      <c r="H25" s="38">
        <f t="shared" si="5"/>
        <v>23.01</v>
      </c>
      <c r="I25" s="6">
        <f t="shared" si="7"/>
        <v>250</v>
      </c>
      <c r="J25" s="5" t="s">
        <v>7</v>
      </c>
    </row>
    <row r="26" spans="2:10" x14ac:dyDescent="0.3">
      <c r="B26" s="35">
        <v>8</v>
      </c>
      <c r="C26" s="5" t="s">
        <v>424</v>
      </c>
      <c r="D26" s="6">
        <v>5</v>
      </c>
      <c r="E26" s="37">
        <v>980</v>
      </c>
      <c r="F26" s="8">
        <f t="shared" si="4"/>
        <v>4.9000000000000004</v>
      </c>
      <c r="G26" s="6">
        <f t="shared" si="6"/>
        <v>325</v>
      </c>
      <c r="H26" s="38">
        <f t="shared" si="5"/>
        <v>318.5</v>
      </c>
      <c r="I26" s="6">
        <f t="shared" si="7"/>
        <v>250</v>
      </c>
      <c r="J26" s="5" t="s">
        <v>7</v>
      </c>
    </row>
    <row r="27" spans="2:10" x14ac:dyDescent="0.3">
      <c r="B27" s="35">
        <v>7</v>
      </c>
      <c r="C27" s="5" t="s">
        <v>19</v>
      </c>
      <c r="D27" s="6">
        <v>20</v>
      </c>
      <c r="E27" s="37">
        <v>8</v>
      </c>
      <c r="F27" s="8">
        <f t="shared" si="4"/>
        <v>0.16</v>
      </c>
      <c r="G27" s="6">
        <f t="shared" si="6"/>
        <v>1300</v>
      </c>
      <c r="H27" s="38">
        <f t="shared" si="5"/>
        <v>10.4</v>
      </c>
      <c r="I27" s="6">
        <f t="shared" si="7"/>
        <v>1000</v>
      </c>
      <c r="J27" s="5" t="s">
        <v>7</v>
      </c>
    </row>
    <row r="28" spans="2:10" x14ac:dyDescent="0.3">
      <c r="B28" s="35"/>
      <c r="C28" s="5" t="s">
        <v>60</v>
      </c>
      <c r="D28" s="6">
        <v>2</v>
      </c>
      <c r="E28" s="37">
        <v>45</v>
      </c>
      <c r="F28" s="8">
        <f t="shared" si="4"/>
        <v>0.09</v>
      </c>
      <c r="G28" s="6">
        <f t="shared" si="6"/>
        <v>130</v>
      </c>
      <c r="H28" s="38">
        <f t="shared" si="5"/>
        <v>5.85</v>
      </c>
      <c r="I28" s="6">
        <f t="shared" si="7"/>
        <v>100</v>
      </c>
      <c r="J28" s="5"/>
    </row>
    <row r="29" spans="2:10" x14ac:dyDescent="0.3">
      <c r="B29" s="35">
        <v>1</v>
      </c>
      <c r="C29" s="5" t="s">
        <v>173</v>
      </c>
      <c r="D29" s="11">
        <v>807</v>
      </c>
      <c r="E29" s="37">
        <v>0.6</v>
      </c>
      <c r="F29" s="8">
        <f t="shared" si="4"/>
        <v>0.48419999999999996</v>
      </c>
      <c r="G29" s="6">
        <f t="shared" si="6"/>
        <v>52455</v>
      </c>
      <c r="H29" s="38">
        <f t="shared" si="5"/>
        <v>31.472999999999999</v>
      </c>
      <c r="I29" s="6">
        <f t="shared" si="7"/>
        <v>40350</v>
      </c>
      <c r="J29" s="5" t="s">
        <v>7</v>
      </c>
    </row>
    <row r="30" spans="2:10" x14ac:dyDescent="0.3">
      <c r="D30" s="13">
        <f>SUM(D22:D29)</f>
        <v>999</v>
      </c>
      <c r="E30" s="14"/>
      <c r="F30" s="15">
        <f>SUM(F22:F29)</f>
        <v>9.3082000000000011</v>
      </c>
      <c r="G30" s="13">
        <f>SUM(G22:G29)</f>
        <v>64935</v>
      </c>
      <c r="H30" s="39">
        <f>SUM(H22:H29)</f>
        <v>605.0329999999999</v>
      </c>
      <c r="I30" s="13">
        <f>SUM(I22:I29)</f>
        <v>49950</v>
      </c>
      <c r="J30" s="17"/>
    </row>
    <row r="33" spans="2:10" ht="23.4" x14ac:dyDescent="0.45">
      <c r="C33" s="172" t="s">
        <v>428</v>
      </c>
      <c r="D33" s="173"/>
      <c r="E33" s="173"/>
      <c r="F33" s="173"/>
      <c r="G33" s="173"/>
      <c r="H33" s="173"/>
      <c r="I33" s="173"/>
      <c r="J33" s="174"/>
    </row>
    <row r="34" spans="2:10" ht="78" x14ac:dyDescent="0.3">
      <c r="B34" s="1">
        <v>2</v>
      </c>
      <c r="C34" s="36" t="s">
        <v>0</v>
      </c>
      <c r="D34" s="4" t="s">
        <v>1</v>
      </c>
      <c r="E34" s="4" t="s">
        <v>2</v>
      </c>
      <c r="F34" s="4" t="s">
        <v>14</v>
      </c>
      <c r="G34" s="4" t="s">
        <v>412</v>
      </c>
      <c r="H34" s="4" t="s">
        <v>75</v>
      </c>
      <c r="I34" s="4" t="s">
        <v>76</v>
      </c>
      <c r="J34" s="4"/>
    </row>
    <row r="35" spans="2:10" x14ac:dyDescent="0.3">
      <c r="B35" s="35"/>
      <c r="C35" s="5" t="s">
        <v>429</v>
      </c>
      <c r="D35" s="6">
        <v>3</v>
      </c>
      <c r="E35" s="37">
        <v>18</v>
      </c>
      <c r="F35" s="8">
        <f t="shared" ref="F35:F41" si="8">(E35/1000)*D35</f>
        <v>5.3999999999999992E-2</v>
      </c>
      <c r="G35" s="6">
        <f>(D35*65)</f>
        <v>195</v>
      </c>
      <c r="H35" s="38">
        <f t="shared" ref="H35:H41" si="9">(E35/1000)*G35</f>
        <v>3.51</v>
      </c>
      <c r="I35" s="6">
        <f>(D35*50)</f>
        <v>150</v>
      </c>
      <c r="J35" s="5" t="s">
        <v>7</v>
      </c>
    </row>
    <row r="36" spans="2:10" x14ac:dyDescent="0.3">
      <c r="B36" s="35"/>
      <c r="C36" s="5" t="s">
        <v>191</v>
      </c>
      <c r="D36" s="6">
        <v>4</v>
      </c>
      <c r="E36" s="37">
        <v>18</v>
      </c>
      <c r="F36" s="8">
        <f t="shared" si="8"/>
        <v>7.1999999999999995E-2</v>
      </c>
      <c r="G36" s="6">
        <f t="shared" ref="G36:G41" si="10">(D36*65)</f>
        <v>260</v>
      </c>
      <c r="H36" s="38">
        <f t="shared" si="9"/>
        <v>4.68</v>
      </c>
      <c r="I36" s="6">
        <f t="shared" ref="I36:I41" si="11">(D36*50)</f>
        <v>200</v>
      </c>
      <c r="J36" s="5" t="s">
        <v>7</v>
      </c>
    </row>
    <row r="37" spans="2:10" x14ac:dyDescent="0.3">
      <c r="B37" s="35"/>
      <c r="C37" s="5" t="s">
        <v>430</v>
      </c>
      <c r="D37" s="6">
        <v>15</v>
      </c>
      <c r="E37" s="37">
        <v>35</v>
      </c>
      <c r="F37" s="8">
        <f t="shared" si="8"/>
        <v>0.52500000000000002</v>
      </c>
      <c r="G37" s="6">
        <f t="shared" si="10"/>
        <v>975</v>
      </c>
      <c r="H37" s="38">
        <f t="shared" si="9"/>
        <v>34.125</v>
      </c>
      <c r="I37" s="6">
        <f t="shared" si="11"/>
        <v>750</v>
      </c>
      <c r="J37" s="5" t="s">
        <v>7</v>
      </c>
    </row>
    <row r="38" spans="2:10" x14ac:dyDescent="0.3">
      <c r="B38" s="35"/>
      <c r="C38" s="5" t="s">
        <v>431</v>
      </c>
      <c r="D38" s="6">
        <v>20</v>
      </c>
      <c r="E38" s="37">
        <v>10</v>
      </c>
      <c r="F38" s="8">
        <f t="shared" si="8"/>
        <v>0.2</v>
      </c>
      <c r="G38" s="6">
        <f t="shared" si="10"/>
        <v>1300</v>
      </c>
      <c r="H38" s="38">
        <f t="shared" si="9"/>
        <v>13</v>
      </c>
      <c r="I38" s="6">
        <f t="shared" si="11"/>
        <v>1000</v>
      </c>
      <c r="J38" s="5" t="s">
        <v>7</v>
      </c>
    </row>
    <row r="39" spans="2:10" x14ac:dyDescent="0.3">
      <c r="B39" s="35"/>
      <c r="C39" s="5" t="s">
        <v>167</v>
      </c>
      <c r="D39" s="6">
        <v>1</v>
      </c>
      <c r="E39" s="37">
        <v>45</v>
      </c>
      <c r="F39" s="8">
        <f t="shared" si="8"/>
        <v>4.4999999999999998E-2</v>
      </c>
      <c r="G39" s="6">
        <f t="shared" si="10"/>
        <v>65</v>
      </c>
      <c r="H39" s="38">
        <f t="shared" si="9"/>
        <v>2.9249999999999998</v>
      </c>
      <c r="I39" s="6">
        <f t="shared" si="11"/>
        <v>50</v>
      </c>
      <c r="J39" s="5"/>
    </row>
    <row r="40" spans="2:10" x14ac:dyDescent="0.3">
      <c r="B40" s="35"/>
      <c r="C40" s="5" t="s">
        <v>173</v>
      </c>
      <c r="D40" s="6">
        <v>946</v>
      </c>
      <c r="E40" s="37">
        <v>0.6</v>
      </c>
      <c r="F40" s="8">
        <f t="shared" si="8"/>
        <v>0.56759999999999999</v>
      </c>
      <c r="G40" s="6">
        <f t="shared" si="10"/>
        <v>61490</v>
      </c>
      <c r="H40" s="38">
        <f t="shared" si="9"/>
        <v>36.893999999999998</v>
      </c>
      <c r="I40" s="6">
        <f t="shared" si="11"/>
        <v>47300</v>
      </c>
      <c r="J40" s="5"/>
    </row>
    <row r="41" spans="2:10" x14ac:dyDescent="0.3">
      <c r="B41" s="35"/>
      <c r="C41" s="5" t="s">
        <v>432</v>
      </c>
      <c r="D41" s="11">
        <v>1</v>
      </c>
      <c r="E41" s="37">
        <v>25</v>
      </c>
      <c r="F41" s="8">
        <f t="shared" si="8"/>
        <v>2.5000000000000001E-2</v>
      </c>
      <c r="G41" s="6">
        <f t="shared" si="10"/>
        <v>65</v>
      </c>
      <c r="H41" s="38">
        <f t="shared" si="9"/>
        <v>1.625</v>
      </c>
      <c r="I41" s="6">
        <f t="shared" si="11"/>
        <v>50</v>
      </c>
      <c r="J41" s="5" t="s">
        <v>7</v>
      </c>
    </row>
    <row r="42" spans="2:10" x14ac:dyDescent="0.3">
      <c r="D42" s="13">
        <f>SUM(D35:D41)</f>
        <v>990</v>
      </c>
      <c r="E42" s="14"/>
      <c r="F42" s="15">
        <f>SUM(F35:F41)</f>
        <v>1.4885999999999999</v>
      </c>
      <c r="G42" s="13">
        <f>SUM(G35:G41)</f>
        <v>64350</v>
      </c>
      <c r="H42" s="39">
        <f>SUM(H35:H41)</f>
        <v>96.758999999999986</v>
      </c>
      <c r="I42" s="13">
        <f>SUM(I35:I41)</f>
        <v>49500</v>
      </c>
      <c r="J42" s="17"/>
    </row>
    <row r="45" spans="2:10" ht="23.4" x14ac:dyDescent="0.45">
      <c r="C45" s="172" t="s">
        <v>524</v>
      </c>
      <c r="D45" s="173"/>
      <c r="E45" s="173"/>
      <c r="F45" s="173"/>
      <c r="G45" s="173"/>
      <c r="H45" s="173"/>
      <c r="I45" s="173"/>
      <c r="J45" s="174"/>
    </row>
    <row r="46" spans="2:10" ht="62.4" x14ac:dyDescent="0.3">
      <c r="B46" s="33">
        <v>1</v>
      </c>
      <c r="C46" s="2" t="s">
        <v>0</v>
      </c>
      <c r="D46" s="3" t="s">
        <v>135</v>
      </c>
      <c r="E46" s="3" t="s">
        <v>2</v>
      </c>
      <c r="F46" s="3" t="s">
        <v>24</v>
      </c>
      <c r="G46" s="3" t="s">
        <v>235</v>
      </c>
      <c r="H46" s="3" t="s">
        <v>47</v>
      </c>
      <c r="I46" s="3" t="s">
        <v>86</v>
      </c>
      <c r="J46" s="4"/>
    </row>
    <row r="47" spans="2:10" x14ac:dyDescent="0.3">
      <c r="B47" s="35">
        <v>1</v>
      </c>
      <c r="C47" s="24" t="s">
        <v>27</v>
      </c>
      <c r="D47" s="6">
        <v>903</v>
      </c>
      <c r="E47" s="7">
        <v>0.6</v>
      </c>
      <c r="F47" s="7">
        <f>(E47/1000)*D47</f>
        <v>0.54179999999999995</v>
      </c>
      <c r="G47" s="6">
        <f>(D47*5)</f>
        <v>4515</v>
      </c>
      <c r="H47" s="12">
        <f>(E47/1000)*G47</f>
        <v>2.7089999999999996</v>
      </c>
      <c r="I47" s="6">
        <f>(D47*25)</f>
        <v>22575</v>
      </c>
      <c r="J47" s="10" t="s">
        <v>7</v>
      </c>
    </row>
    <row r="48" spans="2:10" x14ac:dyDescent="0.3">
      <c r="B48" s="35">
        <v>7</v>
      </c>
      <c r="C48" s="24" t="s">
        <v>48</v>
      </c>
      <c r="D48" s="6">
        <v>2</v>
      </c>
      <c r="E48" s="7">
        <v>55</v>
      </c>
      <c r="F48" s="7">
        <f t="shared" ref="F48:F54" si="12">(E48/1000)*D48</f>
        <v>0.11</v>
      </c>
      <c r="G48" s="6">
        <f t="shared" ref="G48:G54" si="13">(D48*5)</f>
        <v>10</v>
      </c>
      <c r="H48" s="12">
        <f t="shared" ref="H48:H54" si="14">(E48/1000)*G48</f>
        <v>0.55000000000000004</v>
      </c>
      <c r="I48" s="6">
        <f t="shared" ref="I48:I54" si="15">(D48*25)</f>
        <v>50</v>
      </c>
      <c r="J48" s="10" t="s">
        <v>7</v>
      </c>
    </row>
    <row r="49" spans="2:10" x14ac:dyDescent="0.3">
      <c r="B49" s="35">
        <v>2</v>
      </c>
      <c r="C49" s="24" t="s">
        <v>28</v>
      </c>
      <c r="D49" s="6">
        <v>1</v>
      </c>
      <c r="E49" s="7">
        <v>45</v>
      </c>
      <c r="F49" s="7">
        <f t="shared" si="12"/>
        <v>4.4999999999999998E-2</v>
      </c>
      <c r="G49" s="6">
        <f t="shared" si="13"/>
        <v>5</v>
      </c>
      <c r="H49" s="12">
        <f t="shared" si="14"/>
        <v>0.22499999999999998</v>
      </c>
      <c r="I49" s="6">
        <f t="shared" si="15"/>
        <v>25</v>
      </c>
      <c r="J49" s="10" t="s">
        <v>7</v>
      </c>
    </row>
    <row r="50" spans="2:10" x14ac:dyDescent="0.3">
      <c r="B50" s="35">
        <v>3</v>
      </c>
      <c r="C50" s="24" t="s">
        <v>29</v>
      </c>
      <c r="D50" s="11">
        <v>0.5</v>
      </c>
      <c r="E50" s="7">
        <v>60</v>
      </c>
      <c r="F50" s="7">
        <f t="shared" si="12"/>
        <v>0.03</v>
      </c>
      <c r="G50" s="6">
        <f t="shared" si="13"/>
        <v>2.5</v>
      </c>
      <c r="H50" s="12">
        <f t="shared" si="14"/>
        <v>0.15</v>
      </c>
      <c r="I50" s="6">
        <f t="shared" si="15"/>
        <v>12.5</v>
      </c>
      <c r="J50" s="10" t="s">
        <v>7</v>
      </c>
    </row>
    <row r="51" spans="2:10" x14ac:dyDescent="0.3">
      <c r="B51" s="35">
        <v>4</v>
      </c>
      <c r="C51" s="24" t="s">
        <v>49</v>
      </c>
      <c r="D51" s="32">
        <v>0.5</v>
      </c>
      <c r="E51" s="7">
        <v>90</v>
      </c>
      <c r="F51" s="7">
        <f t="shared" si="12"/>
        <v>4.4999999999999998E-2</v>
      </c>
      <c r="G51" s="6">
        <f t="shared" si="13"/>
        <v>2.5</v>
      </c>
      <c r="H51" s="12">
        <f t="shared" si="14"/>
        <v>0.22499999999999998</v>
      </c>
      <c r="I51" s="6">
        <f t="shared" si="15"/>
        <v>12.5</v>
      </c>
      <c r="J51" s="10" t="s">
        <v>7</v>
      </c>
    </row>
    <row r="52" spans="2:10" x14ac:dyDescent="0.3">
      <c r="B52" s="35">
        <v>6</v>
      </c>
      <c r="C52" s="24" t="s">
        <v>19</v>
      </c>
      <c r="D52" s="6">
        <v>50</v>
      </c>
      <c r="E52" s="7">
        <v>8</v>
      </c>
      <c r="F52" s="7">
        <f t="shared" si="12"/>
        <v>0.4</v>
      </c>
      <c r="G52" s="6">
        <f t="shared" si="13"/>
        <v>250</v>
      </c>
      <c r="H52" s="12">
        <f t="shared" si="14"/>
        <v>2</v>
      </c>
      <c r="I52" s="6">
        <f t="shared" si="15"/>
        <v>1250</v>
      </c>
      <c r="J52" s="10" t="s">
        <v>7</v>
      </c>
    </row>
    <row r="53" spans="2:10" x14ac:dyDescent="0.3">
      <c r="B53" s="35">
        <v>8</v>
      </c>
      <c r="C53" s="24" t="s">
        <v>51</v>
      </c>
      <c r="D53" s="6">
        <v>3</v>
      </c>
      <c r="E53" s="7">
        <v>20</v>
      </c>
      <c r="F53" s="7">
        <f t="shared" si="12"/>
        <v>0.06</v>
      </c>
      <c r="G53" s="6">
        <f t="shared" si="13"/>
        <v>15</v>
      </c>
      <c r="H53" s="12">
        <f t="shared" si="14"/>
        <v>0.3</v>
      </c>
      <c r="I53" s="6">
        <f t="shared" si="15"/>
        <v>75</v>
      </c>
      <c r="J53" s="10" t="s">
        <v>7</v>
      </c>
    </row>
    <row r="54" spans="2:10" x14ac:dyDescent="0.3">
      <c r="B54" s="35">
        <v>5</v>
      </c>
      <c r="C54" s="24" t="s">
        <v>52</v>
      </c>
      <c r="D54" s="6">
        <v>40</v>
      </c>
      <c r="E54" s="7">
        <v>130</v>
      </c>
      <c r="F54" s="7">
        <f t="shared" si="12"/>
        <v>5.2</v>
      </c>
      <c r="G54" s="6">
        <f t="shared" si="13"/>
        <v>200</v>
      </c>
      <c r="H54" s="12">
        <f t="shared" si="14"/>
        <v>26</v>
      </c>
      <c r="I54" s="6">
        <f t="shared" si="15"/>
        <v>1000</v>
      </c>
      <c r="J54" s="10" t="s">
        <v>7</v>
      </c>
    </row>
    <row r="55" spans="2:10" x14ac:dyDescent="0.3">
      <c r="C55" s="27"/>
      <c r="D55" s="19">
        <f>SUM(D47:D54)</f>
        <v>1000</v>
      </c>
      <c r="E55" s="20"/>
      <c r="F55" s="21">
        <f>SUM(F47:F54)</f>
        <v>6.4318000000000008</v>
      </c>
      <c r="G55" s="19">
        <f>SUM(G47:G54)</f>
        <v>5000</v>
      </c>
      <c r="H55" s="22">
        <f>SUM(H47:H54)</f>
        <v>32.158999999999999</v>
      </c>
      <c r="I55" s="19">
        <f>SUM(I47:I54)</f>
        <v>25000</v>
      </c>
      <c r="J55" s="23"/>
    </row>
  </sheetData>
  <mergeCells count="4">
    <mergeCell ref="C3:J3"/>
    <mergeCell ref="C20:J20"/>
    <mergeCell ref="C33:J33"/>
    <mergeCell ref="C45:J4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3F75-BB93-472E-AB5E-0B3131C31969}">
  <dimension ref="C2:N174"/>
  <sheetViews>
    <sheetView topLeftCell="A143" zoomScale="62" zoomScaleNormal="62" workbookViewId="0">
      <selection activeCell="A74" sqref="A74:XFD74"/>
    </sheetView>
  </sheetViews>
  <sheetFormatPr baseColWidth="10" defaultRowHeight="14.4" x14ac:dyDescent="0.3"/>
  <cols>
    <col min="4" max="4" width="32.44140625" customWidth="1"/>
    <col min="5" max="5" width="19" bestFit="1" customWidth="1"/>
    <col min="6" max="6" width="11.88671875" hidden="1" customWidth="1"/>
    <col min="7" max="7" width="17.88671875" customWidth="1"/>
    <col min="8" max="8" width="14.109375" customWidth="1"/>
    <col min="9" max="9" width="4.109375" hidden="1" customWidth="1"/>
    <col min="10" max="10" width="13" customWidth="1"/>
  </cols>
  <sheetData>
    <row r="2" spans="3:11" ht="23.4" x14ac:dyDescent="0.45">
      <c r="D2" s="172" t="s">
        <v>192</v>
      </c>
      <c r="E2" s="173"/>
      <c r="F2" s="173"/>
      <c r="G2" s="173"/>
      <c r="H2" s="173"/>
      <c r="I2" s="173"/>
      <c r="J2" s="173"/>
      <c r="K2" s="174"/>
    </row>
    <row r="3" spans="3:11" ht="54" customHeight="1" x14ac:dyDescent="0.3">
      <c r="C3" s="1">
        <v>1</v>
      </c>
      <c r="D3" s="2" t="s">
        <v>0</v>
      </c>
      <c r="E3" s="3" t="s">
        <v>1</v>
      </c>
      <c r="F3" s="3" t="s">
        <v>2</v>
      </c>
      <c r="G3" s="3" t="s">
        <v>24</v>
      </c>
      <c r="H3" s="3" t="s">
        <v>46</v>
      </c>
      <c r="I3" s="3" t="s">
        <v>109</v>
      </c>
      <c r="J3" s="3" t="s">
        <v>94</v>
      </c>
      <c r="K3" s="4"/>
    </row>
    <row r="4" spans="3:11" x14ac:dyDescent="0.3">
      <c r="C4">
        <v>1</v>
      </c>
      <c r="D4" s="5" t="s">
        <v>16</v>
      </c>
      <c r="E4" s="6">
        <v>927</v>
      </c>
      <c r="F4" s="11">
        <v>0.6</v>
      </c>
      <c r="G4" s="8">
        <f t="shared" ref="G4:G9" si="0">(F4/1000)*E4</f>
        <v>0.55619999999999992</v>
      </c>
      <c r="H4" s="6">
        <f>(E4*20)</f>
        <v>18540</v>
      </c>
      <c r="I4" s="7">
        <f t="shared" ref="I4:I9" si="1">(F4/1000)*H4</f>
        <v>11.123999999999999</v>
      </c>
      <c r="J4" s="61"/>
      <c r="K4" s="10" t="s">
        <v>7</v>
      </c>
    </row>
    <row r="5" spans="3:11" x14ac:dyDescent="0.3">
      <c r="C5">
        <v>3</v>
      </c>
      <c r="D5" s="5" t="s">
        <v>125</v>
      </c>
      <c r="E5" s="6">
        <v>8</v>
      </c>
      <c r="F5" s="6">
        <v>60</v>
      </c>
      <c r="G5" s="8">
        <f t="shared" si="0"/>
        <v>0.48</v>
      </c>
      <c r="H5" s="6">
        <f t="shared" ref="H5:H9" si="2">(E5*20)</f>
        <v>160</v>
      </c>
      <c r="I5" s="7">
        <f t="shared" si="1"/>
        <v>9.6</v>
      </c>
      <c r="J5" s="61"/>
      <c r="K5" s="10" t="s">
        <v>7</v>
      </c>
    </row>
    <row r="6" spans="3:11" x14ac:dyDescent="0.3">
      <c r="C6">
        <v>5</v>
      </c>
      <c r="D6" s="5" t="s">
        <v>193</v>
      </c>
      <c r="E6" s="6">
        <v>5</v>
      </c>
      <c r="F6" s="6"/>
      <c r="G6" s="8">
        <f t="shared" si="0"/>
        <v>0</v>
      </c>
      <c r="H6" s="6">
        <f t="shared" si="2"/>
        <v>100</v>
      </c>
      <c r="I6" s="7">
        <f t="shared" si="1"/>
        <v>0</v>
      </c>
      <c r="J6" s="61"/>
      <c r="K6" s="10" t="s">
        <v>7</v>
      </c>
    </row>
    <row r="7" spans="3:11" x14ac:dyDescent="0.3">
      <c r="C7">
        <v>6</v>
      </c>
      <c r="D7" s="5" t="s">
        <v>194</v>
      </c>
      <c r="E7" s="6">
        <v>50</v>
      </c>
      <c r="F7" s="11">
        <v>85</v>
      </c>
      <c r="G7" s="8">
        <f t="shared" si="0"/>
        <v>4.25</v>
      </c>
      <c r="H7" s="6">
        <f t="shared" si="2"/>
        <v>1000</v>
      </c>
      <c r="I7" s="7">
        <f t="shared" si="1"/>
        <v>85</v>
      </c>
      <c r="J7" s="61"/>
      <c r="K7" s="10" t="s">
        <v>7</v>
      </c>
    </row>
    <row r="8" spans="3:11" x14ac:dyDescent="0.3">
      <c r="C8">
        <v>4</v>
      </c>
      <c r="D8" s="5" t="s">
        <v>53</v>
      </c>
      <c r="E8" s="6">
        <v>8</v>
      </c>
      <c r="F8" s="11">
        <v>20</v>
      </c>
      <c r="G8" s="8">
        <f t="shared" si="0"/>
        <v>0.16</v>
      </c>
      <c r="H8" s="6">
        <f t="shared" si="2"/>
        <v>160</v>
      </c>
      <c r="I8" s="7">
        <f t="shared" si="1"/>
        <v>3.2</v>
      </c>
      <c r="J8" s="61"/>
      <c r="K8" s="10" t="s">
        <v>7</v>
      </c>
    </row>
    <row r="9" spans="3:11" x14ac:dyDescent="0.3">
      <c r="C9">
        <v>2</v>
      </c>
      <c r="D9" s="5" t="s">
        <v>138</v>
      </c>
      <c r="E9" s="6">
        <v>1</v>
      </c>
      <c r="F9" s="11">
        <v>65</v>
      </c>
      <c r="G9" s="8">
        <f t="shared" si="0"/>
        <v>6.5000000000000002E-2</v>
      </c>
      <c r="H9" s="6">
        <f t="shared" si="2"/>
        <v>20</v>
      </c>
      <c r="I9" s="7">
        <f t="shared" si="1"/>
        <v>1.3</v>
      </c>
      <c r="J9" s="61"/>
      <c r="K9" s="5" t="s">
        <v>7</v>
      </c>
    </row>
    <row r="10" spans="3:11" x14ac:dyDescent="0.3">
      <c r="D10" s="27"/>
      <c r="E10" s="13">
        <f>SUM(E4:E9)</f>
        <v>999</v>
      </c>
      <c r="F10" s="14"/>
      <c r="G10" s="15">
        <f>SUM(G4:G9)</f>
        <v>5.5112000000000005</v>
      </c>
      <c r="H10" s="13">
        <f>SUM(H4:H9)</f>
        <v>19980</v>
      </c>
      <c r="I10" s="16">
        <f>SUM(I4:I9)</f>
        <v>110.22399999999999</v>
      </c>
      <c r="J10" s="17"/>
      <c r="K10" s="17"/>
    </row>
    <row r="13" spans="3:11" ht="23.4" x14ac:dyDescent="0.45">
      <c r="D13" s="172" t="s">
        <v>209</v>
      </c>
      <c r="E13" s="173"/>
      <c r="F13" s="173"/>
      <c r="G13" s="173"/>
      <c r="H13" s="173"/>
      <c r="I13" s="173"/>
      <c r="J13" s="173"/>
      <c r="K13" s="174"/>
    </row>
    <row r="14" spans="3:11" ht="58.8" customHeight="1" x14ac:dyDescent="0.3">
      <c r="C14" s="1">
        <v>2</v>
      </c>
      <c r="D14" s="2" t="s">
        <v>0</v>
      </c>
      <c r="E14" s="3" t="s">
        <v>1</v>
      </c>
      <c r="F14" s="3" t="s">
        <v>2</v>
      </c>
      <c r="G14" s="3" t="s">
        <v>24</v>
      </c>
      <c r="H14" s="3" t="s">
        <v>46</v>
      </c>
      <c r="I14" s="3" t="s">
        <v>184</v>
      </c>
      <c r="J14" s="3" t="s">
        <v>185</v>
      </c>
      <c r="K14" s="4"/>
    </row>
    <row r="15" spans="3:11" x14ac:dyDescent="0.3">
      <c r="C15">
        <v>2</v>
      </c>
      <c r="D15" s="24" t="s">
        <v>116</v>
      </c>
      <c r="E15" s="6">
        <v>60</v>
      </c>
      <c r="F15" s="7">
        <v>90</v>
      </c>
      <c r="G15" s="7">
        <f>(F15/1000)*E15</f>
        <v>5.3999999999999995</v>
      </c>
      <c r="H15" s="6">
        <f>(E15*10)</f>
        <v>600</v>
      </c>
      <c r="I15" s="12">
        <f>(F15/1000)*H15</f>
        <v>54</v>
      </c>
      <c r="J15" s="6">
        <f>(E15*25)</f>
        <v>1500</v>
      </c>
      <c r="K15" s="10" t="s">
        <v>7</v>
      </c>
    </row>
    <row r="16" spans="3:11" x14ac:dyDescent="0.3">
      <c r="C16">
        <v>1</v>
      </c>
      <c r="D16" s="24" t="s">
        <v>207</v>
      </c>
      <c r="E16" s="6">
        <v>835</v>
      </c>
      <c r="F16" s="7">
        <v>8</v>
      </c>
      <c r="G16" s="7">
        <f>(F16/1000)*E16</f>
        <v>6.68</v>
      </c>
      <c r="H16" s="6">
        <f t="shared" ref="H16:H18" si="3">(E16*10)</f>
        <v>8350</v>
      </c>
      <c r="I16" s="12">
        <f>(F16/1000)*H16</f>
        <v>66.8</v>
      </c>
      <c r="J16" s="6">
        <f>(E16*25)</f>
        <v>20875</v>
      </c>
      <c r="K16" s="10" t="s">
        <v>7</v>
      </c>
    </row>
    <row r="17" spans="3:11" x14ac:dyDescent="0.3">
      <c r="C17">
        <v>3</v>
      </c>
      <c r="D17" s="24" t="s">
        <v>59</v>
      </c>
      <c r="E17" s="6">
        <v>100</v>
      </c>
      <c r="F17" s="7"/>
      <c r="G17" s="7"/>
      <c r="H17" s="6">
        <f t="shared" si="3"/>
        <v>1000</v>
      </c>
      <c r="I17" s="12"/>
      <c r="J17" s="6">
        <f>(E17*25)</f>
        <v>2500</v>
      </c>
      <c r="K17" s="10"/>
    </row>
    <row r="18" spans="3:11" x14ac:dyDescent="0.3">
      <c r="C18">
        <v>4</v>
      </c>
      <c r="D18" s="24" t="s">
        <v>208</v>
      </c>
      <c r="E18" s="6">
        <v>5</v>
      </c>
      <c r="F18" s="7">
        <v>0</v>
      </c>
      <c r="G18" s="7">
        <f>(F18/1000)*E18</f>
        <v>0</v>
      </c>
      <c r="H18" s="6">
        <f t="shared" si="3"/>
        <v>50</v>
      </c>
      <c r="I18" s="12">
        <f>(F18/1000)*H18</f>
        <v>0</v>
      </c>
      <c r="J18" s="6">
        <f>(E18*25)</f>
        <v>125</v>
      </c>
      <c r="K18" s="10" t="s">
        <v>7</v>
      </c>
    </row>
    <row r="19" spans="3:11" x14ac:dyDescent="0.3">
      <c r="D19" s="27"/>
      <c r="E19" s="19">
        <f>SUM(E15:E18)</f>
        <v>1000</v>
      </c>
      <c r="F19" s="20"/>
      <c r="G19" s="21">
        <f>SUM(G15:G18)</f>
        <v>12.079999999999998</v>
      </c>
      <c r="H19" s="19">
        <f>SUM(H15:H18)</f>
        <v>10000</v>
      </c>
      <c r="I19" s="22">
        <f>SUM(I15:I18)</f>
        <v>120.8</v>
      </c>
      <c r="J19" s="19">
        <f>SUM(J15:J18)</f>
        <v>25000</v>
      </c>
      <c r="K19" s="23"/>
    </row>
    <row r="22" spans="3:11" ht="23.4" x14ac:dyDescent="0.45">
      <c r="D22" s="172" t="s">
        <v>222</v>
      </c>
      <c r="E22" s="173"/>
      <c r="F22" s="173"/>
      <c r="G22" s="173"/>
      <c r="H22" s="173"/>
      <c r="I22" s="173"/>
      <c r="J22" s="173"/>
      <c r="K22" s="174"/>
    </row>
    <row r="23" spans="3:11" ht="54" customHeight="1" x14ac:dyDescent="0.3">
      <c r="C23" s="1">
        <v>2</v>
      </c>
      <c r="D23" s="2" t="s">
        <v>0</v>
      </c>
      <c r="E23" s="3" t="s">
        <v>1</v>
      </c>
      <c r="F23" s="3" t="s">
        <v>2</v>
      </c>
      <c r="G23" s="3" t="s">
        <v>24</v>
      </c>
      <c r="H23" s="3" t="s">
        <v>46</v>
      </c>
      <c r="I23" s="3" t="s">
        <v>184</v>
      </c>
      <c r="J23" s="3" t="s">
        <v>185</v>
      </c>
      <c r="K23" s="4"/>
    </row>
    <row r="24" spans="3:11" x14ac:dyDescent="0.3">
      <c r="D24" s="24" t="s">
        <v>223</v>
      </c>
      <c r="E24" s="6">
        <v>5</v>
      </c>
      <c r="F24" s="7">
        <v>90</v>
      </c>
      <c r="G24" s="7">
        <f>(F24/1000)*E24</f>
        <v>0.44999999999999996</v>
      </c>
      <c r="H24" s="6">
        <f>(E24*20)</f>
        <v>100</v>
      </c>
      <c r="I24" s="12">
        <f>(F24/1000)*H24</f>
        <v>9</v>
      </c>
      <c r="J24" s="6">
        <f>(E24*25)</f>
        <v>125</v>
      </c>
      <c r="K24" s="10" t="s">
        <v>7</v>
      </c>
    </row>
    <row r="25" spans="3:11" x14ac:dyDescent="0.3">
      <c r="D25" s="24" t="s">
        <v>224</v>
      </c>
      <c r="E25" s="6">
        <v>5</v>
      </c>
      <c r="F25" s="7">
        <v>8</v>
      </c>
      <c r="G25" s="7">
        <f>(F25/1000)*E25</f>
        <v>0.04</v>
      </c>
      <c r="H25" s="6">
        <f t="shared" ref="H25:H35" si="4">(E25*20)</f>
        <v>100</v>
      </c>
      <c r="I25" s="12">
        <f>(F25/1000)*H25</f>
        <v>0.8</v>
      </c>
      <c r="J25" s="6">
        <f t="shared" ref="J25:J35" si="5">(E25*25)</f>
        <v>125</v>
      </c>
      <c r="K25" s="10" t="s">
        <v>7</v>
      </c>
    </row>
    <row r="26" spans="3:11" x14ac:dyDescent="0.3">
      <c r="D26" s="24" t="s">
        <v>225</v>
      </c>
      <c r="E26" s="6">
        <v>40</v>
      </c>
      <c r="F26" s="7"/>
      <c r="G26" s="7"/>
      <c r="H26" s="6">
        <f t="shared" si="4"/>
        <v>800</v>
      </c>
      <c r="I26" s="12"/>
      <c r="J26" s="6">
        <f t="shared" si="5"/>
        <v>1000</v>
      </c>
      <c r="K26" s="10"/>
    </row>
    <row r="27" spans="3:11" x14ac:dyDescent="0.3">
      <c r="D27" s="24" t="s">
        <v>226</v>
      </c>
      <c r="E27" s="6">
        <v>20</v>
      </c>
      <c r="F27" s="7"/>
      <c r="G27" s="7"/>
      <c r="H27" s="6">
        <f t="shared" si="4"/>
        <v>400</v>
      </c>
      <c r="I27" s="12"/>
      <c r="J27" s="6">
        <f t="shared" si="5"/>
        <v>500</v>
      </c>
      <c r="K27" s="10"/>
    </row>
    <row r="28" spans="3:11" x14ac:dyDescent="0.3">
      <c r="D28" s="24" t="s">
        <v>227</v>
      </c>
      <c r="E28" s="6">
        <v>10</v>
      </c>
      <c r="F28" s="7"/>
      <c r="G28" s="7"/>
      <c r="H28" s="6">
        <f t="shared" si="4"/>
        <v>200</v>
      </c>
      <c r="I28" s="12"/>
      <c r="J28" s="6">
        <f t="shared" si="5"/>
        <v>250</v>
      </c>
      <c r="K28" s="10"/>
    </row>
    <row r="29" spans="3:11" x14ac:dyDescent="0.3">
      <c r="D29" s="24" t="s">
        <v>228</v>
      </c>
      <c r="E29" s="6">
        <v>30</v>
      </c>
      <c r="F29" s="7"/>
      <c r="G29" s="7"/>
      <c r="H29" s="6">
        <f t="shared" si="4"/>
        <v>600</v>
      </c>
      <c r="I29" s="12"/>
      <c r="J29" s="6">
        <f t="shared" si="5"/>
        <v>750</v>
      </c>
      <c r="K29" s="10"/>
    </row>
    <row r="30" spans="3:11" x14ac:dyDescent="0.3">
      <c r="D30" s="24" t="s">
        <v>229</v>
      </c>
      <c r="E30" s="6">
        <v>10</v>
      </c>
      <c r="F30" s="7"/>
      <c r="G30" s="7"/>
      <c r="H30" s="6">
        <f t="shared" si="4"/>
        <v>200</v>
      </c>
      <c r="I30" s="12"/>
      <c r="J30" s="6">
        <f t="shared" si="5"/>
        <v>250</v>
      </c>
      <c r="K30" s="10"/>
    </row>
    <row r="31" spans="3:11" x14ac:dyDescent="0.3">
      <c r="D31" s="24" t="s">
        <v>9</v>
      </c>
      <c r="E31" s="6">
        <v>10</v>
      </c>
      <c r="F31" s="7"/>
      <c r="G31" s="7"/>
      <c r="H31" s="6">
        <f t="shared" si="4"/>
        <v>200</v>
      </c>
      <c r="I31" s="12"/>
      <c r="J31" s="6">
        <f t="shared" si="5"/>
        <v>250</v>
      </c>
      <c r="K31" s="10"/>
    </row>
    <row r="32" spans="3:11" x14ac:dyDescent="0.3">
      <c r="D32" s="24" t="s">
        <v>230</v>
      </c>
      <c r="E32" s="6" t="s">
        <v>233</v>
      </c>
      <c r="F32" s="7"/>
      <c r="G32" s="7"/>
      <c r="H32" s="6">
        <v>0</v>
      </c>
      <c r="I32" s="12"/>
      <c r="J32" s="6">
        <v>0</v>
      </c>
      <c r="K32" s="10"/>
    </row>
    <row r="33" spans="3:14" x14ac:dyDescent="0.3">
      <c r="D33" s="24" t="s">
        <v>56</v>
      </c>
      <c r="E33" s="6">
        <v>1</v>
      </c>
      <c r="F33" s="7"/>
      <c r="G33" s="7"/>
      <c r="H33" s="6">
        <f t="shared" si="4"/>
        <v>20</v>
      </c>
      <c r="I33" s="12"/>
      <c r="J33" s="6">
        <f t="shared" si="5"/>
        <v>25</v>
      </c>
      <c r="K33" s="10"/>
    </row>
    <row r="34" spans="3:14" x14ac:dyDescent="0.3">
      <c r="D34" s="24" t="s">
        <v>231</v>
      </c>
      <c r="E34" s="11">
        <v>0.5</v>
      </c>
      <c r="F34" s="7"/>
      <c r="G34" s="7"/>
      <c r="H34" s="6">
        <f t="shared" si="4"/>
        <v>10</v>
      </c>
      <c r="I34" s="12"/>
      <c r="J34" s="6">
        <f t="shared" si="5"/>
        <v>12.5</v>
      </c>
      <c r="K34" s="10"/>
    </row>
    <row r="35" spans="3:14" x14ac:dyDescent="0.3">
      <c r="D35" s="24" t="s">
        <v>232</v>
      </c>
      <c r="E35" s="11">
        <v>878.5</v>
      </c>
      <c r="F35" s="7">
        <v>0</v>
      </c>
      <c r="G35" s="7">
        <f>(F35/1000)*E35</f>
        <v>0</v>
      </c>
      <c r="H35" s="6">
        <f t="shared" si="4"/>
        <v>17570</v>
      </c>
      <c r="I35" s="12">
        <f>(F35/1000)*H35</f>
        <v>0</v>
      </c>
      <c r="J35" s="6">
        <f t="shared" si="5"/>
        <v>21962.5</v>
      </c>
      <c r="K35" s="10" t="s">
        <v>7</v>
      </c>
    </row>
    <row r="36" spans="3:14" x14ac:dyDescent="0.3">
      <c r="D36" s="27"/>
      <c r="E36" s="19">
        <f>SUM(E24:E35)</f>
        <v>1010</v>
      </c>
      <c r="F36" s="20"/>
      <c r="G36" s="21">
        <f>SUM(G24:G35)</f>
        <v>0.48999999999999994</v>
      </c>
      <c r="H36" s="19">
        <f>SUM(H24:H35)</f>
        <v>20200</v>
      </c>
      <c r="I36" s="22">
        <f>SUM(I24:I35)</f>
        <v>9.8000000000000007</v>
      </c>
      <c r="J36" s="19">
        <f>SUM(J24:J35)</f>
        <v>25250</v>
      </c>
      <c r="K36" s="23"/>
    </row>
    <row r="39" spans="3:14" ht="23.4" x14ac:dyDescent="0.45">
      <c r="D39" s="172" t="s">
        <v>250</v>
      </c>
      <c r="E39" s="173"/>
      <c r="F39" s="173"/>
      <c r="G39" s="173"/>
      <c r="H39" s="173"/>
      <c r="I39" s="173"/>
      <c r="J39" s="173"/>
      <c r="K39" s="174"/>
    </row>
    <row r="40" spans="3:14" ht="54" customHeight="1" x14ac:dyDescent="0.3">
      <c r="C40" s="1">
        <v>4</v>
      </c>
      <c r="D40" s="2" t="s">
        <v>0</v>
      </c>
      <c r="E40" s="3" t="s">
        <v>1</v>
      </c>
      <c r="F40" s="3" t="s">
        <v>2</v>
      </c>
      <c r="G40" s="3" t="s">
        <v>24</v>
      </c>
      <c r="H40" s="3" t="s">
        <v>249</v>
      </c>
      <c r="I40" s="3" t="s">
        <v>102</v>
      </c>
      <c r="J40" s="3" t="s">
        <v>251</v>
      </c>
      <c r="K40" s="4"/>
    </row>
    <row r="41" spans="3:14" x14ac:dyDescent="0.3">
      <c r="D41" s="5" t="s">
        <v>16</v>
      </c>
      <c r="E41" s="6">
        <v>853</v>
      </c>
      <c r="F41" s="11">
        <v>0.3</v>
      </c>
      <c r="G41" s="8">
        <f t="shared" ref="G41:G47" si="6">(F41/1000)*E41</f>
        <v>0.25589999999999996</v>
      </c>
      <c r="H41" s="6">
        <f>(E41*8)</f>
        <v>6824</v>
      </c>
      <c r="I41" s="6">
        <f>(F41*15)</f>
        <v>4.5</v>
      </c>
      <c r="J41" s="6">
        <f>(E41*20)</f>
        <v>17060</v>
      </c>
      <c r="K41" s="10" t="s">
        <v>7</v>
      </c>
      <c r="N41" t="s">
        <v>114</v>
      </c>
    </row>
    <row r="42" spans="3:14" x14ac:dyDescent="0.3">
      <c r="D42" s="5" t="s">
        <v>67</v>
      </c>
      <c r="E42" s="6">
        <v>70</v>
      </c>
      <c r="F42" s="6">
        <v>16</v>
      </c>
      <c r="G42" s="8">
        <f t="shared" si="6"/>
        <v>1.1200000000000001</v>
      </c>
      <c r="H42" s="6">
        <f t="shared" ref="H42:H47" si="7">(E42*8)</f>
        <v>560</v>
      </c>
      <c r="I42" s="7">
        <f t="shared" ref="I42:I47" si="8">(F42/1000)*H42</f>
        <v>8.9600000000000009</v>
      </c>
      <c r="J42" s="6">
        <f t="shared" ref="J42:J47" si="9">(E42*20)</f>
        <v>1400</v>
      </c>
      <c r="K42" s="10" t="s">
        <v>7</v>
      </c>
    </row>
    <row r="43" spans="3:14" x14ac:dyDescent="0.3">
      <c r="D43" s="5" t="s">
        <v>68</v>
      </c>
      <c r="E43" s="6">
        <v>70</v>
      </c>
      <c r="F43" s="6">
        <v>18</v>
      </c>
      <c r="G43" s="8">
        <f t="shared" si="6"/>
        <v>1.26</v>
      </c>
      <c r="H43" s="6">
        <f t="shared" si="7"/>
        <v>560</v>
      </c>
      <c r="I43" s="7">
        <f t="shared" si="8"/>
        <v>10.08</v>
      </c>
      <c r="J43" s="6">
        <f t="shared" si="9"/>
        <v>1400</v>
      </c>
      <c r="K43" s="10" t="s">
        <v>7</v>
      </c>
    </row>
    <row r="44" spans="3:14" x14ac:dyDescent="0.3">
      <c r="D44" s="5" t="s">
        <v>247</v>
      </c>
      <c r="E44" s="6">
        <v>2.5</v>
      </c>
      <c r="F44" s="6">
        <v>250</v>
      </c>
      <c r="G44" s="8">
        <f t="shared" si="6"/>
        <v>0.625</v>
      </c>
      <c r="H44" s="6">
        <f t="shared" si="7"/>
        <v>20</v>
      </c>
      <c r="I44" s="7">
        <f t="shared" si="8"/>
        <v>5</v>
      </c>
      <c r="J44" s="6">
        <f t="shared" si="9"/>
        <v>50</v>
      </c>
      <c r="K44" s="10" t="s">
        <v>7</v>
      </c>
    </row>
    <row r="45" spans="3:14" x14ac:dyDescent="0.3">
      <c r="D45" s="5" t="s">
        <v>248</v>
      </c>
      <c r="E45" s="6">
        <v>3</v>
      </c>
      <c r="F45" s="6">
        <v>50</v>
      </c>
      <c r="G45" s="8">
        <f t="shared" si="6"/>
        <v>0.15000000000000002</v>
      </c>
      <c r="H45" s="6">
        <f t="shared" si="7"/>
        <v>24</v>
      </c>
      <c r="I45" s="7">
        <f t="shared" si="8"/>
        <v>1.2000000000000002</v>
      </c>
      <c r="J45" s="6">
        <f t="shared" si="9"/>
        <v>60</v>
      </c>
      <c r="K45" s="10" t="s">
        <v>7</v>
      </c>
    </row>
    <row r="46" spans="3:14" x14ac:dyDescent="0.3">
      <c r="D46" s="24" t="s">
        <v>28</v>
      </c>
      <c r="E46" s="25">
        <v>1</v>
      </c>
      <c r="F46" s="6">
        <v>15</v>
      </c>
      <c r="G46" s="8">
        <f t="shared" si="6"/>
        <v>1.4999999999999999E-2</v>
      </c>
      <c r="H46" s="6">
        <f t="shared" si="7"/>
        <v>8</v>
      </c>
      <c r="I46" s="7">
        <f t="shared" si="8"/>
        <v>0.12</v>
      </c>
      <c r="J46" s="6">
        <f t="shared" si="9"/>
        <v>20</v>
      </c>
      <c r="K46" s="5" t="s">
        <v>7</v>
      </c>
    </row>
    <row r="47" spans="3:14" x14ac:dyDescent="0.3">
      <c r="D47" s="24" t="s">
        <v>29</v>
      </c>
      <c r="E47" s="11">
        <v>0.5</v>
      </c>
      <c r="F47" s="6">
        <v>55</v>
      </c>
      <c r="G47" s="8">
        <f t="shared" si="6"/>
        <v>2.75E-2</v>
      </c>
      <c r="H47" s="6">
        <f t="shared" si="7"/>
        <v>4</v>
      </c>
      <c r="I47" s="7">
        <f t="shared" si="8"/>
        <v>0.22</v>
      </c>
      <c r="J47" s="6">
        <f t="shared" si="9"/>
        <v>10</v>
      </c>
      <c r="K47" s="5" t="s">
        <v>7</v>
      </c>
    </row>
    <row r="48" spans="3:14" x14ac:dyDescent="0.3">
      <c r="D48" s="27"/>
      <c r="E48" s="13">
        <f>SUM(E41:E47)</f>
        <v>1000</v>
      </c>
      <c r="F48" s="14"/>
      <c r="G48" s="15">
        <f>SUM(G41:G47)</f>
        <v>3.4534000000000002</v>
      </c>
      <c r="H48" s="13">
        <f>SUM(H41:H47)</f>
        <v>8000</v>
      </c>
      <c r="I48" s="16">
        <f>SUM(I41:I47)</f>
        <v>30.08</v>
      </c>
      <c r="J48" s="84">
        <f>SUM(J41:J47)</f>
        <v>20000</v>
      </c>
      <c r="K48" s="17"/>
    </row>
    <row r="52" spans="3:11" ht="23.4" x14ac:dyDescent="0.45">
      <c r="D52" s="172" t="s">
        <v>547</v>
      </c>
      <c r="E52" s="173"/>
      <c r="F52" s="173"/>
      <c r="G52" s="173"/>
      <c r="H52" s="173"/>
      <c r="I52" s="173"/>
      <c r="J52" s="173"/>
      <c r="K52" s="174"/>
    </row>
    <row r="53" spans="3:11" ht="54" customHeight="1" x14ac:dyDescent="0.3">
      <c r="C53" s="1">
        <v>4</v>
      </c>
      <c r="D53" s="2" t="s">
        <v>0</v>
      </c>
      <c r="E53" s="3" t="s">
        <v>1</v>
      </c>
      <c r="F53" s="3" t="s">
        <v>2</v>
      </c>
      <c r="G53" s="3" t="s">
        <v>24</v>
      </c>
      <c r="H53" s="3" t="s">
        <v>545</v>
      </c>
      <c r="I53" s="3" t="s">
        <v>548</v>
      </c>
      <c r="J53" s="3" t="s">
        <v>87</v>
      </c>
      <c r="K53" s="4"/>
    </row>
    <row r="54" spans="3:11" x14ac:dyDescent="0.3">
      <c r="D54" s="5" t="s">
        <v>481</v>
      </c>
      <c r="E54" s="11">
        <v>100</v>
      </c>
      <c r="F54" s="11">
        <v>8</v>
      </c>
      <c r="G54" s="8">
        <f t="shared" ref="G54:G63" si="10">(F54/1000)*E54</f>
        <v>0.8</v>
      </c>
      <c r="H54" s="6">
        <f>(E54*300)</f>
        <v>30000</v>
      </c>
      <c r="I54" s="6">
        <f>(E54*50)</f>
        <v>5000</v>
      </c>
      <c r="J54" s="6">
        <f>(E54*100)</f>
        <v>10000</v>
      </c>
      <c r="K54" s="10" t="s">
        <v>7</v>
      </c>
    </row>
    <row r="55" spans="3:11" x14ac:dyDescent="0.3">
      <c r="D55" s="5" t="s">
        <v>542</v>
      </c>
      <c r="E55" s="11">
        <v>1</v>
      </c>
      <c r="F55" s="11">
        <v>20</v>
      </c>
      <c r="G55" s="8">
        <f t="shared" si="10"/>
        <v>0.02</v>
      </c>
      <c r="H55" s="6">
        <f t="shared" ref="H55:H63" si="11">(E55*300)</f>
        <v>300</v>
      </c>
      <c r="I55" s="6">
        <f t="shared" ref="I55:I63" si="12">(E55*50)</f>
        <v>50</v>
      </c>
      <c r="J55" s="6">
        <f t="shared" ref="J55:J63" si="13">(E55*100)</f>
        <v>100</v>
      </c>
      <c r="K55" s="10"/>
    </row>
    <row r="56" spans="3:11" x14ac:dyDescent="0.3">
      <c r="D56" s="5" t="s">
        <v>543</v>
      </c>
      <c r="E56" s="11">
        <v>10</v>
      </c>
      <c r="F56" s="11">
        <v>15</v>
      </c>
      <c r="G56" s="8">
        <f t="shared" si="10"/>
        <v>0.15</v>
      </c>
      <c r="H56" s="6">
        <f t="shared" si="11"/>
        <v>3000</v>
      </c>
      <c r="I56" s="6">
        <f t="shared" si="12"/>
        <v>500</v>
      </c>
      <c r="J56" s="6">
        <f t="shared" si="13"/>
        <v>1000</v>
      </c>
      <c r="K56" s="10"/>
    </row>
    <row r="57" spans="3:11" x14ac:dyDescent="0.3">
      <c r="D57" s="24" t="s">
        <v>203</v>
      </c>
      <c r="E57" s="11">
        <v>50</v>
      </c>
      <c r="F57" s="11">
        <v>8</v>
      </c>
      <c r="G57" s="8">
        <f t="shared" si="10"/>
        <v>0.4</v>
      </c>
      <c r="H57" s="6">
        <f t="shared" si="11"/>
        <v>15000</v>
      </c>
      <c r="I57" s="6">
        <f t="shared" si="12"/>
        <v>2500</v>
      </c>
      <c r="J57" s="6">
        <f t="shared" si="13"/>
        <v>5000</v>
      </c>
      <c r="K57" s="10"/>
    </row>
    <row r="58" spans="3:11" x14ac:dyDescent="0.3">
      <c r="D58" s="24" t="s">
        <v>12</v>
      </c>
      <c r="E58" s="11">
        <v>0.5</v>
      </c>
      <c r="F58" s="11">
        <v>33</v>
      </c>
      <c r="G58" s="8">
        <f t="shared" si="10"/>
        <v>1.6500000000000001E-2</v>
      </c>
      <c r="H58" s="6">
        <f t="shared" si="11"/>
        <v>150</v>
      </c>
      <c r="I58" s="6">
        <f t="shared" si="12"/>
        <v>25</v>
      </c>
      <c r="J58" s="6">
        <f t="shared" si="13"/>
        <v>50</v>
      </c>
      <c r="K58" s="10"/>
    </row>
    <row r="59" spans="3:11" x14ac:dyDescent="0.3">
      <c r="D59" s="5" t="s">
        <v>544</v>
      </c>
      <c r="E59" s="6">
        <v>20</v>
      </c>
      <c r="F59" s="6">
        <v>1.8</v>
      </c>
      <c r="G59" s="8">
        <f t="shared" si="10"/>
        <v>3.5999999999999997E-2</v>
      </c>
      <c r="H59" s="6">
        <f t="shared" si="11"/>
        <v>6000</v>
      </c>
      <c r="I59" s="6">
        <f t="shared" si="12"/>
        <v>1000</v>
      </c>
      <c r="J59" s="6">
        <f t="shared" si="13"/>
        <v>2000</v>
      </c>
      <c r="K59" s="10" t="s">
        <v>7</v>
      </c>
    </row>
    <row r="60" spans="3:11" x14ac:dyDescent="0.3">
      <c r="D60" s="5" t="s">
        <v>174</v>
      </c>
      <c r="E60" s="6">
        <v>1</v>
      </c>
      <c r="F60" s="6">
        <v>25</v>
      </c>
      <c r="G60" s="8">
        <f t="shared" si="10"/>
        <v>2.5000000000000001E-2</v>
      </c>
      <c r="H60" s="6">
        <f t="shared" si="11"/>
        <v>300</v>
      </c>
      <c r="I60" s="6">
        <f t="shared" si="12"/>
        <v>50</v>
      </c>
      <c r="J60" s="6">
        <f t="shared" si="13"/>
        <v>100</v>
      </c>
      <c r="K60" s="10"/>
    </row>
    <row r="61" spans="3:11" x14ac:dyDescent="0.3">
      <c r="D61" s="24" t="s">
        <v>287</v>
      </c>
      <c r="E61" s="11">
        <v>1</v>
      </c>
      <c r="F61" s="6">
        <v>45</v>
      </c>
      <c r="G61" s="8">
        <f t="shared" si="10"/>
        <v>4.4999999999999998E-2</v>
      </c>
      <c r="H61" s="6">
        <f t="shared" si="11"/>
        <v>300</v>
      </c>
      <c r="I61" s="6">
        <f t="shared" si="12"/>
        <v>50</v>
      </c>
      <c r="J61" s="6">
        <f t="shared" si="13"/>
        <v>100</v>
      </c>
      <c r="K61" s="5"/>
    </row>
    <row r="62" spans="3:11" x14ac:dyDescent="0.3">
      <c r="D62" s="24" t="s">
        <v>57</v>
      </c>
      <c r="E62" s="11">
        <v>0.5</v>
      </c>
      <c r="F62" s="6">
        <v>60</v>
      </c>
      <c r="G62" s="8">
        <f t="shared" si="10"/>
        <v>0.03</v>
      </c>
      <c r="H62" s="6">
        <f t="shared" si="11"/>
        <v>150</v>
      </c>
      <c r="I62" s="6">
        <f t="shared" si="12"/>
        <v>25</v>
      </c>
      <c r="J62" s="6">
        <f t="shared" si="13"/>
        <v>50</v>
      </c>
      <c r="K62" s="5"/>
    </row>
    <row r="63" spans="3:11" x14ac:dyDescent="0.3">
      <c r="D63" s="24" t="s">
        <v>232</v>
      </c>
      <c r="E63" s="11">
        <v>815</v>
      </c>
      <c r="F63" s="11">
        <v>0.6</v>
      </c>
      <c r="G63" s="8">
        <f t="shared" si="10"/>
        <v>0.48899999999999993</v>
      </c>
      <c r="H63" s="6">
        <f t="shared" si="11"/>
        <v>244500</v>
      </c>
      <c r="I63" s="6">
        <f t="shared" si="12"/>
        <v>40750</v>
      </c>
      <c r="J63" s="6">
        <f t="shared" si="13"/>
        <v>81500</v>
      </c>
      <c r="K63" s="5"/>
    </row>
    <row r="64" spans="3:11" x14ac:dyDescent="0.3">
      <c r="D64" s="27"/>
      <c r="E64" s="19">
        <f>SUM(E54:E63)</f>
        <v>999</v>
      </c>
      <c r="F64" s="20"/>
      <c r="G64" s="21">
        <f>SUM(G54:G63)</f>
        <v>2.0114999999999998</v>
      </c>
      <c r="H64" s="19">
        <f>SUM(H54:H63)</f>
        <v>299700</v>
      </c>
      <c r="I64" s="153">
        <f>SUM(I54:I63)</f>
        <v>49950</v>
      </c>
      <c r="J64" s="154">
        <f>SUM(J54:J63)</f>
        <v>99900</v>
      </c>
      <c r="K64" s="17"/>
    </row>
    <row r="67" spans="3:11" ht="23.4" x14ac:dyDescent="0.45">
      <c r="D67" s="175" t="s">
        <v>716</v>
      </c>
      <c r="E67" s="175"/>
      <c r="F67" s="175"/>
      <c r="G67" s="175"/>
      <c r="H67" s="175"/>
      <c r="I67" s="175"/>
      <c r="J67" s="175"/>
      <c r="K67" s="175"/>
    </row>
    <row r="68" spans="3:11" ht="54" customHeight="1" x14ac:dyDescent="0.3">
      <c r="C68" s="1">
        <v>31</v>
      </c>
      <c r="D68" s="2" t="s">
        <v>0</v>
      </c>
      <c r="E68" s="3" t="s">
        <v>1</v>
      </c>
      <c r="F68" s="3" t="s">
        <v>2</v>
      </c>
      <c r="G68" s="3" t="s">
        <v>717</v>
      </c>
      <c r="H68" s="3" t="s">
        <v>556</v>
      </c>
      <c r="I68" s="3" t="s">
        <v>184</v>
      </c>
      <c r="J68" s="3" t="s">
        <v>94</v>
      </c>
      <c r="K68" s="4"/>
    </row>
    <row r="69" spans="3:11" x14ac:dyDescent="0.3">
      <c r="D69" s="5" t="s">
        <v>718</v>
      </c>
      <c r="E69" s="6">
        <v>10</v>
      </c>
      <c r="F69" s="7">
        <v>121.2</v>
      </c>
      <c r="G69" s="8">
        <f t="shared" ref="G69:G73" si="14">(F69/1000)*E69</f>
        <v>1.212</v>
      </c>
      <c r="H69" s="6">
        <f t="shared" ref="H69:H73" si="15">(E69*20)</f>
        <v>200</v>
      </c>
      <c r="I69" s="7">
        <f t="shared" ref="I69:I73" si="16">(F69/1000)*H69</f>
        <v>24.240000000000002</v>
      </c>
      <c r="J69" s="61"/>
      <c r="K69" s="10" t="s">
        <v>7</v>
      </c>
    </row>
    <row r="70" spans="3:11" x14ac:dyDescent="0.3">
      <c r="D70" s="5" t="s">
        <v>719</v>
      </c>
      <c r="E70" s="6">
        <v>10</v>
      </c>
      <c r="F70" s="7">
        <v>40</v>
      </c>
      <c r="G70" s="8">
        <f t="shared" si="14"/>
        <v>0.4</v>
      </c>
      <c r="H70" s="6">
        <f t="shared" si="15"/>
        <v>200</v>
      </c>
      <c r="I70" s="7">
        <f t="shared" si="16"/>
        <v>8</v>
      </c>
      <c r="J70" s="61"/>
      <c r="K70" s="10" t="s">
        <v>7</v>
      </c>
    </row>
    <row r="71" spans="3:11" x14ac:dyDescent="0.3">
      <c r="D71" s="5" t="s">
        <v>720</v>
      </c>
      <c r="E71" s="6">
        <v>675</v>
      </c>
      <c r="F71" s="7">
        <v>8.5</v>
      </c>
      <c r="G71" s="8">
        <f t="shared" si="14"/>
        <v>5.7375000000000007</v>
      </c>
      <c r="H71" s="6">
        <f t="shared" si="15"/>
        <v>13500</v>
      </c>
      <c r="I71" s="7">
        <f t="shared" si="16"/>
        <v>114.75000000000001</v>
      </c>
      <c r="J71" s="61"/>
      <c r="K71" s="10" t="s">
        <v>7</v>
      </c>
    </row>
    <row r="72" spans="3:11" x14ac:dyDescent="0.3">
      <c r="D72" s="5" t="s">
        <v>721</v>
      </c>
      <c r="E72" s="6">
        <v>100</v>
      </c>
      <c r="F72" s="63">
        <v>5</v>
      </c>
      <c r="G72" s="8">
        <f t="shared" si="14"/>
        <v>0.5</v>
      </c>
      <c r="H72" s="6">
        <f t="shared" si="15"/>
        <v>2000</v>
      </c>
      <c r="I72" s="7">
        <f t="shared" si="16"/>
        <v>10</v>
      </c>
      <c r="J72" s="61"/>
      <c r="K72" s="10"/>
    </row>
    <row r="73" spans="3:11" x14ac:dyDescent="0.3">
      <c r="D73" s="5" t="s">
        <v>188</v>
      </c>
      <c r="E73" s="6">
        <v>200</v>
      </c>
      <c r="F73" s="7">
        <v>14</v>
      </c>
      <c r="G73" s="8">
        <f t="shared" si="14"/>
        <v>2.8000000000000003</v>
      </c>
      <c r="H73" s="6">
        <f t="shared" si="15"/>
        <v>4000</v>
      </c>
      <c r="I73" s="7">
        <f t="shared" si="16"/>
        <v>56</v>
      </c>
      <c r="J73" s="61"/>
      <c r="K73" s="10" t="s">
        <v>7</v>
      </c>
    </row>
    <row r="74" spans="3:11" x14ac:dyDescent="0.3">
      <c r="E74" s="13">
        <f>SUM(E69:E73)</f>
        <v>995</v>
      </c>
      <c r="F74" s="14"/>
      <c r="G74" s="15">
        <f>SUM(G69:G73)</f>
        <v>10.649500000000002</v>
      </c>
      <c r="H74" s="13">
        <f>SUM(H69:H73)</f>
        <v>19900</v>
      </c>
      <c r="I74" s="16">
        <f>SUM(I69:I73)</f>
        <v>212.99</v>
      </c>
      <c r="J74" s="17"/>
      <c r="K74" s="17"/>
    </row>
    <row r="78" spans="3:11" ht="23.4" x14ac:dyDescent="0.45">
      <c r="D78" s="175" t="s">
        <v>770</v>
      </c>
      <c r="E78" s="175"/>
      <c r="F78" s="175"/>
      <c r="G78" s="175"/>
      <c r="H78" s="175"/>
      <c r="I78" s="175"/>
      <c r="J78" s="175"/>
    </row>
    <row r="79" spans="3:11" ht="52.2" customHeight="1" x14ac:dyDescent="0.3">
      <c r="C79" s="1">
        <v>13</v>
      </c>
      <c r="D79" s="2" t="s">
        <v>0</v>
      </c>
      <c r="E79" s="3" t="s">
        <v>1</v>
      </c>
      <c r="F79" s="3" t="s">
        <v>2</v>
      </c>
      <c r="G79" s="3" t="s">
        <v>651</v>
      </c>
      <c r="H79" s="3" t="s">
        <v>148</v>
      </c>
      <c r="I79" s="3" t="s">
        <v>689</v>
      </c>
      <c r="J79" s="4"/>
    </row>
    <row r="80" spans="3:11" x14ac:dyDescent="0.3">
      <c r="D80" s="24" t="s">
        <v>16</v>
      </c>
      <c r="E80" s="6">
        <v>750</v>
      </c>
      <c r="F80" s="63">
        <v>145</v>
      </c>
      <c r="G80" s="6">
        <f>(E80*20)</f>
        <v>15000</v>
      </c>
      <c r="H80" s="6">
        <f>(E80*50)</f>
        <v>37500</v>
      </c>
      <c r="I80" s="26">
        <f t="shared" ref="I80:I91" si="17">(E80*10)</f>
        <v>7500</v>
      </c>
      <c r="J80" s="10" t="s">
        <v>7</v>
      </c>
    </row>
    <row r="81" spans="3:11" x14ac:dyDescent="0.3">
      <c r="D81" s="24" t="s">
        <v>171</v>
      </c>
      <c r="E81" s="6">
        <v>70</v>
      </c>
      <c r="F81" s="63"/>
      <c r="G81" s="6">
        <f t="shared" ref="G81:G91" si="18">(E81*20)</f>
        <v>1400</v>
      </c>
      <c r="H81" s="6">
        <f t="shared" ref="H81:H91" si="19">(E81*50)</f>
        <v>3500</v>
      </c>
      <c r="I81" s="26"/>
      <c r="J81" s="10"/>
    </row>
    <row r="82" spans="3:11" x14ac:dyDescent="0.3">
      <c r="D82" s="24" t="s">
        <v>276</v>
      </c>
      <c r="E82" s="6">
        <v>70</v>
      </c>
      <c r="F82" s="63"/>
      <c r="G82" s="6">
        <f t="shared" si="18"/>
        <v>1400</v>
      </c>
      <c r="H82" s="6">
        <f t="shared" si="19"/>
        <v>3500</v>
      </c>
      <c r="I82" s="26"/>
      <c r="J82" s="10"/>
    </row>
    <row r="83" spans="3:11" x14ac:dyDescent="0.3">
      <c r="D83" s="24" t="s">
        <v>228</v>
      </c>
      <c r="E83" s="6">
        <v>30</v>
      </c>
      <c r="F83" s="63">
        <v>1580</v>
      </c>
      <c r="G83" s="6">
        <f t="shared" si="18"/>
        <v>600</v>
      </c>
      <c r="H83" s="6">
        <f t="shared" si="19"/>
        <v>1500</v>
      </c>
      <c r="I83" s="26">
        <f t="shared" si="17"/>
        <v>300</v>
      </c>
      <c r="J83" s="10" t="s">
        <v>7</v>
      </c>
    </row>
    <row r="84" spans="3:11" x14ac:dyDescent="0.3">
      <c r="D84" s="24" t="s">
        <v>9</v>
      </c>
      <c r="E84" s="6">
        <v>20</v>
      </c>
      <c r="F84" s="63">
        <v>1230</v>
      </c>
      <c r="G84" s="6">
        <f t="shared" si="18"/>
        <v>400</v>
      </c>
      <c r="H84" s="6">
        <f t="shared" si="19"/>
        <v>1000</v>
      </c>
      <c r="I84" s="26">
        <f t="shared" si="17"/>
        <v>200</v>
      </c>
      <c r="J84" s="10"/>
    </row>
    <row r="85" spans="3:11" x14ac:dyDescent="0.3">
      <c r="D85" s="24" t="s">
        <v>479</v>
      </c>
      <c r="E85" s="6">
        <v>40</v>
      </c>
      <c r="F85" s="63">
        <v>25</v>
      </c>
      <c r="G85" s="6">
        <f t="shared" si="18"/>
        <v>800</v>
      </c>
      <c r="H85" s="6">
        <f t="shared" si="19"/>
        <v>2000</v>
      </c>
      <c r="I85" s="26">
        <f t="shared" si="17"/>
        <v>400</v>
      </c>
      <c r="J85" s="10"/>
    </row>
    <row r="86" spans="3:11" x14ac:dyDescent="0.3">
      <c r="D86" s="24" t="s">
        <v>768</v>
      </c>
      <c r="E86" s="6">
        <v>15</v>
      </c>
      <c r="F86" s="63">
        <v>25</v>
      </c>
      <c r="G86" s="6">
        <f t="shared" si="18"/>
        <v>300</v>
      </c>
      <c r="H86" s="6">
        <f t="shared" si="19"/>
        <v>750</v>
      </c>
      <c r="I86" s="26">
        <f t="shared" si="17"/>
        <v>150</v>
      </c>
      <c r="J86" s="10"/>
    </row>
    <row r="87" spans="3:11" x14ac:dyDescent="0.3">
      <c r="D87" s="24" t="s">
        <v>504</v>
      </c>
      <c r="E87" s="6">
        <v>3</v>
      </c>
      <c r="F87" s="63">
        <v>18</v>
      </c>
      <c r="G87" s="6">
        <f t="shared" si="18"/>
        <v>60</v>
      </c>
      <c r="H87" s="6">
        <f t="shared" si="19"/>
        <v>150</v>
      </c>
      <c r="I87" s="26">
        <f t="shared" si="17"/>
        <v>30</v>
      </c>
      <c r="J87" s="10" t="s">
        <v>7</v>
      </c>
    </row>
    <row r="88" spans="3:11" x14ac:dyDescent="0.3">
      <c r="D88" s="24" t="s">
        <v>419</v>
      </c>
      <c r="E88" s="6">
        <v>0.5</v>
      </c>
      <c r="F88" s="63">
        <v>25</v>
      </c>
      <c r="G88" s="6">
        <f t="shared" si="18"/>
        <v>10</v>
      </c>
      <c r="H88" s="6">
        <f t="shared" si="19"/>
        <v>25</v>
      </c>
      <c r="I88" s="26">
        <f t="shared" si="17"/>
        <v>5</v>
      </c>
      <c r="J88" s="10" t="s">
        <v>7</v>
      </c>
    </row>
    <row r="89" spans="3:11" x14ac:dyDescent="0.3">
      <c r="D89" s="24" t="s">
        <v>769</v>
      </c>
      <c r="E89" s="6">
        <v>10</v>
      </c>
      <c r="F89" s="66">
        <v>8</v>
      </c>
      <c r="G89" s="6">
        <f t="shared" si="18"/>
        <v>200</v>
      </c>
      <c r="H89" s="6">
        <f t="shared" si="19"/>
        <v>500</v>
      </c>
      <c r="I89" s="26">
        <f t="shared" si="17"/>
        <v>100</v>
      </c>
      <c r="J89" s="10" t="s">
        <v>7</v>
      </c>
    </row>
    <row r="90" spans="3:11" x14ac:dyDescent="0.3">
      <c r="D90" s="24" t="s">
        <v>386</v>
      </c>
      <c r="E90" s="6">
        <v>5</v>
      </c>
      <c r="F90" s="66">
        <v>56</v>
      </c>
      <c r="G90" s="6">
        <f t="shared" si="18"/>
        <v>100</v>
      </c>
      <c r="H90" s="6">
        <f t="shared" si="19"/>
        <v>250</v>
      </c>
      <c r="I90" s="26">
        <f t="shared" si="17"/>
        <v>50</v>
      </c>
      <c r="J90" s="10"/>
    </row>
    <row r="91" spans="3:11" x14ac:dyDescent="0.3">
      <c r="D91" s="24" t="s">
        <v>385</v>
      </c>
      <c r="E91" s="11">
        <v>2.5</v>
      </c>
      <c r="F91" s="66">
        <v>45</v>
      </c>
      <c r="G91" s="6">
        <f t="shared" si="18"/>
        <v>50</v>
      </c>
      <c r="H91" s="6">
        <f t="shared" si="19"/>
        <v>125</v>
      </c>
      <c r="I91" s="26">
        <f t="shared" si="17"/>
        <v>25</v>
      </c>
      <c r="J91" s="10"/>
    </row>
    <row r="92" spans="3:11" x14ac:dyDescent="0.3">
      <c r="D92" s="27"/>
      <c r="E92" s="13">
        <f>SUM(E80:E91)</f>
        <v>1016</v>
      </c>
      <c r="F92" s="72"/>
      <c r="G92" s="13">
        <f>SUM(G80:G91)</f>
        <v>20320</v>
      </c>
      <c r="H92" s="169">
        <f>SUM(H80:H91)</f>
        <v>50800</v>
      </c>
      <c r="I92" s="84">
        <f>SUM(I80:I91)</f>
        <v>8760</v>
      </c>
      <c r="J92" s="10" t="s">
        <v>7</v>
      </c>
    </row>
    <row r="94" spans="3:11" ht="23.4" x14ac:dyDescent="0.45">
      <c r="D94" s="221" t="s">
        <v>862</v>
      </c>
      <c r="E94" s="222"/>
      <c r="F94" s="222"/>
      <c r="G94" s="222"/>
      <c r="H94" s="222"/>
      <c r="I94" s="222"/>
      <c r="J94" s="222"/>
      <c r="K94" s="223"/>
    </row>
    <row r="95" spans="3:11" ht="55.2" customHeight="1" x14ac:dyDescent="0.3">
      <c r="C95" s="224">
        <v>4</v>
      </c>
      <c r="D95" s="225" t="s">
        <v>0</v>
      </c>
      <c r="E95" s="226" t="s">
        <v>1</v>
      </c>
      <c r="F95" s="226" t="s">
        <v>2</v>
      </c>
      <c r="G95" s="226" t="s">
        <v>819</v>
      </c>
      <c r="H95" s="226" t="s">
        <v>407</v>
      </c>
      <c r="I95" s="226" t="s">
        <v>126</v>
      </c>
      <c r="J95" s="226" t="s">
        <v>408</v>
      </c>
      <c r="K95" s="227"/>
    </row>
    <row r="96" spans="3:11" x14ac:dyDescent="0.3">
      <c r="D96" s="228" t="s">
        <v>660</v>
      </c>
      <c r="E96" s="229">
        <v>10</v>
      </c>
      <c r="F96" s="230"/>
      <c r="G96" s="231"/>
      <c r="H96" s="229"/>
      <c r="I96" s="229"/>
      <c r="J96" s="229"/>
      <c r="K96" s="232"/>
    </row>
    <row r="97" spans="3:11" x14ac:dyDescent="0.3">
      <c r="D97" s="228" t="s">
        <v>438</v>
      </c>
      <c r="E97" s="229">
        <v>10</v>
      </c>
      <c r="F97" s="230"/>
      <c r="G97" s="231"/>
      <c r="H97" s="229"/>
      <c r="I97" s="229"/>
      <c r="J97" s="229"/>
      <c r="K97" s="232"/>
    </row>
    <row r="98" spans="3:11" x14ac:dyDescent="0.3">
      <c r="D98" s="228" t="s">
        <v>133</v>
      </c>
      <c r="E98" s="229">
        <v>575</v>
      </c>
      <c r="F98" s="230"/>
      <c r="G98" s="231"/>
      <c r="H98" s="229"/>
      <c r="I98" s="229"/>
      <c r="J98" s="229"/>
      <c r="K98" s="232"/>
    </row>
    <row r="99" spans="3:11" x14ac:dyDescent="0.3">
      <c r="D99" s="228" t="s">
        <v>55</v>
      </c>
      <c r="E99" s="229">
        <v>380</v>
      </c>
      <c r="F99" s="230"/>
      <c r="G99" s="231"/>
      <c r="H99" s="229"/>
      <c r="I99" s="229"/>
      <c r="J99" s="229"/>
      <c r="K99" s="232"/>
    </row>
    <row r="100" spans="3:11" x14ac:dyDescent="0.3">
      <c r="D100" s="228" t="s">
        <v>805</v>
      </c>
      <c r="E100" s="229">
        <v>8</v>
      </c>
      <c r="F100" s="230"/>
      <c r="G100" s="231"/>
      <c r="H100" s="229"/>
      <c r="I100" s="229"/>
      <c r="J100" s="229"/>
      <c r="K100" s="232"/>
    </row>
    <row r="101" spans="3:11" x14ac:dyDescent="0.3">
      <c r="D101" s="228" t="s">
        <v>56</v>
      </c>
      <c r="E101" s="229">
        <v>1</v>
      </c>
      <c r="F101" s="230"/>
      <c r="G101" s="231"/>
      <c r="H101" s="229"/>
      <c r="I101" s="229"/>
      <c r="J101" s="229"/>
      <c r="K101" s="232"/>
    </row>
    <row r="102" spans="3:11" x14ac:dyDescent="0.3">
      <c r="D102" s="228" t="s">
        <v>231</v>
      </c>
      <c r="E102" s="229">
        <v>1</v>
      </c>
      <c r="F102" s="230"/>
      <c r="G102" s="231"/>
      <c r="H102" s="229"/>
      <c r="I102" s="229"/>
      <c r="J102" s="229"/>
      <c r="K102" s="232"/>
    </row>
    <row r="103" spans="3:11" x14ac:dyDescent="0.3">
      <c r="D103" s="228" t="s">
        <v>20</v>
      </c>
      <c r="E103" s="229">
        <v>12</v>
      </c>
      <c r="F103" s="230"/>
      <c r="G103" s="231"/>
      <c r="H103" s="229"/>
      <c r="I103" s="229"/>
      <c r="J103" s="229"/>
      <c r="K103" s="232"/>
    </row>
    <row r="104" spans="3:11" x14ac:dyDescent="0.3">
      <c r="D104" s="228" t="s">
        <v>853</v>
      </c>
      <c r="E104" s="230">
        <v>2.5</v>
      </c>
      <c r="F104" s="230"/>
      <c r="G104" s="231"/>
      <c r="H104" s="229"/>
      <c r="I104" s="229"/>
      <c r="J104" s="229"/>
      <c r="K104" s="232"/>
    </row>
    <row r="105" spans="3:11" x14ac:dyDescent="0.3">
      <c r="D105" s="235"/>
      <c r="E105" s="253">
        <f>SUM(E96:E104)</f>
        <v>999.5</v>
      </c>
      <c r="F105" s="254"/>
      <c r="G105" s="255">
        <f>SUM(G96:G104)</f>
        <v>0</v>
      </c>
      <c r="H105" s="253"/>
      <c r="I105" s="258">
        <f t="shared" ref="I105:J105" si="20">SUM(I96:I104)</f>
        <v>0</v>
      </c>
      <c r="J105" s="258">
        <f t="shared" si="20"/>
        <v>0</v>
      </c>
      <c r="K105" s="257"/>
    </row>
    <row r="109" spans="3:11" ht="23.4" x14ac:dyDescent="0.45">
      <c r="D109" s="221" t="s">
        <v>811</v>
      </c>
      <c r="E109" s="222"/>
      <c r="F109" s="222"/>
      <c r="G109" s="222"/>
      <c r="H109" s="222"/>
      <c r="I109" s="222"/>
      <c r="J109" s="222"/>
    </row>
    <row r="110" spans="3:11" ht="51" customHeight="1" x14ac:dyDescent="0.3">
      <c r="C110" s="224">
        <v>5</v>
      </c>
      <c r="D110" s="273" t="s">
        <v>0</v>
      </c>
      <c r="E110" s="227" t="s">
        <v>1</v>
      </c>
      <c r="F110" s="227" t="s">
        <v>2</v>
      </c>
      <c r="G110" s="227" t="s">
        <v>14</v>
      </c>
      <c r="H110" s="227" t="s">
        <v>772</v>
      </c>
      <c r="I110" s="227" t="s">
        <v>408</v>
      </c>
      <c r="J110" s="227" t="s">
        <v>279</v>
      </c>
    </row>
    <row r="111" spans="3:11" x14ac:dyDescent="0.3">
      <c r="C111" s="237"/>
      <c r="D111" s="247" t="s">
        <v>16</v>
      </c>
      <c r="E111" s="244">
        <v>750</v>
      </c>
      <c r="F111" s="278"/>
      <c r="G111" s="248"/>
      <c r="H111" s="244"/>
      <c r="I111" s="244"/>
      <c r="J111" s="244"/>
    </row>
    <row r="112" spans="3:11" x14ac:dyDescent="0.3">
      <c r="C112" s="237"/>
      <c r="D112" s="247" t="s">
        <v>275</v>
      </c>
      <c r="E112" s="244">
        <v>70</v>
      </c>
      <c r="F112" s="278"/>
      <c r="G112" s="248"/>
      <c r="H112" s="244"/>
      <c r="I112" s="244"/>
      <c r="J112" s="244"/>
    </row>
    <row r="113" spans="3:11" x14ac:dyDescent="0.3">
      <c r="C113" s="237"/>
      <c r="D113" s="247" t="s">
        <v>276</v>
      </c>
      <c r="E113" s="244">
        <v>70</v>
      </c>
      <c r="F113" s="278"/>
      <c r="G113" s="248"/>
      <c r="H113" s="244"/>
      <c r="I113" s="244"/>
      <c r="J113" s="244"/>
    </row>
    <row r="114" spans="3:11" x14ac:dyDescent="0.3">
      <c r="C114" s="237"/>
      <c r="D114" s="247" t="s">
        <v>59</v>
      </c>
      <c r="E114" s="244">
        <v>30</v>
      </c>
      <c r="F114" s="278"/>
      <c r="G114" s="248"/>
      <c r="H114" s="244"/>
      <c r="I114" s="244"/>
      <c r="J114" s="244"/>
    </row>
    <row r="115" spans="3:11" x14ac:dyDescent="0.3">
      <c r="C115" s="237"/>
      <c r="D115" s="247" t="s">
        <v>163</v>
      </c>
      <c r="E115" s="244">
        <v>20</v>
      </c>
      <c r="F115" s="278"/>
      <c r="G115" s="248"/>
      <c r="H115" s="244"/>
      <c r="I115" s="244"/>
      <c r="J115" s="244"/>
    </row>
    <row r="116" spans="3:11" x14ac:dyDescent="0.3">
      <c r="C116" s="237"/>
      <c r="D116" s="247" t="s">
        <v>479</v>
      </c>
      <c r="E116" s="244">
        <v>40</v>
      </c>
      <c r="F116" s="278"/>
      <c r="G116" s="248"/>
      <c r="H116" s="244"/>
      <c r="I116" s="244"/>
      <c r="J116" s="244"/>
    </row>
    <row r="117" spans="3:11" x14ac:dyDescent="0.3">
      <c r="C117" s="237"/>
      <c r="D117" s="247" t="s">
        <v>812</v>
      </c>
      <c r="E117" s="244">
        <v>15</v>
      </c>
      <c r="F117" s="278"/>
      <c r="G117" s="248"/>
      <c r="H117" s="244"/>
      <c r="I117" s="244"/>
      <c r="J117" s="244"/>
    </row>
    <row r="118" spans="3:11" x14ac:dyDescent="0.3">
      <c r="C118" s="237"/>
      <c r="D118" s="247" t="s">
        <v>504</v>
      </c>
      <c r="E118" s="244">
        <v>3</v>
      </c>
      <c r="F118" s="278"/>
      <c r="G118" s="248"/>
      <c r="H118" s="244"/>
      <c r="I118" s="244"/>
      <c r="J118" s="244"/>
    </row>
    <row r="119" spans="3:11" x14ac:dyDescent="0.3">
      <c r="C119" s="237"/>
      <c r="D119" s="247" t="s">
        <v>384</v>
      </c>
      <c r="E119" s="279">
        <v>0.5</v>
      </c>
      <c r="F119" s="278"/>
      <c r="G119" s="248"/>
      <c r="H119" s="244"/>
      <c r="I119" s="244"/>
      <c r="J119" s="244"/>
    </row>
    <row r="120" spans="3:11" x14ac:dyDescent="0.3">
      <c r="C120" s="237"/>
      <c r="D120" s="247" t="s">
        <v>387</v>
      </c>
      <c r="E120" s="279">
        <v>10</v>
      </c>
      <c r="F120" s="278"/>
      <c r="G120" s="248"/>
      <c r="H120" s="244"/>
      <c r="I120" s="244"/>
      <c r="J120" s="244"/>
    </row>
    <row r="121" spans="3:11" x14ac:dyDescent="0.3">
      <c r="C121" s="237"/>
      <c r="D121" s="247" t="s">
        <v>386</v>
      </c>
      <c r="E121" s="279">
        <v>5</v>
      </c>
      <c r="F121" s="278"/>
      <c r="G121" s="248"/>
      <c r="H121" s="244"/>
      <c r="I121" s="244"/>
      <c r="J121" s="244"/>
    </row>
    <row r="122" spans="3:11" x14ac:dyDescent="0.3">
      <c r="C122" s="280"/>
      <c r="D122" s="281" t="s">
        <v>60</v>
      </c>
      <c r="E122" s="279">
        <v>2.5</v>
      </c>
      <c r="F122" s="278"/>
      <c r="G122" s="248"/>
      <c r="H122" s="244"/>
      <c r="I122" s="244"/>
      <c r="J122" s="244"/>
    </row>
    <row r="123" spans="3:11" x14ac:dyDescent="0.3">
      <c r="E123" s="236">
        <f>SUM(E111:E122)</f>
        <v>1016</v>
      </c>
      <c r="F123" s="237"/>
      <c r="G123" s="238">
        <f>SUM(G111:G121)</f>
        <v>0</v>
      </c>
      <c r="H123" s="236">
        <f>SUM(H111:H122)</f>
        <v>0</v>
      </c>
      <c r="I123" s="277">
        <f>SUM(I111:I121)</f>
        <v>0</v>
      </c>
      <c r="J123" s="236">
        <f>SUM(J111:J122)</f>
        <v>0</v>
      </c>
    </row>
    <row r="127" spans="3:11" ht="23.4" x14ac:dyDescent="0.45">
      <c r="D127" s="221" t="s">
        <v>928</v>
      </c>
      <c r="E127" s="222"/>
      <c r="F127" s="222"/>
      <c r="G127" s="222"/>
      <c r="H127" s="222"/>
      <c r="I127" s="222"/>
      <c r="J127" s="222"/>
      <c r="K127" s="223"/>
    </row>
    <row r="128" spans="3:11" ht="59.4" customHeight="1" x14ac:dyDescent="0.3">
      <c r="C128" s="224">
        <v>12</v>
      </c>
      <c r="D128" s="225" t="s">
        <v>0</v>
      </c>
      <c r="E128" s="226" t="s">
        <v>135</v>
      </c>
      <c r="F128" s="226" t="s">
        <v>926</v>
      </c>
      <c r="G128" s="226" t="s">
        <v>819</v>
      </c>
      <c r="H128" s="226"/>
      <c r="I128" s="226" t="s">
        <v>126</v>
      </c>
      <c r="J128" s="226" t="s">
        <v>408</v>
      </c>
      <c r="K128" s="227"/>
    </row>
    <row r="129" spans="3:11" x14ac:dyDescent="0.3">
      <c r="D129" s="228" t="s">
        <v>78</v>
      </c>
      <c r="E129" s="229">
        <v>130</v>
      </c>
      <c r="F129" s="230"/>
      <c r="G129" s="231">
        <f>(F129/1000)*E129</f>
        <v>0</v>
      </c>
      <c r="H129" s="229"/>
      <c r="I129" s="229"/>
      <c r="J129" s="229"/>
      <c r="K129" s="232" t="s">
        <v>7</v>
      </c>
    </row>
    <row r="130" spans="3:11" x14ac:dyDescent="0.3">
      <c r="D130" s="228" t="s">
        <v>929</v>
      </c>
      <c r="E130" s="229">
        <v>40</v>
      </c>
      <c r="F130" s="230"/>
      <c r="G130" s="231"/>
      <c r="H130" s="229"/>
      <c r="I130" s="229"/>
      <c r="J130" s="229"/>
      <c r="K130" s="232"/>
    </row>
    <row r="131" spans="3:11" x14ac:dyDescent="0.3">
      <c r="D131" s="228" t="s">
        <v>275</v>
      </c>
      <c r="E131" s="229">
        <v>50</v>
      </c>
      <c r="F131" s="230"/>
      <c r="G131" s="231"/>
      <c r="H131" s="229"/>
      <c r="I131" s="229"/>
      <c r="J131" s="229"/>
      <c r="K131" s="232"/>
    </row>
    <row r="132" spans="3:11" x14ac:dyDescent="0.3">
      <c r="D132" s="228" t="s">
        <v>930</v>
      </c>
      <c r="E132" s="229">
        <v>150</v>
      </c>
      <c r="F132" s="230"/>
      <c r="G132" s="231"/>
      <c r="H132" s="229"/>
      <c r="I132" s="229"/>
      <c r="J132" s="229"/>
      <c r="K132" s="232"/>
    </row>
    <row r="133" spans="3:11" x14ac:dyDescent="0.3">
      <c r="D133" s="228" t="s">
        <v>340</v>
      </c>
      <c r="E133" s="229">
        <v>15</v>
      </c>
      <c r="F133" s="230"/>
      <c r="G133" s="231"/>
      <c r="H133" s="229"/>
      <c r="I133" s="229"/>
      <c r="J133" s="229"/>
      <c r="K133" s="232"/>
    </row>
    <row r="134" spans="3:11" x14ac:dyDescent="0.3">
      <c r="D134" s="228" t="s">
        <v>729</v>
      </c>
      <c r="E134" s="229">
        <v>15</v>
      </c>
      <c r="F134" s="230"/>
      <c r="G134" s="231"/>
      <c r="H134" s="229"/>
      <c r="I134" s="229"/>
      <c r="J134" s="229"/>
      <c r="K134" s="232"/>
    </row>
    <row r="135" spans="3:11" x14ac:dyDescent="0.3">
      <c r="D135" s="228" t="s">
        <v>240</v>
      </c>
      <c r="E135" s="229">
        <v>2</v>
      </c>
      <c r="F135" s="230"/>
      <c r="G135" s="231"/>
      <c r="H135" s="229"/>
      <c r="I135" s="229"/>
      <c r="J135" s="229"/>
      <c r="K135" s="232"/>
    </row>
    <row r="136" spans="3:11" x14ac:dyDescent="0.3">
      <c r="D136" s="228" t="s">
        <v>537</v>
      </c>
      <c r="E136" s="229">
        <v>1</v>
      </c>
      <c r="F136" s="230"/>
      <c r="G136" s="231"/>
      <c r="H136" s="229"/>
      <c r="I136" s="229"/>
      <c r="J136" s="229"/>
      <c r="K136" s="232"/>
    </row>
    <row r="137" spans="3:11" x14ac:dyDescent="0.3">
      <c r="D137" s="228" t="s">
        <v>813</v>
      </c>
      <c r="E137" s="229">
        <v>597</v>
      </c>
      <c r="F137" s="230"/>
      <c r="G137" s="231"/>
      <c r="H137" s="229"/>
      <c r="I137" s="229"/>
      <c r="J137" s="229"/>
      <c r="K137" s="232"/>
    </row>
    <row r="138" spans="3:11" x14ac:dyDescent="0.3">
      <c r="D138" s="235"/>
      <c r="E138" s="253">
        <f>SUM(E129:E137)</f>
        <v>1000</v>
      </c>
      <c r="F138" s="254"/>
      <c r="G138" s="255">
        <f>SUM(G129:G137)</f>
        <v>0</v>
      </c>
      <c r="H138" s="253">
        <f>SUM(H129:H137)</f>
        <v>0</v>
      </c>
      <c r="I138" s="258">
        <f>SUM(I129:I137)</f>
        <v>0</v>
      </c>
      <c r="J138" s="258">
        <f>SUM(J129:J137)</f>
        <v>0</v>
      </c>
      <c r="K138" s="257"/>
    </row>
    <row r="142" spans="3:11" ht="23.4" x14ac:dyDescent="0.45">
      <c r="D142" s="266" t="s">
        <v>947</v>
      </c>
      <c r="E142" s="222"/>
      <c r="F142" s="222"/>
      <c r="G142" s="222"/>
      <c r="H142" s="222"/>
      <c r="I142" s="222"/>
      <c r="J142" s="222"/>
      <c r="K142" s="223"/>
    </row>
    <row r="143" spans="3:11" ht="64.2" customHeight="1" x14ac:dyDescent="0.3">
      <c r="C143" s="224">
        <v>16</v>
      </c>
      <c r="D143" s="225" t="s">
        <v>0</v>
      </c>
      <c r="E143" s="226" t="s">
        <v>135</v>
      </c>
      <c r="F143" s="226" t="s">
        <v>926</v>
      </c>
      <c r="G143" s="226" t="s">
        <v>819</v>
      </c>
      <c r="H143" s="226"/>
      <c r="I143" s="226" t="s">
        <v>126</v>
      </c>
      <c r="J143" s="226" t="s">
        <v>408</v>
      </c>
      <c r="K143" s="227"/>
    </row>
    <row r="144" spans="3:11" x14ac:dyDescent="0.3">
      <c r="D144" s="228" t="s">
        <v>481</v>
      </c>
      <c r="E144" s="229">
        <v>100</v>
      </c>
      <c r="F144" s="230"/>
      <c r="G144" s="231">
        <f>(F144/1000)*E144</f>
        <v>0</v>
      </c>
      <c r="H144" s="229"/>
      <c r="I144" s="229"/>
      <c r="J144" s="229"/>
      <c r="K144" s="232" t="s">
        <v>7</v>
      </c>
    </row>
    <row r="145" spans="3:11" x14ac:dyDescent="0.3">
      <c r="D145" s="228" t="s">
        <v>948</v>
      </c>
      <c r="E145" s="229">
        <v>1</v>
      </c>
      <c r="F145" s="230"/>
      <c r="G145" s="231"/>
      <c r="H145" s="229"/>
      <c r="I145" s="229"/>
      <c r="J145" s="229"/>
      <c r="K145" s="232"/>
    </row>
    <row r="146" spans="3:11" x14ac:dyDescent="0.3">
      <c r="D146" s="228" t="s">
        <v>949</v>
      </c>
      <c r="E146" s="229">
        <v>10</v>
      </c>
      <c r="F146" s="230"/>
      <c r="G146" s="231"/>
      <c r="H146" s="229"/>
      <c r="I146" s="229"/>
      <c r="J146" s="229"/>
      <c r="K146" s="232"/>
    </row>
    <row r="147" spans="3:11" x14ac:dyDescent="0.3">
      <c r="D147" s="228" t="s">
        <v>120</v>
      </c>
      <c r="E147" s="229">
        <v>50</v>
      </c>
      <c r="F147" s="230"/>
      <c r="G147" s="231"/>
      <c r="H147" s="229"/>
      <c r="I147" s="229"/>
      <c r="J147" s="229"/>
      <c r="K147" s="232"/>
    </row>
    <row r="148" spans="3:11" x14ac:dyDescent="0.3">
      <c r="D148" s="228" t="s">
        <v>544</v>
      </c>
      <c r="E148" s="229">
        <v>20</v>
      </c>
      <c r="F148" s="230"/>
      <c r="G148" s="231"/>
      <c r="H148" s="229"/>
      <c r="I148" s="229"/>
      <c r="J148" s="229"/>
      <c r="K148" s="232"/>
    </row>
    <row r="149" spans="3:11" x14ac:dyDescent="0.3">
      <c r="D149" s="228" t="s">
        <v>208</v>
      </c>
      <c r="E149" s="230">
        <v>0.5</v>
      </c>
      <c r="F149" s="230"/>
      <c r="G149" s="231"/>
      <c r="H149" s="229"/>
      <c r="I149" s="229"/>
      <c r="J149" s="229"/>
      <c r="K149" s="232"/>
    </row>
    <row r="150" spans="3:11" x14ac:dyDescent="0.3">
      <c r="D150" s="228" t="s">
        <v>416</v>
      </c>
      <c r="E150" s="229">
        <v>5</v>
      </c>
      <c r="F150" s="230"/>
      <c r="G150" s="231"/>
      <c r="H150" s="229"/>
      <c r="I150" s="229"/>
      <c r="J150" s="229"/>
      <c r="K150" s="232"/>
    </row>
    <row r="151" spans="3:11" x14ac:dyDescent="0.3">
      <c r="D151" s="228" t="s">
        <v>16</v>
      </c>
      <c r="E151" s="229">
        <v>813</v>
      </c>
      <c r="F151" s="230"/>
      <c r="G151" s="231"/>
      <c r="H151" s="229"/>
      <c r="I151" s="229"/>
      <c r="J151" s="229"/>
      <c r="K151" s="232"/>
    </row>
    <row r="152" spans="3:11" x14ac:dyDescent="0.3">
      <c r="D152" s="308" t="s">
        <v>174</v>
      </c>
      <c r="E152" s="262">
        <v>1</v>
      </c>
      <c r="F152" s="259"/>
      <c r="G152" s="261"/>
      <c r="H152" s="262"/>
      <c r="I152" s="262"/>
      <c r="J152" s="262"/>
      <c r="K152" s="263"/>
    </row>
    <row r="153" spans="3:11" x14ac:dyDescent="0.3">
      <c r="D153" s="235"/>
      <c r="E153" s="253">
        <f>SUM(E144:E151)</f>
        <v>999.5</v>
      </c>
      <c r="F153" s="254"/>
      <c r="G153" s="255">
        <f>SUM(G144:G151)</f>
        <v>0</v>
      </c>
      <c r="H153" s="253">
        <f>SUM(H144:H151)</f>
        <v>0</v>
      </c>
      <c r="I153" s="258">
        <f>SUM(I144:I151)</f>
        <v>0</v>
      </c>
      <c r="J153" s="258">
        <f>SUM(J144:J151)</f>
        <v>0</v>
      </c>
      <c r="K153" s="257"/>
    </row>
    <row r="156" spans="3:11" ht="23.4" x14ac:dyDescent="0.45">
      <c r="D156" s="266" t="s">
        <v>950</v>
      </c>
      <c r="E156" s="222"/>
      <c r="F156" s="222"/>
      <c r="G156" s="222"/>
      <c r="H156" s="222"/>
      <c r="I156" s="222"/>
      <c r="J156" s="222"/>
      <c r="K156" s="223"/>
    </row>
    <row r="157" spans="3:11" ht="56.4" customHeight="1" x14ac:dyDescent="0.3">
      <c r="C157" s="224">
        <v>16</v>
      </c>
      <c r="D157" s="225" t="s">
        <v>0</v>
      </c>
      <c r="E157" s="226" t="s">
        <v>135</v>
      </c>
      <c r="F157" s="226" t="s">
        <v>926</v>
      </c>
      <c r="G157" s="226" t="s">
        <v>819</v>
      </c>
      <c r="H157" s="226"/>
      <c r="I157" s="226" t="s">
        <v>126</v>
      </c>
      <c r="J157" s="226" t="s">
        <v>408</v>
      </c>
      <c r="K157" s="227"/>
    </row>
    <row r="158" spans="3:11" x14ac:dyDescent="0.3">
      <c r="D158" s="228" t="s">
        <v>173</v>
      </c>
      <c r="E158" s="229">
        <v>600</v>
      </c>
      <c r="F158" s="230"/>
      <c r="G158" s="231">
        <f>(F158/1000)*E158</f>
        <v>0</v>
      </c>
      <c r="H158" s="229"/>
      <c r="I158" s="229"/>
      <c r="J158" s="229"/>
      <c r="K158" s="232" t="s">
        <v>7</v>
      </c>
    </row>
    <row r="159" spans="3:11" x14ac:dyDescent="0.3">
      <c r="D159" s="228" t="s">
        <v>149</v>
      </c>
      <c r="E159" s="229">
        <v>50</v>
      </c>
      <c r="F159" s="230"/>
      <c r="G159" s="231"/>
      <c r="H159" s="229"/>
      <c r="I159" s="229"/>
      <c r="J159" s="229"/>
      <c r="K159" s="232"/>
    </row>
    <row r="160" spans="3:11" x14ac:dyDescent="0.3">
      <c r="D160" s="228" t="s">
        <v>954</v>
      </c>
      <c r="E160" s="229">
        <v>300</v>
      </c>
      <c r="F160" s="230"/>
      <c r="G160" s="231"/>
      <c r="H160" s="229"/>
      <c r="I160" s="229"/>
      <c r="J160" s="229"/>
      <c r="K160" s="232"/>
    </row>
    <row r="161" spans="3:11" x14ac:dyDescent="0.3">
      <c r="D161" s="228" t="s">
        <v>799</v>
      </c>
      <c r="E161" s="229">
        <v>50</v>
      </c>
      <c r="F161" s="230"/>
      <c r="G161" s="231"/>
      <c r="H161" s="229"/>
      <c r="I161" s="229"/>
      <c r="J161" s="229"/>
      <c r="K161" s="232"/>
    </row>
    <row r="162" spans="3:11" x14ac:dyDescent="0.3">
      <c r="D162" s="228" t="s">
        <v>416</v>
      </c>
      <c r="E162" s="229">
        <v>1</v>
      </c>
      <c r="F162" s="230"/>
      <c r="G162" s="231"/>
      <c r="H162" s="229"/>
      <c r="I162" s="229"/>
      <c r="J162" s="229"/>
      <c r="K162" s="232"/>
    </row>
    <row r="163" spans="3:11" x14ac:dyDescent="0.3">
      <c r="D163" s="235"/>
      <c r="E163" s="253">
        <f>SUM(E158:E162)</f>
        <v>1001</v>
      </c>
      <c r="F163" s="254"/>
      <c r="G163" s="255">
        <f>SUM(G158:G162)</f>
        <v>0</v>
      </c>
      <c r="H163" s="253">
        <f>SUM(H158:H162)</f>
        <v>0</v>
      </c>
      <c r="I163" s="258">
        <f>SUM(I158:I162)</f>
        <v>0</v>
      </c>
      <c r="J163" s="258">
        <f>SUM(J158:J162)</f>
        <v>0</v>
      </c>
      <c r="K163" s="257"/>
    </row>
    <row r="167" spans="3:11" ht="23.4" x14ac:dyDescent="0.45">
      <c r="D167" s="221" t="s">
        <v>598</v>
      </c>
      <c r="E167" s="222"/>
      <c r="F167" s="222"/>
      <c r="G167" s="222"/>
      <c r="H167" s="222"/>
      <c r="I167" s="222"/>
      <c r="J167" s="222"/>
      <c r="K167" s="223"/>
    </row>
    <row r="168" spans="3:11" ht="46.8" customHeight="1" x14ac:dyDescent="0.3">
      <c r="C168" s="224">
        <v>12</v>
      </c>
      <c r="D168" s="225" t="s">
        <v>0</v>
      </c>
      <c r="E168" s="226" t="s">
        <v>135</v>
      </c>
      <c r="F168" s="226" t="s">
        <v>926</v>
      </c>
      <c r="G168" s="226" t="s">
        <v>819</v>
      </c>
      <c r="H168" s="226"/>
      <c r="I168" s="226" t="s">
        <v>126</v>
      </c>
      <c r="J168" s="226" t="s">
        <v>408</v>
      </c>
      <c r="K168" s="227"/>
    </row>
    <row r="169" spans="3:11" x14ac:dyDescent="0.3">
      <c r="D169" s="228" t="s">
        <v>141</v>
      </c>
      <c r="E169" s="229">
        <v>50</v>
      </c>
      <c r="F169" s="230"/>
      <c r="G169" s="231">
        <f>(F169/1000)*E169</f>
        <v>0</v>
      </c>
      <c r="H169" s="229"/>
      <c r="I169" s="229"/>
      <c r="J169" s="229"/>
      <c r="K169" s="232" t="s">
        <v>7</v>
      </c>
    </row>
    <row r="170" spans="3:11" x14ac:dyDescent="0.3">
      <c r="D170" s="228" t="s">
        <v>16</v>
      </c>
      <c r="E170" s="229">
        <v>205</v>
      </c>
      <c r="F170" s="230"/>
      <c r="G170" s="231"/>
      <c r="H170" s="229"/>
      <c r="I170" s="229"/>
      <c r="J170" s="229"/>
      <c r="K170" s="232"/>
    </row>
    <row r="171" spans="3:11" x14ac:dyDescent="0.3">
      <c r="D171" s="228" t="s">
        <v>142</v>
      </c>
      <c r="E171" s="229">
        <v>5</v>
      </c>
      <c r="F171" s="230"/>
      <c r="G171" s="231"/>
      <c r="H171" s="229"/>
      <c r="I171" s="229"/>
      <c r="J171" s="229"/>
      <c r="K171" s="232"/>
    </row>
    <row r="172" spans="3:11" x14ac:dyDescent="0.3">
      <c r="D172" s="228" t="s">
        <v>59</v>
      </c>
      <c r="E172" s="229">
        <v>34</v>
      </c>
      <c r="F172" s="230"/>
      <c r="G172" s="231"/>
      <c r="H172" s="229"/>
      <c r="I172" s="229"/>
      <c r="J172" s="229"/>
      <c r="K172" s="232"/>
    </row>
    <row r="173" spans="3:11" x14ac:dyDescent="0.3">
      <c r="D173" s="228" t="s">
        <v>143</v>
      </c>
      <c r="E173" s="229">
        <v>706</v>
      </c>
      <c r="F173" s="230"/>
      <c r="G173" s="231"/>
      <c r="H173" s="229"/>
      <c r="I173" s="229"/>
      <c r="J173" s="229"/>
      <c r="K173" s="232"/>
    </row>
    <row r="174" spans="3:11" x14ac:dyDescent="0.3">
      <c r="D174" s="235"/>
      <c r="E174" s="253">
        <f>SUM(E169:E173)</f>
        <v>1000</v>
      </c>
      <c r="F174" s="254"/>
      <c r="G174" s="255">
        <f>SUM(G169:G173)</f>
        <v>0</v>
      </c>
      <c r="H174" s="253">
        <f>SUM(H169:H173)</f>
        <v>0</v>
      </c>
      <c r="I174" s="258">
        <f>SUM(I169:I173)</f>
        <v>0</v>
      </c>
      <c r="J174" s="258">
        <f>SUM(J169:J173)</f>
        <v>0</v>
      </c>
      <c r="K174" s="257"/>
    </row>
  </sheetData>
  <mergeCells count="13">
    <mergeCell ref="D167:K167"/>
    <mergeCell ref="D94:K94"/>
    <mergeCell ref="D109:J109"/>
    <mergeCell ref="D127:K127"/>
    <mergeCell ref="D142:K142"/>
    <mergeCell ref="D156:K156"/>
    <mergeCell ref="D78:J78"/>
    <mergeCell ref="D67:K67"/>
    <mergeCell ref="D2:K2"/>
    <mergeCell ref="D13:K13"/>
    <mergeCell ref="D22:K22"/>
    <mergeCell ref="D39:K39"/>
    <mergeCell ref="D52:K5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FCE1-D7C3-4AF8-BFC0-5C7AC6E7CA95}">
  <dimension ref="A4:N168"/>
  <sheetViews>
    <sheetView topLeftCell="A153" workbookViewId="0">
      <selection activeCell="A37" sqref="A37:XFD37"/>
    </sheetView>
  </sheetViews>
  <sheetFormatPr baseColWidth="10" defaultRowHeight="14.4" x14ac:dyDescent="0.3"/>
  <cols>
    <col min="3" max="3" width="38.88671875" customWidth="1"/>
    <col min="4" max="4" width="17.33203125" bestFit="1" customWidth="1"/>
    <col min="5" max="5" width="9.88671875" hidden="1" customWidth="1"/>
    <col min="6" max="6" width="14" hidden="1" customWidth="1"/>
    <col min="7" max="7" width="14" bestFit="1" customWidth="1"/>
    <col min="8" max="8" width="21.5546875" customWidth="1"/>
    <col min="9" max="9" width="0" hidden="1" customWidth="1"/>
    <col min="10" max="10" width="19" hidden="1" customWidth="1"/>
    <col min="11" max="11" width="0" hidden="1" customWidth="1"/>
  </cols>
  <sheetData>
    <row r="4" spans="2:11" ht="23.4" x14ac:dyDescent="0.45">
      <c r="C4" s="175" t="s">
        <v>89</v>
      </c>
      <c r="D4" s="175"/>
      <c r="E4" s="175"/>
      <c r="F4" s="175"/>
      <c r="G4" s="175"/>
      <c r="H4" s="175"/>
      <c r="I4" s="175"/>
      <c r="J4" s="175"/>
      <c r="K4" s="175"/>
    </row>
    <row r="5" spans="2:11" ht="62.4" x14ac:dyDescent="0.3">
      <c r="B5" s="1">
        <v>1</v>
      </c>
      <c r="C5" s="2" t="s">
        <v>0</v>
      </c>
      <c r="D5" s="3" t="s">
        <v>1</v>
      </c>
      <c r="E5" s="3" t="s">
        <v>90</v>
      </c>
      <c r="F5" s="3" t="s">
        <v>91</v>
      </c>
      <c r="G5" s="3"/>
      <c r="H5" s="3" t="s">
        <v>92</v>
      </c>
      <c r="I5" s="4" t="s">
        <v>93</v>
      </c>
      <c r="J5" s="3" t="s">
        <v>94</v>
      </c>
      <c r="K5" s="40"/>
    </row>
    <row r="6" spans="2:11" ht="15.6" x14ac:dyDescent="0.3">
      <c r="B6">
        <v>8</v>
      </c>
      <c r="C6" s="41" t="s">
        <v>16</v>
      </c>
      <c r="D6" s="42">
        <v>688.98</v>
      </c>
      <c r="E6" s="7">
        <v>0</v>
      </c>
      <c r="F6" s="7">
        <f t="shared" ref="F6:F14" si="0">(E6/1000)*D6</f>
        <v>0</v>
      </c>
      <c r="G6" s="7"/>
      <c r="H6" s="6">
        <f>(D6*38)</f>
        <v>26181.24</v>
      </c>
      <c r="I6" s="43">
        <f t="shared" ref="I6:I14" si="1">(E6/1000)*H6</f>
        <v>0</v>
      </c>
      <c r="J6" s="42"/>
      <c r="K6" s="10" t="s">
        <v>7</v>
      </c>
    </row>
    <row r="7" spans="2:11" ht="15.6" x14ac:dyDescent="0.3">
      <c r="B7">
        <v>5</v>
      </c>
      <c r="C7" s="41" t="s">
        <v>95</v>
      </c>
      <c r="D7" s="42">
        <v>70</v>
      </c>
      <c r="E7" s="44">
        <v>35</v>
      </c>
      <c r="F7" s="44">
        <f t="shared" si="0"/>
        <v>2.4500000000000002</v>
      </c>
      <c r="G7" s="44"/>
      <c r="H7" s="6">
        <f t="shared" ref="H7:H14" si="2">(D7*38)</f>
        <v>2660</v>
      </c>
      <c r="I7" s="43">
        <f t="shared" si="1"/>
        <v>93.100000000000009</v>
      </c>
      <c r="J7" s="42"/>
      <c r="K7" s="10" t="s">
        <v>7</v>
      </c>
    </row>
    <row r="8" spans="2:11" ht="15.6" x14ac:dyDescent="0.3">
      <c r="B8">
        <v>1</v>
      </c>
      <c r="C8" s="41" t="s">
        <v>96</v>
      </c>
      <c r="D8" s="42">
        <v>35</v>
      </c>
      <c r="E8" s="44">
        <v>110</v>
      </c>
      <c r="F8" s="44">
        <f t="shared" si="0"/>
        <v>3.85</v>
      </c>
      <c r="G8" s="44"/>
      <c r="H8" s="6">
        <f t="shared" si="2"/>
        <v>1330</v>
      </c>
      <c r="I8" s="43">
        <f t="shared" si="1"/>
        <v>146.30000000000001</v>
      </c>
      <c r="J8" s="42"/>
      <c r="K8" s="10" t="s">
        <v>7</v>
      </c>
    </row>
    <row r="9" spans="2:11" ht="15.6" x14ac:dyDescent="0.3">
      <c r="B9">
        <v>2</v>
      </c>
      <c r="C9" s="41" t="s">
        <v>97</v>
      </c>
      <c r="D9" s="42">
        <v>2</v>
      </c>
      <c r="E9" s="44">
        <v>100</v>
      </c>
      <c r="F9" s="44">
        <f t="shared" si="0"/>
        <v>0.2</v>
      </c>
      <c r="G9" s="44"/>
      <c r="H9" s="6">
        <f t="shared" si="2"/>
        <v>76</v>
      </c>
      <c r="I9" s="43">
        <f t="shared" si="1"/>
        <v>7.6000000000000005</v>
      </c>
      <c r="J9" s="42"/>
      <c r="K9" s="10" t="s">
        <v>7</v>
      </c>
    </row>
    <row r="10" spans="2:11" ht="15.6" x14ac:dyDescent="0.3">
      <c r="B10">
        <v>3</v>
      </c>
      <c r="C10" s="41" t="s">
        <v>98</v>
      </c>
      <c r="D10" s="42">
        <v>2</v>
      </c>
      <c r="E10" s="44">
        <v>100</v>
      </c>
      <c r="F10" s="44">
        <f t="shared" si="0"/>
        <v>0.2</v>
      </c>
      <c r="G10" s="44"/>
      <c r="H10" s="6">
        <f t="shared" si="2"/>
        <v>76</v>
      </c>
      <c r="I10" s="43">
        <f t="shared" si="1"/>
        <v>7.6000000000000005</v>
      </c>
      <c r="J10" s="42"/>
      <c r="K10" s="10" t="s">
        <v>7</v>
      </c>
    </row>
    <row r="11" spans="2:11" ht="15.6" x14ac:dyDescent="0.3">
      <c r="B11">
        <v>4</v>
      </c>
      <c r="C11" s="41" t="s">
        <v>99</v>
      </c>
      <c r="D11" s="42">
        <v>2</v>
      </c>
      <c r="E11" s="44">
        <v>100</v>
      </c>
      <c r="F11" s="44">
        <f t="shared" si="0"/>
        <v>0.2</v>
      </c>
      <c r="G11" s="44"/>
      <c r="H11" s="6">
        <f t="shared" si="2"/>
        <v>76</v>
      </c>
      <c r="I11" s="43">
        <f t="shared" si="1"/>
        <v>7.6000000000000005</v>
      </c>
      <c r="J11" s="42"/>
      <c r="K11" s="10" t="s">
        <v>7</v>
      </c>
    </row>
    <row r="12" spans="2:11" ht="15.6" x14ac:dyDescent="0.3">
      <c r="B12">
        <v>7</v>
      </c>
      <c r="C12" s="41" t="s">
        <v>19</v>
      </c>
      <c r="D12" s="6">
        <v>50</v>
      </c>
      <c r="E12" s="44">
        <v>7</v>
      </c>
      <c r="F12" s="44">
        <f t="shared" si="0"/>
        <v>0.35000000000000003</v>
      </c>
      <c r="G12" s="44"/>
      <c r="H12" s="6">
        <f t="shared" si="2"/>
        <v>1900</v>
      </c>
      <c r="I12" s="43">
        <f t="shared" si="1"/>
        <v>13.3</v>
      </c>
      <c r="J12" s="45"/>
      <c r="K12" s="10" t="s">
        <v>7</v>
      </c>
    </row>
    <row r="13" spans="2:11" ht="15.6" x14ac:dyDescent="0.3">
      <c r="B13">
        <v>6</v>
      </c>
      <c r="C13" s="46" t="s">
        <v>32</v>
      </c>
      <c r="D13" s="47">
        <v>150</v>
      </c>
      <c r="E13" s="44">
        <v>5.4</v>
      </c>
      <c r="F13" s="44">
        <f t="shared" si="0"/>
        <v>0.81</v>
      </c>
      <c r="G13" s="44"/>
      <c r="H13" s="6">
        <f t="shared" si="2"/>
        <v>5700</v>
      </c>
      <c r="I13" s="43">
        <f t="shared" si="1"/>
        <v>30.78</v>
      </c>
      <c r="J13" s="45"/>
      <c r="K13" s="10" t="s">
        <v>7</v>
      </c>
    </row>
    <row r="14" spans="2:11" ht="15.6" x14ac:dyDescent="0.3">
      <c r="B14">
        <v>9</v>
      </c>
      <c r="C14" s="41" t="s">
        <v>71</v>
      </c>
      <c r="D14" s="26">
        <v>0.02</v>
      </c>
      <c r="E14" s="44">
        <v>100</v>
      </c>
      <c r="F14" s="44">
        <f t="shared" si="0"/>
        <v>2E-3</v>
      </c>
      <c r="G14" s="44"/>
      <c r="H14" s="6">
        <f t="shared" si="2"/>
        <v>0.76</v>
      </c>
      <c r="I14" s="43">
        <f t="shared" si="1"/>
        <v>7.6000000000000012E-2</v>
      </c>
      <c r="J14" s="48"/>
      <c r="K14" s="49" t="s">
        <v>7</v>
      </c>
    </row>
    <row r="15" spans="2:11" x14ac:dyDescent="0.3">
      <c r="D15" s="50">
        <f>SUM(D6:D14)</f>
        <v>1000</v>
      </c>
      <c r="E15" s="51"/>
      <c r="F15" s="52">
        <f>SUM(F6:F14)</f>
        <v>8.0620000000000012</v>
      </c>
      <c r="G15" s="52"/>
      <c r="H15" s="50">
        <f>SUM(H6:H14)</f>
        <v>38000.000000000007</v>
      </c>
      <c r="I15" s="53">
        <f>SUM(I6:I14)</f>
        <v>306.35600000000011</v>
      </c>
      <c r="J15" s="54"/>
      <c r="K15" s="54"/>
    </row>
    <row r="18" spans="2:14" ht="23.4" x14ac:dyDescent="0.45">
      <c r="C18" s="175" t="s">
        <v>257</v>
      </c>
      <c r="D18" s="175"/>
      <c r="E18" s="175"/>
      <c r="F18" s="175"/>
      <c r="G18" s="175"/>
      <c r="H18" s="175"/>
      <c r="I18" s="175"/>
      <c r="J18" s="175"/>
      <c r="K18" s="175"/>
    </row>
    <row r="19" spans="2:14" ht="48" customHeight="1" x14ac:dyDescent="0.3">
      <c r="B19" s="1">
        <v>2</v>
      </c>
      <c r="C19" s="2" t="s">
        <v>0</v>
      </c>
      <c r="D19" s="3" t="s">
        <v>1</v>
      </c>
      <c r="E19" s="3" t="s">
        <v>90</v>
      </c>
      <c r="F19" s="3" t="s">
        <v>152</v>
      </c>
      <c r="G19" s="3"/>
      <c r="H19" s="3" t="s">
        <v>260</v>
      </c>
      <c r="I19" s="3" t="s">
        <v>253</v>
      </c>
      <c r="J19" s="3" t="s">
        <v>259</v>
      </c>
      <c r="K19" s="40"/>
    </row>
    <row r="20" spans="2:14" ht="15.6" x14ac:dyDescent="0.3">
      <c r="C20" s="41" t="s">
        <v>16</v>
      </c>
      <c r="D20" s="42">
        <v>749</v>
      </c>
      <c r="E20" s="7">
        <v>0</v>
      </c>
      <c r="F20" s="7">
        <f t="shared" ref="F20:F26" si="3">(E20/1000)*D20</f>
        <v>0</v>
      </c>
      <c r="G20" s="7"/>
      <c r="H20" s="6">
        <f>(D20/2)</f>
        <v>374.5</v>
      </c>
      <c r="I20" s="6">
        <f>(E20/2)</f>
        <v>0</v>
      </c>
      <c r="J20" s="6">
        <f>(D20*30)</f>
        <v>22470</v>
      </c>
      <c r="K20" s="10" t="s">
        <v>7</v>
      </c>
    </row>
    <row r="21" spans="2:14" ht="15.6" x14ac:dyDescent="0.3">
      <c r="C21" s="41" t="s">
        <v>254</v>
      </c>
      <c r="D21" s="42">
        <v>45</v>
      </c>
      <c r="E21" s="44">
        <v>23.46</v>
      </c>
      <c r="F21" s="44">
        <f t="shared" si="3"/>
        <v>1.0557000000000001</v>
      </c>
      <c r="G21" s="44"/>
      <c r="H21" s="6">
        <f t="shared" ref="H21:H27" si="4">(D21/2)</f>
        <v>22.5</v>
      </c>
      <c r="I21" s="43">
        <f t="shared" ref="I21:I26" si="5">(E21/1000)*H21</f>
        <v>0.52785000000000004</v>
      </c>
      <c r="J21" s="6">
        <f t="shared" ref="J21:J27" si="6">(D21*30)</f>
        <v>1350</v>
      </c>
      <c r="K21" s="10" t="s">
        <v>7</v>
      </c>
    </row>
    <row r="22" spans="2:14" ht="15.6" x14ac:dyDescent="0.3">
      <c r="C22" s="41" t="s">
        <v>258</v>
      </c>
      <c r="D22" s="42">
        <v>50</v>
      </c>
      <c r="E22" s="44">
        <v>390</v>
      </c>
      <c r="F22" s="44">
        <f t="shared" si="3"/>
        <v>19.5</v>
      </c>
      <c r="G22" s="44"/>
      <c r="H22" s="6">
        <f t="shared" si="4"/>
        <v>25</v>
      </c>
      <c r="I22" s="43">
        <f t="shared" si="5"/>
        <v>9.75</v>
      </c>
      <c r="J22" s="6">
        <f t="shared" si="6"/>
        <v>1500</v>
      </c>
      <c r="K22" s="10" t="s">
        <v>7</v>
      </c>
    </row>
    <row r="23" spans="2:14" ht="15.6" x14ac:dyDescent="0.3">
      <c r="C23" s="41" t="s">
        <v>255</v>
      </c>
      <c r="D23" s="14">
        <v>150</v>
      </c>
      <c r="E23" s="44">
        <v>5.5</v>
      </c>
      <c r="F23" s="44">
        <f t="shared" si="3"/>
        <v>0.82499999999999996</v>
      </c>
      <c r="G23" s="44"/>
      <c r="H23" s="6">
        <f t="shared" si="4"/>
        <v>75</v>
      </c>
      <c r="I23" s="43">
        <f t="shared" si="5"/>
        <v>0.41249999999999998</v>
      </c>
      <c r="J23" s="6">
        <f t="shared" si="6"/>
        <v>4500</v>
      </c>
      <c r="K23" s="10" t="s">
        <v>7</v>
      </c>
      <c r="N23" t="s">
        <v>180</v>
      </c>
    </row>
    <row r="24" spans="2:14" ht="15.6" x14ac:dyDescent="0.3">
      <c r="C24" s="85" t="s">
        <v>97</v>
      </c>
      <c r="D24" s="86">
        <v>2</v>
      </c>
      <c r="E24" s="44">
        <v>100</v>
      </c>
      <c r="F24" s="44">
        <f t="shared" si="3"/>
        <v>0.2</v>
      </c>
      <c r="G24" s="44"/>
      <c r="H24" s="6">
        <f t="shared" si="4"/>
        <v>1</v>
      </c>
      <c r="I24" s="43">
        <f t="shared" si="5"/>
        <v>0.1</v>
      </c>
      <c r="J24" s="6">
        <f t="shared" si="6"/>
        <v>60</v>
      </c>
      <c r="K24" s="75" t="s">
        <v>7</v>
      </c>
    </row>
    <row r="25" spans="2:14" ht="15.6" x14ac:dyDescent="0.3">
      <c r="C25" s="41" t="s">
        <v>98</v>
      </c>
      <c r="D25" s="42">
        <v>2</v>
      </c>
      <c r="E25" s="44">
        <v>100</v>
      </c>
      <c r="F25" s="44">
        <f t="shared" si="3"/>
        <v>0.2</v>
      </c>
      <c r="G25" s="44"/>
      <c r="H25" s="6">
        <f t="shared" si="4"/>
        <v>1</v>
      </c>
      <c r="I25" s="43">
        <f t="shared" si="5"/>
        <v>0.1</v>
      </c>
      <c r="J25" s="6">
        <f t="shared" si="6"/>
        <v>60</v>
      </c>
      <c r="K25" s="10" t="s">
        <v>7</v>
      </c>
    </row>
    <row r="26" spans="2:14" ht="15.6" x14ac:dyDescent="0.3">
      <c r="C26" s="46" t="s">
        <v>256</v>
      </c>
      <c r="D26" s="42">
        <v>2</v>
      </c>
      <c r="E26" s="44">
        <v>100</v>
      </c>
      <c r="F26" s="44">
        <f t="shared" si="3"/>
        <v>0.2</v>
      </c>
      <c r="G26" s="44"/>
      <c r="H26" s="6">
        <f t="shared" si="4"/>
        <v>1</v>
      </c>
      <c r="I26" s="43">
        <f t="shared" si="5"/>
        <v>0.1</v>
      </c>
      <c r="J26" s="6">
        <f t="shared" si="6"/>
        <v>60</v>
      </c>
      <c r="K26" s="10" t="s">
        <v>7</v>
      </c>
    </row>
    <row r="27" spans="2:14" ht="15.6" x14ac:dyDescent="0.3">
      <c r="C27" s="41" t="s">
        <v>71</v>
      </c>
      <c r="D27" s="26">
        <v>0.02</v>
      </c>
      <c r="E27" s="44">
        <v>100</v>
      </c>
      <c r="F27" s="44">
        <f>(E27/1000)*D27</f>
        <v>2E-3</v>
      </c>
      <c r="G27" s="44"/>
      <c r="H27" s="6">
        <f t="shared" si="4"/>
        <v>0.01</v>
      </c>
      <c r="I27" s="43">
        <f>(E27/1000)*H27</f>
        <v>1E-3</v>
      </c>
      <c r="J27" s="6">
        <f t="shared" si="6"/>
        <v>0.6</v>
      </c>
      <c r="K27" s="54"/>
    </row>
    <row r="28" spans="2:14" x14ac:dyDescent="0.3">
      <c r="D28" s="50">
        <f>SUM(D20:D27)</f>
        <v>1000.02</v>
      </c>
      <c r="E28" s="51"/>
      <c r="F28" s="52">
        <f>SUM(F20:F27)</f>
        <v>21.982699999999998</v>
      </c>
      <c r="G28" s="52"/>
      <c r="H28" s="50">
        <f>SUM(H20:H27)</f>
        <v>500.01</v>
      </c>
      <c r="I28" s="53">
        <f>SUM(I20:I27)</f>
        <v>10.991349999999999</v>
      </c>
      <c r="J28" s="54">
        <f>SUM(J20:J27)</f>
        <v>30000.6</v>
      </c>
    </row>
    <row r="31" spans="2:14" ht="23.4" x14ac:dyDescent="0.45">
      <c r="C31" s="175" t="s">
        <v>289</v>
      </c>
      <c r="D31" s="175"/>
      <c r="E31" s="175"/>
      <c r="F31" s="175"/>
      <c r="G31" s="175"/>
      <c r="H31" s="175"/>
      <c r="I31" s="175"/>
      <c r="J31" s="175"/>
      <c r="K31" s="175"/>
    </row>
    <row r="32" spans="2:14" ht="46.8" x14ac:dyDescent="0.3">
      <c r="B32" s="1">
        <v>2</v>
      </c>
      <c r="C32" s="2" t="s">
        <v>0</v>
      </c>
      <c r="D32" s="3" t="s">
        <v>1</v>
      </c>
      <c r="E32" s="3" t="s">
        <v>90</v>
      </c>
      <c r="F32" s="3" t="s">
        <v>152</v>
      </c>
      <c r="G32" s="3" t="s">
        <v>525</v>
      </c>
      <c r="H32" s="3" t="s">
        <v>294</v>
      </c>
      <c r="I32" s="3" t="s">
        <v>253</v>
      </c>
      <c r="J32" s="3"/>
      <c r="K32" s="40"/>
    </row>
    <row r="33" spans="1:11" ht="15.6" x14ac:dyDescent="0.3">
      <c r="B33" s="140">
        <v>7</v>
      </c>
      <c r="C33" s="41" t="s">
        <v>290</v>
      </c>
      <c r="D33" s="42">
        <v>300</v>
      </c>
      <c r="E33" s="7">
        <v>20</v>
      </c>
      <c r="F33" s="7">
        <f t="shared" ref="F33:F37" si="7">(E33/1000)*D33</f>
        <v>6</v>
      </c>
      <c r="G33" s="7">
        <f>(E33/1000)*H33</f>
        <v>750</v>
      </c>
      <c r="H33" s="6">
        <f>(D33*125)</f>
        <v>37500</v>
      </c>
      <c r="I33" s="6">
        <f>(E33/2)</f>
        <v>10</v>
      </c>
      <c r="J33" s="6"/>
      <c r="K33" s="10" t="s">
        <v>7</v>
      </c>
    </row>
    <row r="34" spans="1:11" ht="15.6" x14ac:dyDescent="0.3">
      <c r="B34" s="140">
        <v>1</v>
      </c>
      <c r="C34" s="41" t="s">
        <v>55</v>
      </c>
      <c r="D34" s="42">
        <v>668</v>
      </c>
      <c r="E34" s="44">
        <v>0.6</v>
      </c>
      <c r="F34" s="44">
        <f t="shared" si="7"/>
        <v>0.40079999999999999</v>
      </c>
      <c r="G34" s="7">
        <f t="shared" ref="G34:G40" si="8">(E34/1000)*H34</f>
        <v>50.099999999999994</v>
      </c>
      <c r="H34" s="6">
        <f t="shared" ref="H34:H40" si="9">(D34*125)</f>
        <v>83500</v>
      </c>
      <c r="I34" s="43">
        <f>(E34/1000)*H34</f>
        <v>50.099999999999994</v>
      </c>
      <c r="J34" s="6"/>
      <c r="K34" s="10" t="s">
        <v>7</v>
      </c>
    </row>
    <row r="35" spans="1:11" ht="15.6" x14ac:dyDescent="0.3">
      <c r="B35" s="140">
        <v>8</v>
      </c>
      <c r="C35" s="41" t="s">
        <v>291</v>
      </c>
      <c r="D35" s="42">
        <v>20</v>
      </c>
      <c r="E35" s="44">
        <v>12</v>
      </c>
      <c r="F35" s="44">
        <f t="shared" si="7"/>
        <v>0.24</v>
      </c>
      <c r="G35" s="7">
        <f t="shared" si="8"/>
        <v>30</v>
      </c>
      <c r="H35" s="6">
        <f t="shared" si="9"/>
        <v>2500</v>
      </c>
      <c r="I35" s="43">
        <f>(E35/1000)*H35</f>
        <v>30</v>
      </c>
      <c r="J35" s="6"/>
      <c r="K35" s="10" t="s">
        <v>7</v>
      </c>
    </row>
    <row r="36" spans="1:11" ht="15.6" x14ac:dyDescent="0.3">
      <c r="B36" s="140">
        <v>5</v>
      </c>
      <c r="C36" s="41" t="s">
        <v>292</v>
      </c>
      <c r="D36" s="14">
        <v>5</v>
      </c>
      <c r="E36" s="44">
        <v>18</v>
      </c>
      <c r="F36" s="44">
        <f t="shared" si="7"/>
        <v>0.09</v>
      </c>
      <c r="G36" s="7">
        <f t="shared" si="8"/>
        <v>11.25</v>
      </c>
      <c r="H36" s="6">
        <f t="shared" si="9"/>
        <v>625</v>
      </c>
      <c r="I36" s="43">
        <f>(E36/1000)*H36</f>
        <v>11.25</v>
      </c>
      <c r="J36" s="6"/>
      <c r="K36" s="10" t="s">
        <v>7</v>
      </c>
    </row>
    <row r="37" spans="1:11" ht="15.6" x14ac:dyDescent="0.3">
      <c r="B37" s="140">
        <v>4</v>
      </c>
      <c r="C37" s="41" t="s">
        <v>293</v>
      </c>
      <c r="D37" s="42">
        <v>2</v>
      </c>
      <c r="E37" s="44">
        <v>14</v>
      </c>
      <c r="F37" s="44">
        <f t="shared" si="7"/>
        <v>2.8000000000000001E-2</v>
      </c>
      <c r="G37" s="7">
        <f t="shared" si="8"/>
        <v>3.5</v>
      </c>
      <c r="H37" s="6">
        <f t="shared" si="9"/>
        <v>250</v>
      </c>
      <c r="I37" s="43">
        <f>(E37/1000)*H37</f>
        <v>3.5</v>
      </c>
      <c r="J37" s="6"/>
      <c r="K37" s="10" t="s">
        <v>7</v>
      </c>
    </row>
    <row r="38" spans="1:11" ht="15.6" x14ac:dyDescent="0.3">
      <c r="B38" s="140">
        <v>6</v>
      </c>
      <c r="C38" s="41" t="s">
        <v>533</v>
      </c>
      <c r="D38" s="42">
        <v>2</v>
      </c>
      <c r="E38" s="7"/>
      <c r="F38" s="7"/>
      <c r="G38" s="7">
        <f t="shared" si="8"/>
        <v>0</v>
      </c>
      <c r="H38" s="6">
        <f t="shared" si="9"/>
        <v>250</v>
      </c>
      <c r="I38" s="149"/>
      <c r="J38" s="6"/>
    </row>
    <row r="39" spans="1:11" ht="15.6" x14ac:dyDescent="0.3">
      <c r="B39" s="140">
        <v>2</v>
      </c>
      <c r="C39" s="41" t="s">
        <v>56</v>
      </c>
      <c r="D39" s="42">
        <v>1.5</v>
      </c>
      <c r="E39" s="7">
        <v>45</v>
      </c>
      <c r="F39" s="7"/>
      <c r="G39" s="7">
        <f t="shared" si="8"/>
        <v>8.4375</v>
      </c>
      <c r="H39" s="6">
        <f t="shared" si="9"/>
        <v>187.5</v>
      </c>
      <c r="I39" s="149"/>
      <c r="J39" s="6"/>
    </row>
    <row r="40" spans="1:11" ht="15.6" x14ac:dyDescent="0.3">
      <c r="B40" s="140">
        <v>3</v>
      </c>
      <c r="C40" s="41" t="s">
        <v>57</v>
      </c>
      <c r="D40" s="42">
        <v>1</v>
      </c>
      <c r="E40" s="7">
        <v>60</v>
      </c>
      <c r="F40" s="7"/>
      <c r="G40" s="7">
        <f t="shared" si="8"/>
        <v>7.5</v>
      </c>
      <c r="H40" s="6">
        <f t="shared" si="9"/>
        <v>125</v>
      </c>
      <c r="I40" s="149"/>
      <c r="J40" s="6"/>
    </row>
    <row r="41" spans="1:11" x14ac:dyDescent="0.3">
      <c r="D41" s="150">
        <f>SUM(D33:D40)</f>
        <v>999.5</v>
      </c>
      <c r="E41" s="151"/>
      <c r="F41" s="152">
        <f>SUM(F33:F37)</f>
        <v>6.7587999999999999</v>
      </c>
      <c r="G41" s="152">
        <f>SUM(G33:G37)</f>
        <v>844.85</v>
      </c>
      <c r="H41" s="150">
        <f>SUM(H33:H40)</f>
        <v>124937.5</v>
      </c>
      <c r="I41" s="53">
        <f>SUM(I33:I37)</f>
        <v>104.85</v>
      </c>
      <c r="J41" s="54"/>
    </row>
    <row r="44" spans="1:11" ht="23.4" x14ac:dyDescent="0.45">
      <c r="C44" s="175" t="s">
        <v>413</v>
      </c>
      <c r="D44" s="175"/>
      <c r="E44" s="175"/>
      <c r="F44" s="175"/>
      <c r="G44" s="175"/>
      <c r="H44" s="175"/>
      <c r="I44" s="175"/>
      <c r="J44" s="175"/>
      <c r="K44" s="175"/>
    </row>
    <row r="45" spans="1:11" ht="62.4" x14ac:dyDescent="0.3">
      <c r="B45" s="1">
        <v>1</v>
      </c>
      <c r="C45" s="2" t="s">
        <v>0</v>
      </c>
      <c r="D45" s="3" t="s">
        <v>1</v>
      </c>
      <c r="E45" s="3" t="s">
        <v>90</v>
      </c>
      <c r="F45" s="3" t="s">
        <v>91</v>
      </c>
      <c r="G45" s="3"/>
      <c r="H45" s="3" t="s">
        <v>554</v>
      </c>
      <c r="I45" s="4" t="s">
        <v>93</v>
      </c>
      <c r="J45" s="3" t="s">
        <v>94</v>
      </c>
      <c r="K45" s="40"/>
    </row>
    <row r="46" spans="1:11" ht="15.75" customHeight="1" x14ac:dyDescent="0.3">
      <c r="A46" s="214" t="s">
        <v>38</v>
      </c>
      <c r="B46" s="80">
        <v>1</v>
      </c>
      <c r="C46" s="41" t="s">
        <v>414</v>
      </c>
      <c r="D46" s="42">
        <v>50</v>
      </c>
      <c r="E46" s="7">
        <v>60</v>
      </c>
      <c r="F46" s="7">
        <f t="shared" ref="F46:F54" si="10">(E46/1000)*D46</f>
        <v>3</v>
      </c>
      <c r="G46" s="7"/>
      <c r="H46" s="6">
        <f>(D46*8)</f>
        <v>400</v>
      </c>
      <c r="I46" s="43">
        <f t="shared" ref="I46:I54" si="11">(E46/1000)*H46</f>
        <v>24</v>
      </c>
      <c r="J46" s="42"/>
      <c r="K46" s="10" t="s">
        <v>7</v>
      </c>
    </row>
    <row r="47" spans="1:11" ht="15.75" customHeight="1" x14ac:dyDescent="0.3">
      <c r="A47" s="215"/>
      <c r="B47" s="80">
        <v>2</v>
      </c>
      <c r="C47" s="41" t="s">
        <v>32</v>
      </c>
      <c r="D47" s="42">
        <v>150</v>
      </c>
      <c r="E47" s="44">
        <v>7</v>
      </c>
      <c r="F47" s="44">
        <f t="shared" si="10"/>
        <v>1.05</v>
      </c>
      <c r="G47" s="44"/>
      <c r="H47" s="6">
        <f t="shared" ref="H47:H54" si="12">(D47*8)</f>
        <v>1200</v>
      </c>
      <c r="I47" s="43">
        <f t="shared" si="11"/>
        <v>8.4</v>
      </c>
      <c r="J47" s="42"/>
      <c r="K47" s="10" t="s">
        <v>7</v>
      </c>
    </row>
    <row r="48" spans="1:11" ht="15.75" customHeight="1" x14ac:dyDescent="0.3">
      <c r="A48" s="215"/>
      <c r="B48" s="81">
        <v>3</v>
      </c>
      <c r="C48" s="41" t="s">
        <v>163</v>
      </c>
      <c r="D48" s="42">
        <v>150</v>
      </c>
      <c r="E48" s="44">
        <v>20</v>
      </c>
      <c r="F48" s="44">
        <f t="shared" si="10"/>
        <v>3</v>
      </c>
      <c r="G48" s="44"/>
      <c r="H48" s="6">
        <f t="shared" si="12"/>
        <v>1200</v>
      </c>
      <c r="I48" s="43">
        <f t="shared" si="11"/>
        <v>24</v>
      </c>
      <c r="J48" s="42"/>
      <c r="K48" s="10" t="s">
        <v>7</v>
      </c>
    </row>
    <row r="49" spans="1:11" ht="15.75" customHeight="1" x14ac:dyDescent="0.3">
      <c r="A49" s="216"/>
      <c r="B49" s="81">
        <v>4</v>
      </c>
      <c r="C49" s="41" t="s">
        <v>19</v>
      </c>
      <c r="D49" s="42">
        <v>5</v>
      </c>
      <c r="E49" s="44">
        <v>8</v>
      </c>
      <c r="F49" s="44">
        <f t="shared" si="10"/>
        <v>0.04</v>
      </c>
      <c r="G49" s="44"/>
      <c r="H49" s="6">
        <f t="shared" si="12"/>
        <v>40</v>
      </c>
      <c r="I49" s="43">
        <f t="shared" si="11"/>
        <v>0.32</v>
      </c>
      <c r="J49" s="42"/>
      <c r="K49" s="10" t="s">
        <v>7</v>
      </c>
    </row>
    <row r="50" spans="1:11" ht="15.75" customHeight="1" x14ac:dyDescent="0.3">
      <c r="A50" s="217" t="s">
        <v>417</v>
      </c>
      <c r="B50" s="218"/>
      <c r="C50" s="41" t="s">
        <v>415</v>
      </c>
      <c r="D50" s="42">
        <v>5</v>
      </c>
      <c r="E50" s="44">
        <v>124</v>
      </c>
      <c r="F50" s="44">
        <f t="shared" si="10"/>
        <v>0.62</v>
      </c>
      <c r="G50" s="44"/>
      <c r="H50" s="6">
        <f t="shared" si="12"/>
        <v>40</v>
      </c>
      <c r="I50" s="43">
        <f t="shared" si="11"/>
        <v>4.96</v>
      </c>
      <c r="J50" s="42"/>
      <c r="K50" s="10" t="s">
        <v>7</v>
      </c>
    </row>
    <row r="51" spans="1:11" ht="15.75" customHeight="1" x14ac:dyDescent="0.3">
      <c r="A51" s="145">
        <v>1</v>
      </c>
      <c r="B51" s="211" t="s">
        <v>37</v>
      </c>
      <c r="C51" s="41" t="s">
        <v>16</v>
      </c>
      <c r="D51" s="42">
        <v>622</v>
      </c>
      <c r="E51" s="44">
        <v>0.6</v>
      </c>
      <c r="F51" s="44">
        <f t="shared" si="10"/>
        <v>0.37319999999999998</v>
      </c>
      <c r="G51" s="44"/>
      <c r="H51" s="6">
        <f t="shared" si="12"/>
        <v>4976</v>
      </c>
      <c r="I51" s="43">
        <f t="shared" si="11"/>
        <v>2.9855999999999998</v>
      </c>
      <c r="J51" s="42"/>
      <c r="K51" s="10" t="s">
        <v>7</v>
      </c>
    </row>
    <row r="52" spans="1:11" ht="15.75" customHeight="1" x14ac:dyDescent="0.3">
      <c r="A52" s="146">
        <v>2</v>
      </c>
      <c r="B52" s="212"/>
      <c r="C52" s="41" t="s">
        <v>416</v>
      </c>
      <c r="D52" s="11">
        <v>0.5</v>
      </c>
      <c r="E52" s="44">
        <v>60</v>
      </c>
      <c r="F52" s="44">
        <f t="shared" si="10"/>
        <v>0.03</v>
      </c>
      <c r="G52" s="44"/>
      <c r="H52" s="6">
        <f t="shared" si="12"/>
        <v>4</v>
      </c>
      <c r="I52" s="43">
        <f t="shared" si="11"/>
        <v>0.24</v>
      </c>
      <c r="J52" s="45"/>
      <c r="K52" s="10" t="s">
        <v>7</v>
      </c>
    </row>
    <row r="53" spans="1:11" ht="15.75" customHeight="1" x14ac:dyDescent="0.3">
      <c r="A53" s="145">
        <v>3</v>
      </c>
      <c r="B53" s="212"/>
      <c r="C53" s="46" t="s">
        <v>286</v>
      </c>
      <c r="D53" s="47">
        <v>9</v>
      </c>
      <c r="E53" s="44">
        <v>98</v>
      </c>
      <c r="F53" s="44">
        <f t="shared" si="10"/>
        <v>0.88200000000000001</v>
      </c>
      <c r="G53" s="44"/>
      <c r="H53" s="6">
        <f t="shared" si="12"/>
        <v>72</v>
      </c>
      <c r="I53" s="43">
        <f t="shared" si="11"/>
        <v>7.056</v>
      </c>
      <c r="J53" s="45"/>
      <c r="K53" s="10" t="s">
        <v>7</v>
      </c>
    </row>
    <row r="54" spans="1:11" ht="15.75" customHeight="1" x14ac:dyDescent="0.3">
      <c r="A54" s="145">
        <v>4</v>
      </c>
      <c r="B54" s="213"/>
      <c r="C54" s="41" t="s">
        <v>168</v>
      </c>
      <c r="D54" s="26">
        <v>9</v>
      </c>
      <c r="E54" s="44">
        <v>20</v>
      </c>
      <c r="F54" s="44">
        <f t="shared" si="10"/>
        <v>0.18</v>
      </c>
      <c r="G54" s="44"/>
      <c r="H54" s="6">
        <f t="shared" si="12"/>
        <v>72</v>
      </c>
      <c r="I54" s="43">
        <f t="shared" si="11"/>
        <v>1.44</v>
      </c>
      <c r="J54" s="48"/>
      <c r="K54" s="49" t="s">
        <v>7</v>
      </c>
    </row>
    <row r="55" spans="1:11" x14ac:dyDescent="0.3">
      <c r="A55" s="144"/>
      <c r="D55" s="50">
        <f>SUM(D46:D54)</f>
        <v>1000.5</v>
      </c>
      <c r="E55" s="51"/>
      <c r="F55" s="52">
        <f>SUM(F46:F54)</f>
        <v>9.1751999999999985</v>
      </c>
      <c r="G55" s="52"/>
      <c r="H55" s="50">
        <f>SUM(H46:H54)</f>
        <v>8004</v>
      </c>
      <c r="I55" s="53">
        <f>SUM(I46:I54)</f>
        <v>73.401599999999988</v>
      </c>
      <c r="J55" s="54"/>
      <c r="K55" s="54"/>
    </row>
    <row r="58" spans="1:11" ht="23.4" x14ac:dyDescent="0.45">
      <c r="C58" s="175" t="s">
        <v>511</v>
      </c>
      <c r="D58" s="175"/>
      <c r="E58" s="175"/>
      <c r="F58" s="175"/>
      <c r="G58" s="175"/>
      <c r="H58" s="175"/>
      <c r="I58" s="175"/>
      <c r="J58" s="175"/>
      <c r="K58" s="175"/>
    </row>
    <row r="59" spans="1:11" ht="46.8" x14ac:dyDescent="0.3">
      <c r="B59" s="1">
        <v>2</v>
      </c>
      <c r="C59" s="2" t="s">
        <v>0</v>
      </c>
      <c r="D59" s="3" t="s">
        <v>1</v>
      </c>
      <c r="E59" s="3" t="s">
        <v>90</v>
      </c>
      <c r="F59" s="3" t="s">
        <v>152</v>
      </c>
      <c r="G59" s="3"/>
      <c r="H59" s="3" t="s">
        <v>294</v>
      </c>
      <c r="I59" s="3" t="s">
        <v>253</v>
      </c>
      <c r="J59" s="3"/>
      <c r="K59" s="40"/>
    </row>
    <row r="60" spans="1:11" ht="15.6" x14ac:dyDescent="0.3">
      <c r="C60" s="41" t="s">
        <v>505</v>
      </c>
      <c r="D60" s="42">
        <v>70</v>
      </c>
      <c r="E60" s="7">
        <v>20</v>
      </c>
      <c r="F60" s="7">
        <f t="shared" ref="F60:F71" si="13">(E60/1000)*D60</f>
        <v>1.4000000000000001</v>
      </c>
      <c r="G60" s="7"/>
      <c r="H60" s="6">
        <f t="shared" ref="H60:H71" si="14">(D60*125)</f>
        <v>8750</v>
      </c>
      <c r="I60" s="6">
        <f>(E60/2)</f>
        <v>10</v>
      </c>
      <c r="J60" s="6"/>
      <c r="K60" s="10" t="s">
        <v>7</v>
      </c>
    </row>
    <row r="61" spans="1:11" ht="15.6" x14ac:dyDescent="0.3">
      <c r="C61" s="41" t="s">
        <v>276</v>
      </c>
      <c r="D61" s="42">
        <v>70</v>
      </c>
      <c r="E61" s="44">
        <v>22</v>
      </c>
      <c r="F61" s="44">
        <f t="shared" si="13"/>
        <v>1.5399999999999998</v>
      </c>
      <c r="G61" s="44"/>
      <c r="H61" s="6">
        <f t="shared" si="14"/>
        <v>8750</v>
      </c>
      <c r="I61" s="43">
        <f t="shared" ref="I61:I69" si="15">(E61/1000)*H61</f>
        <v>192.5</v>
      </c>
      <c r="J61" s="6"/>
      <c r="K61" s="10" t="s">
        <v>7</v>
      </c>
    </row>
    <row r="62" spans="1:11" ht="15.6" x14ac:dyDescent="0.3">
      <c r="C62" s="41" t="s">
        <v>506</v>
      </c>
      <c r="D62" s="42">
        <v>30</v>
      </c>
      <c r="E62" s="44">
        <v>185</v>
      </c>
      <c r="F62" s="44">
        <f t="shared" si="13"/>
        <v>5.55</v>
      </c>
      <c r="G62" s="44"/>
      <c r="H62" s="6">
        <f t="shared" si="14"/>
        <v>3750</v>
      </c>
      <c r="I62" s="43">
        <f t="shared" si="15"/>
        <v>693.75</v>
      </c>
      <c r="J62" s="6"/>
      <c r="K62" s="10" t="s">
        <v>7</v>
      </c>
    </row>
    <row r="63" spans="1:11" ht="15.6" x14ac:dyDescent="0.3">
      <c r="C63" s="41" t="s">
        <v>240</v>
      </c>
      <c r="D63" s="14">
        <v>5</v>
      </c>
      <c r="E63" s="44">
        <v>370</v>
      </c>
      <c r="F63" s="44">
        <f t="shared" si="13"/>
        <v>1.85</v>
      </c>
      <c r="G63" s="44"/>
      <c r="H63" s="6">
        <f t="shared" si="14"/>
        <v>625</v>
      </c>
      <c r="I63" s="43">
        <f t="shared" si="15"/>
        <v>231.25</v>
      </c>
      <c r="J63" s="6"/>
      <c r="K63" s="10" t="s">
        <v>7</v>
      </c>
    </row>
    <row r="64" spans="1:11" ht="15.6" x14ac:dyDescent="0.3">
      <c r="C64" s="85" t="s">
        <v>507</v>
      </c>
      <c r="D64" s="86">
        <v>30</v>
      </c>
      <c r="E64" s="44">
        <v>124</v>
      </c>
      <c r="F64" s="44">
        <f t="shared" si="13"/>
        <v>3.7199999999999998</v>
      </c>
      <c r="G64" s="44"/>
      <c r="H64" s="6">
        <f t="shared" si="14"/>
        <v>3750</v>
      </c>
      <c r="I64" s="43">
        <f t="shared" si="15"/>
        <v>465</v>
      </c>
      <c r="J64" s="6"/>
      <c r="K64" s="75" t="s">
        <v>7</v>
      </c>
    </row>
    <row r="65" spans="2:11" ht="15.6" x14ac:dyDescent="0.3">
      <c r="C65" s="85" t="s">
        <v>508</v>
      </c>
      <c r="D65" s="86">
        <v>40</v>
      </c>
      <c r="E65" s="44">
        <v>125</v>
      </c>
      <c r="F65" s="44">
        <f t="shared" si="13"/>
        <v>5</v>
      </c>
      <c r="G65" s="44"/>
      <c r="H65" s="6">
        <f t="shared" si="14"/>
        <v>5000</v>
      </c>
      <c r="I65" s="43">
        <f t="shared" si="15"/>
        <v>625</v>
      </c>
      <c r="J65" s="6"/>
      <c r="K65" s="75"/>
    </row>
    <row r="66" spans="2:11" ht="15.6" x14ac:dyDescent="0.3">
      <c r="C66" s="85" t="s">
        <v>415</v>
      </c>
      <c r="D66" s="86">
        <v>50</v>
      </c>
      <c r="E66" s="44">
        <v>130</v>
      </c>
      <c r="F66" s="44">
        <f t="shared" si="13"/>
        <v>6.5</v>
      </c>
      <c r="G66" s="44"/>
      <c r="H66" s="6">
        <f t="shared" si="14"/>
        <v>6250</v>
      </c>
      <c r="I66" s="43">
        <f t="shared" si="15"/>
        <v>812.5</v>
      </c>
      <c r="J66" s="6"/>
      <c r="K66" s="75"/>
    </row>
    <row r="67" spans="2:11" ht="15.6" x14ac:dyDescent="0.3">
      <c r="C67" s="85" t="s">
        <v>59</v>
      </c>
      <c r="D67" s="86">
        <v>30</v>
      </c>
      <c r="E67" s="44">
        <v>8</v>
      </c>
      <c r="F67" s="44">
        <f t="shared" si="13"/>
        <v>0.24</v>
      </c>
      <c r="G67" s="44"/>
      <c r="H67" s="6">
        <f t="shared" si="14"/>
        <v>3750</v>
      </c>
      <c r="I67" s="43">
        <f t="shared" si="15"/>
        <v>30</v>
      </c>
      <c r="J67" s="6"/>
      <c r="K67" s="75"/>
    </row>
    <row r="68" spans="2:11" ht="15.6" x14ac:dyDescent="0.3">
      <c r="C68" s="85" t="s">
        <v>509</v>
      </c>
      <c r="D68" s="86">
        <v>10</v>
      </c>
      <c r="E68" s="44">
        <v>22</v>
      </c>
      <c r="F68" s="44">
        <f t="shared" si="13"/>
        <v>0.21999999999999997</v>
      </c>
      <c r="G68" s="44"/>
      <c r="H68" s="6">
        <f t="shared" si="14"/>
        <v>1250</v>
      </c>
      <c r="I68" s="43">
        <f t="shared" si="15"/>
        <v>27.5</v>
      </c>
      <c r="J68" s="6"/>
      <c r="K68" s="75"/>
    </row>
    <row r="69" spans="2:11" ht="15.6" x14ac:dyDescent="0.3">
      <c r="C69" s="85" t="s">
        <v>510</v>
      </c>
      <c r="D69" s="86">
        <v>5</v>
      </c>
      <c r="E69" s="44">
        <v>262</v>
      </c>
      <c r="F69" s="44">
        <f t="shared" si="13"/>
        <v>1.31</v>
      </c>
      <c r="G69" s="44"/>
      <c r="H69" s="6">
        <f t="shared" si="14"/>
        <v>625</v>
      </c>
      <c r="I69" s="43">
        <f t="shared" si="15"/>
        <v>163.75</v>
      </c>
      <c r="J69" s="6"/>
      <c r="K69" s="75"/>
    </row>
    <row r="70" spans="2:11" ht="15.6" x14ac:dyDescent="0.3">
      <c r="C70" s="85" t="s">
        <v>48</v>
      </c>
      <c r="D70" s="86">
        <v>3</v>
      </c>
      <c r="E70" s="44">
        <v>50</v>
      </c>
      <c r="F70" s="44">
        <f t="shared" si="13"/>
        <v>0.15000000000000002</v>
      </c>
      <c r="G70" s="44"/>
      <c r="H70" s="6">
        <f t="shared" si="14"/>
        <v>375</v>
      </c>
      <c r="I70" s="43"/>
      <c r="J70" s="6"/>
      <c r="K70" s="75"/>
    </row>
    <row r="71" spans="2:11" ht="15.6" x14ac:dyDescent="0.3">
      <c r="C71" s="41" t="s">
        <v>232</v>
      </c>
      <c r="D71" s="42">
        <v>657</v>
      </c>
      <c r="E71" s="44">
        <v>0.6</v>
      </c>
      <c r="F71" s="44">
        <f t="shared" si="13"/>
        <v>0.39419999999999994</v>
      </c>
      <c r="G71" s="44"/>
      <c r="H71" s="6">
        <f t="shared" si="14"/>
        <v>82125</v>
      </c>
      <c r="I71" s="43">
        <f>(E71/1000)*H71</f>
        <v>49.274999999999999</v>
      </c>
      <c r="J71" s="6"/>
      <c r="K71" s="10" t="s">
        <v>7</v>
      </c>
    </row>
    <row r="72" spans="2:11" x14ac:dyDescent="0.3">
      <c r="D72" s="50">
        <f>SUM(D60:D71)</f>
        <v>1000</v>
      </c>
      <c r="E72" s="51"/>
      <c r="F72" s="52">
        <f>SUM(F60:F71)</f>
        <v>27.874199999999995</v>
      </c>
      <c r="G72" s="52"/>
      <c r="H72" s="50">
        <f>SUM(H60:H71)</f>
        <v>125000</v>
      </c>
      <c r="I72" s="53">
        <f>SUM(I60:I71)</f>
        <v>3300.5250000000001</v>
      </c>
      <c r="J72" s="54"/>
    </row>
    <row r="75" spans="2:11" ht="23.4" x14ac:dyDescent="0.45">
      <c r="C75" s="175" t="s">
        <v>512</v>
      </c>
      <c r="D75" s="175"/>
      <c r="E75" s="175"/>
      <c r="F75" s="175"/>
      <c r="G75" s="175"/>
      <c r="H75" s="175"/>
      <c r="I75" s="175"/>
      <c r="J75" s="175"/>
      <c r="K75" s="175"/>
    </row>
    <row r="76" spans="2:11" ht="46.8" x14ac:dyDescent="0.3">
      <c r="B76" s="1">
        <v>3</v>
      </c>
      <c r="C76" s="2" t="s">
        <v>0</v>
      </c>
      <c r="D76" s="3" t="s">
        <v>1</v>
      </c>
      <c r="E76" s="3" t="s">
        <v>90</v>
      </c>
      <c r="F76" s="3" t="s">
        <v>152</v>
      </c>
      <c r="G76" s="3"/>
      <c r="H76" s="3" t="s">
        <v>294</v>
      </c>
      <c r="I76" s="3" t="s">
        <v>253</v>
      </c>
      <c r="J76" s="3"/>
      <c r="K76" s="40"/>
    </row>
    <row r="77" spans="2:11" ht="15.6" x14ac:dyDescent="0.3">
      <c r="C77" s="41" t="s">
        <v>505</v>
      </c>
      <c r="D77" s="42">
        <v>70</v>
      </c>
      <c r="E77" s="7">
        <v>20</v>
      </c>
      <c r="F77" s="7">
        <f t="shared" ref="F77:F86" si="16">(E77/1000)*D77</f>
        <v>1.4000000000000001</v>
      </c>
      <c r="G77" s="7"/>
      <c r="H77" s="6">
        <f t="shared" ref="H77:H86" si="17">(D77*125)</f>
        <v>8750</v>
      </c>
      <c r="I77" s="6">
        <f>(E77/2)</f>
        <v>10</v>
      </c>
      <c r="J77" s="6"/>
      <c r="K77" s="10" t="s">
        <v>7</v>
      </c>
    </row>
    <row r="78" spans="2:11" ht="15.6" x14ac:dyDescent="0.3">
      <c r="C78" s="41" t="s">
        <v>276</v>
      </c>
      <c r="D78" s="42">
        <v>70</v>
      </c>
      <c r="E78" s="44">
        <v>22</v>
      </c>
      <c r="F78" s="44">
        <f t="shared" si="16"/>
        <v>1.5399999999999998</v>
      </c>
      <c r="G78" s="44"/>
      <c r="H78" s="6">
        <f t="shared" si="17"/>
        <v>8750</v>
      </c>
      <c r="I78" s="43">
        <f t="shared" ref="I78:I84" si="18">(E78/1000)*H78</f>
        <v>192.5</v>
      </c>
      <c r="J78" s="6"/>
      <c r="K78" s="10" t="s">
        <v>7</v>
      </c>
    </row>
    <row r="79" spans="2:11" ht="15.6" x14ac:dyDescent="0.3">
      <c r="C79" s="41" t="s">
        <v>506</v>
      </c>
      <c r="D79" s="42">
        <v>15</v>
      </c>
      <c r="E79" s="44">
        <v>185</v>
      </c>
      <c r="F79" s="44">
        <f t="shared" si="16"/>
        <v>2.7749999999999999</v>
      </c>
      <c r="G79" s="44"/>
      <c r="H79" s="6">
        <f t="shared" si="17"/>
        <v>1875</v>
      </c>
      <c r="I79" s="43">
        <f t="shared" si="18"/>
        <v>346.875</v>
      </c>
      <c r="J79" s="6"/>
      <c r="K79" s="10" t="s">
        <v>7</v>
      </c>
    </row>
    <row r="80" spans="2:11" ht="15.6" x14ac:dyDescent="0.3">
      <c r="C80" s="41" t="s">
        <v>240</v>
      </c>
      <c r="D80" s="14">
        <v>1</v>
      </c>
      <c r="E80" s="44">
        <v>370</v>
      </c>
      <c r="F80" s="44">
        <f t="shared" si="16"/>
        <v>0.37</v>
      </c>
      <c r="G80" s="44"/>
      <c r="H80" s="6">
        <f t="shared" si="17"/>
        <v>125</v>
      </c>
      <c r="I80" s="43">
        <f t="shared" si="18"/>
        <v>46.25</v>
      </c>
      <c r="J80" s="6"/>
      <c r="K80" s="10" t="s">
        <v>7</v>
      </c>
    </row>
    <row r="81" spans="2:11" ht="15.6" x14ac:dyDescent="0.3">
      <c r="C81" s="85" t="s">
        <v>507</v>
      </c>
      <c r="D81" s="86">
        <v>15</v>
      </c>
      <c r="E81" s="44">
        <v>124</v>
      </c>
      <c r="F81" s="44">
        <f t="shared" si="16"/>
        <v>1.8599999999999999</v>
      </c>
      <c r="G81" s="44"/>
      <c r="H81" s="6">
        <f t="shared" si="17"/>
        <v>1875</v>
      </c>
      <c r="I81" s="43">
        <f t="shared" si="18"/>
        <v>232.5</v>
      </c>
      <c r="J81" s="6"/>
      <c r="K81" s="75" t="s">
        <v>7</v>
      </c>
    </row>
    <row r="82" spans="2:11" ht="15.6" x14ac:dyDescent="0.3">
      <c r="C82" s="85" t="s">
        <v>508</v>
      </c>
      <c r="D82" s="86">
        <v>20</v>
      </c>
      <c r="E82" s="44">
        <v>125</v>
      </c>
      <c r="F82" s="44">
        <f t="shared" si="16"/>
        <v>2.5</v>
      </c>
      <c r="G82" s="44"/>
      <c r="H82" s="6">
        <f t="shared" si="17"/>
        <v>2500</v>
      </c>
      <c r="I82" s="43">
        <f t="shared" si="18"/>
        <v>312.5</v>
      </c>
      <c r="J82" s="6"/>
      <c r="K82" s="75"/>
    </row>
    <row r="83" spans="2:11" ht="15.6" x14ac:dyDescent="0.3">
      <c r="C83" s="85" t="s">
        <v>415</v>
      </c>
      <c r="D83" s="86">
        <v>20</v>
      </c>
      <c r="E83" s="44">
        <v>130</v>
      </c>
      <c r="F83" s="44">
        <f t="shared" si="16"/>
        <v>2.6</v>
      </c>
      <c r="G83" s="44"/>
      <c r="H83" s="6">
        <f t="shared" si="17"/>
        <v>2500</v>
      </c>
      <c r="I83" s="43">
        <f t="shared" si="18"/>
        <v>325</v>
      </c>
      <c r="J83" s="6"/>
      <c r="K83" s="75"/>
    </row>
    <row r="84" spans="2:11" ht="15.6" x14ac:dyDescent="0.3">
      <c r="C84" s="85" t="s">
        <v>59</v>
      </c>
      <c r="D84" s="86">
        <v>20</v>
      </c>
      <c r="E84" s="44">
        <v>8</v>
      </c>
      <c r="F84" s="44">
        <f t="shared" si="16"/>
        <v>0.16</v>
      </c>
      <c r="G84" s="44"/>
      <c r="H84" s="6">
        <f t="shared" si="17"/>
        <v>2500</v>
      </c>
      <c r="I84" s="43">
        <f t="shared" si="18"/>
        <v>20</v>
      </c>
      <c r="J84" s="6"/>
      <c r="K84" s="75"/>
    </row>
    <row r="85" spans="2:11" ht="15.6" x14ac:dyDescent="0.3">
      <c r="C85" s="85" t="s">
        <v>48</v>
      </c>
      <c r="D85" s="86">
        <v>2</v>
      </c>
      <c r="E85" s="44">
        <v>50</v>
      </c>
      <c r="F85" s="44">
        <f t="shared" si="16"/>
        <v>0.1</v>
      </c>
      <c r="G85" s="44"/>
      <c r="H85" s="6">
        <f t="shared" si="17"/>
        <v>250</v>
      </c>
      <c r="I85" s="43"/>
      <c r="J85" s="6"/>
      <c r="K85" s="75"/>
    </row>
    <row r="86" spans="2:11" ht="15.6" x14ac:dyDescent="0.3">
      <c r="C86" s="41" t="s">
        <v>232</v>
      </c>
      <c r="D86" s="42">
        <v>767</v>
      </c>
      <c r="E86" s="44">
        <v>0.6</v>
      </c>
      <c r="F86" s="44">
        <f t="shared" si="16"/>
        <v>0.46019999999999994</v>
      </c>
      <c r="G86" s="44"/>
      <c r="H86" s="6">
        <f t="shared" si="17"/>
        <v>95875</v>
      </c>
      <c r="I86" s="43">
        <f>(E86/1000)*H86</f>
        <v>57.524999999999991</v>
      </c>
      <c r="J86" s="6"/>
      <c r="K86" s="10" t="s">
        <v>7</v>
      </c>
    </row>
    <row r="87" spans="2:11" x14ac:dyDescent="0.3">
      <c r="D87" s="50">
        <f>SUM(D77:D86)</f>
        <v>1000</v>
      </c>
      <c r="E87" s="51"/>
      <c r="F87" s="52">
        <f>SUM(F77:F86)</f>
        <v>13.7652</v>
      </c>
      <c r="G87" s="52"/>
      <c r="H87" s="50">
        <f>SUM(H77:H86)</f>
        <v>125000</v>
      </c>
      <c r="I87" s="53">
        <f>SUM(I77:I86)</f>
        <v>1543.15</v>
      </c>
      <c r="J87" s="54"/>
    </row>
    <row r="90" spans="2:11" ht="23.4" x14ac:dyDescent="0.45">
      <c r="C90" s="172" t="s">
        <v>557</v>
      </c>
      <c r="D90" s="173"/>
      <c r="E90" s="173"/>
      <c r="F90" s="173"/>
      <c r="G90" s="173"/>
      <c r="H90" s="173"/>
      <c r="I90" s="174"/>
    </row>
    <row r="91" spans="2:11" ht="46.8" x14ac:dyDescent="0.3">
      <c r="B91" s="1">
        <v>27</v>
      </c>
      <c r="C91" s="2" t="s">
        <v>0</v>
      </c>
      <c r="D91" s="3" t="s">
        <v>1</v>
      </c>
      <c r="E91" s="3" t="s">
        <v>90</v>
      </c>
      <c r="F91" s="3" t="s">
        <v>152</v>
      </c>
      <c r="G91" s="3" t="s">
        <v>155</v>
      </c>
      <c r="H91" s="4" t="s">
        <v>281</v>
      </c>
      <c r="I91" s="3" t="s">
        <v>540</v>
      </c>
    </row>
    <row r="92" spans="2:11" ht="15.6" x14ac:dyDescent="0.3">
      <c r="C92" s="41" t="s">
        <v>73</v>
      </c>
      <c r="D92" s="42">
        <v>2</v>
      </c>
      <c r="E92" s="7">
        <v>18</v>
      </c>
      <c r="F92" s="7">
        <f>(E92/1000)*D92</f>
        <v>3.5999999999999997E-2</v>
      </c>
      <c r="G92" s="6">
        <f>(D92*50)</f>
        <v>100</v>
      </c>
      <c r="H92" s="6">
        <f>D92*25</f>
        <v>50</v>
      </c>
      <c r="I92" s="6">
        <f>(D92*100)</f>
        <v>200</v>
      </c>
    </row>
    <row r="93" spans="2:11" ht="15.6" x14ac:dyDescent="0.3">
      <c r="C93" s="41" t="s">
        <v>157</v>
      </c>
      <c r="D93" s="42">
        <v>10</v>
      </c>
      <c r="E93" s="44">
        <v>180</v>
      </c>
      <c r="F93" s="7">
        <f t="shared" ref="F93:F104" si="19">(E93/1000)*D93</f>
        <v>1.7999999999999998</v>
      </c>
      <c r="G93" s="6">
        <f t="shared" ref="G93:G104" si="20">(D93*50)</f>
        <v>500</v>
      </c>
      <c r="H93" s="6">
        <f t="shared" ref="H93:H104" si="21">D93*25</f>
        <v>250</v>
      </c>
      <c r="I93" s="6">
        <f t="shared" ref="I93:I104" si="22">(D93*100)</f>
        <v>1000</v>
      </c>
    </row>
    <row r="94" spans="2:11" ht="15.6" x14ac:dyDescent="0.3">
      <c r="C94" s="41" t="s">
        <v>67</v>
      </c>
      <c r="D94" s="42">
        <v>80</v>
      </c>
      <c r="E94" s="44">
        <v>24</v>
      </c>
      <c r="F94" s="7">
        <f t="shared" si="19"/>
        <v>1.92</v>
      </c>
      <c r="G94" s="6">
        <f t="shared" si="20"/>
        <v>4000</v>
      </c>
      <c r="H94" s="6">
        <f t="shared" si="21"/>
        <v>2000</v>
      </c>
      <c r="I94" s="6">
        <f t="shared" si="22"/>
        <v>8000</v>
      </c>
    </row>
    <row r="95" spans="2:11" ht="15.6" x14ac:dyDescent="0.3">
      <c r="C95" s="41" t="s">
        <v>68</v>
      </c>
      <c r="D95" s="42">
        <v>80</v>
      </c>
      <c r="E95" s="44">
        <v>25</v>
      </c>
      <c r="F95" s="7">
        <f t="shared" si="19"/>
        <v>2</v>
      </c>
      <c r="G95" s="6">
        <f t="shared" si="20"/>
        <v>4000</v>
      </c>
      <c r="H95" s="6">
        <f t="shared" si="21"/>
        <v>2000</v>
      </c>
      <c r="I95" s="6">
        <f t="shared" si="22"/>
        <v>8000</v>
      </c>
    </row>
    <row r="96" spans="2:11" ht="15.6" x14ac:dyDescent="0.3">
      <c r="C96" s="41" t="s">
        <v>35</v>
      </c>
      <c r="D96" s="42">
        <v>10</v>
      </c>
      <c r="E96" s="44">
        <v>200</v>
      </c>
      <c r="F96" s="7">
        <f t="shared" si="19"/>
        <v>2</v>
      </c>
      <c r="G96" s="6">
        <f t="shared" si="20"/>
        <v>500</v>
      </c>
      <c r="H96" s="6">
        <f t="shared" si="21"/>
        <v>250</v>
      </c>
      <c r="I96" s="6">
        <f t="shared" si="22"/>
        <v>1000</v>
      </c>
    </row>
    <row r="97" spans="2:9" ht="15.6" x14ac:dyDescent="0.3">
      <c r="C97" s="41" t="s">
        <v>282</v>
      </c>
      <c r="D97" s="42">
        <v>5</v>
      </c>
      <c r="E97" s="44">
        <v>390</v>
      </c>
      <c r="F97" s="7">
        <f t="shared" si="19"/>
        <v>1.9500000000000002</v>
      </c>
      <c r="G97" s="6">
        <f t="shared" si="20"/>
        <v>250</v>
      </c>
      <c r="H97" s="6">
        <f t="shared" si="21"/>
        <v>125</v>
      </c>
      <c r="I97" s="6">
        <f t="shared" si="22"/>
        <v>500</v>
      </c>
    </row>
    <row r="98" spans="2:9" ht="15.6" x14ac:dyDescent="0.3">
      <c r="C98" s="41" t="s">
        <v>506</v>
      </c>
      <c r="D98" s="42">
        <v>5</v>
      </c>
      <c r="E98" s="44">
        <v>185</v>
      </c>
      <c r="F98" s="7">
        <f t="shared" si="19"/>
        <v>0.92500000000000004</v>
      </c>
      <c r="G98" s="6">
        <f t="shared" si="20"/>
        <v>250</v>
      </c>
      <c r="H98" s="6">
        <f t="shared" si="21"/>
        <v>125</v>
      </c>
      <c r="I98" s="6">
        <f t="shared" si="22"/>
        <v>500</v>
      </c>
    </row>
    <row r="99" spans="2:9" ht="15.6" x14ac:dyDescent="0.3">
      <c r="C99" s="41" t="s">
        <v>240</v>
      </c>
      <c r="D99" s="42">
        <v>1</v>
      </c>
      <c r="E99" s="44">
        <v>370</v>
      </c>
      <c r="F99" s="7">
        <f t="shared" si="19"/>
        <v>0.37</v>
      </c>
      <c r="G99" s="6">
        <f t="shared" si="20"/>
        <v>50</v>
      </c>
      <c r="H99" s="6">
        <f t="shared" si="21"/>
        <v>25</v>
      </c>
      <c r="I99" s="6">
        <f t="shared" si="22"/>
        <v>100</v>
      </c>
    </row>
    <row r="100" spans="2:9" ht="15.6" x14ac:dyDescent="0.3">
      <c r="C100" s="85" t="s">
        <v>507</v>
      </c>
      <c r="D100" s="42">
        <v>5</v>
      </c>
      <c r="E100" s="44">
        <v>124</v>
      </c>
      <c r="F100" s="7">
        <f t="shared" si="19"/>
        <v>0.62</v>
      </c>
      <c r="G100" s="6">
        <f t="shared" si="20"/>
        <v>250</v>
      </c>
      <c r="H100" s="6">
        <f t="shared" si="21"/>
        <v>125</v>
      </c>
      <c r="I100" s="6">
        <f t="shared" si="22"/>
        <v>500</v>
      </c>
    </row>
    <row r="101" spans="2:9" ht="15.6" x14ac:dyDescent="0.3">
      <c r="C101" s="85" t="s">
        <v>508</v>
      </c>
      <c r="D101" s="42">
        <v>3</v>
      </c>
      <c r="E101" s="44">
        <v>125</v>
      </c>
      <c r="F101" s="7">
        <f t="shared" si="19"/>
        <v>0.375</v>
      </c>
      <c r="G101" s="6">
        <f t="shared" si="20"/>
        <v>150</v>
      </c>
      <c r="H101" s="6">
        <f t="shared" si="21"/>
        <v>75</v>
      </c>
      <c r="I101" s="6">
        <f t="shared" si="22"/>
        <v>300</v>
      </c>
    </row>
    <row r="102" spans="2:9" ht="15.6" x14ac:dyDescent="0.3">
      <c r="C102" s="85" t="s">
        <v>415</v>
      </c>
      <c r="D102" s="42">
        <v>5</v>
      </c>
      <c r="E102" s="44">
        <v>130</v>
      </c>
      <c r="F102" s="7">
        <f t="shared" si="19"/>
        <v>0.65</v>
      </c>
      <c r="G102" s="6">
        <f t="shared" si="20"/>
        <v>250</v>
      </c>
      <c r="H102" s="6">
        <f t="shared" si="21"/>
        <v>125</v>
      </c>
      <c r="I102" s="6">
        <f t="shared" si="22"/>
        <v>500</v>
      </c>
    </row>
    <row r="103" spans="2:9" ht="15.6" x14ac:dyDescent="0.3">
      <c r="C103" s="85" t="s">
        <v>48</v>
      </c>
      <c r="D103" s="42">
        <v>2</v>
      </c>
      <c r="E103" s="44">
        <v>50</v>
      </c>
      <c r="F103" s="7">
        <f t="shared" si="19"/>
        <v>0.1</v>
      </c>
      <c r="G103" s="6">
        <f t="shared" si="20"/>
        <v>100</v>
      </c>
      <c r="H103" s="6">
        <f t="shared" si="21"/>
        <v>50</v>
      </c>
      <c r="I103" s="6">
        <f t="shared" si="22"/>
        <v>200</v>
      </c>
    </row>
    <row r="104" spans="2:9" ht="15.6" x14ac:dyDescent="0.3">
      <c r="C104" s="41" t="s">
        <v>16</v>
      </c>
      <c r="D104" s="42">
        <v>833</v>
      </c>
      <c r="E104" s="44">
        <v>0.6</v>
      </c>
      <c r="F104" s="7">
        <f t="shared" si="19"/>
        <v>0.49979999999999997</v>
      </c>
      <c r="G104" s="6">
        <f t="shared" si="20"/>
        <v>41650</v>
      </c>
      <c r="H104" s="6">
        <f t="shared" si="21"/>
        <v>20825</v>
      </c>
      <c r="I104" s="6">
        <f t="shared" si="22"/>
        <v>83300</v>
      </c>
    </row>
    <row r="105" spans="2:9" x14ac:dyDescent="0.3">
      <c r="D105" s="50">
        <f>SUM(D92:D104)</f>
        <v>1041</v>
      </c>
      <c r="E105" s="51"/>
      <c r="F105" s="52">
        <f>SUM(F92:F104)</f>
        <v>13.245799999999999</v>
      </c>
      <c r="G105" s="50">
        <f>SUM(G92:G104)</f>
        <v>52050</v>
      </c>
      <c r="H105" s="155">
        <f>SUM(H92:H104)</f>
        <v>26025</v>
      </c>
      <c r="I105" s="50">
        <f>SUM(I92:I104)</f>
        <v>104100</v>
      </c>
    </row>
    <row r="108" spans="2:9" ht="23.4" x14ac:dyDescent="0.45">
      <c r="C108" s="172" t="s">
        <v>629</v>
      </c>
      <c r="D108" s="173"/>
      <c r="E108" s="173"/>
      <c r="F108" s="173"/>
      <c r="G108" s="173"/>
      <c r="H108" s="173"/>
      <c r="I108" s="174"/>
    </row>
    <row r="109" spans="2:9" ht="46.8" x14ac:dyDescent="0.3">
      <c r="B109" s="1">
        <v>27</v>
      </c>
      <c r="C109" s="2" t="s">
        <v>0</v>
      </c>
      <c r="D109" s="3" t="s">
        <v>1</v>
      </c>
      <c r="E109" s="3" t="s">
        <v>90</v>
      </c>
      <c r="F109" s="3" t="s">
        <v>152</v>
      </c>
      <c r="G109" s="3" t="s">
        <v>280</v>
      </c>
      <c r="H109" s="3" t="s">
        <v>155</v>
      </c>
      <c r="I109" s="3" t="s">
        <v>540</v>
      </c>
    </row>
    <row r="110" spans="2:9" ht="15.6" x14ac:dyDescent="0.3">
      <c r="C110" s="41" t="s">
        <v>701</v>
      </c>
      <c r="D110" s="42">
        <v>2.5</v>
      </c>
      <c r="E110" s="44"/>
      <c r="F110" s="7"/>
      <c r="G110" s="6">
        <f>(D110*100)</f>
        <v>250</v>
      </c>
      <c r="H110" s="6">
        <f>(D110*50)</f>
        <v>125</v>
      </c>
      <c r="I110" s="6"/>
    </row>
    <row r="111" spans="2:9" ht="15.6" x14ac:dyDescent="0.3">
      <c r="C111" s="41" t="s">
        <v>157</v>
      </c>
      <c r="D111" s="42">
        <v>10</v>
      </c>
      <c r="E111" s="44">
        <v>180</v>
      </c>
      <c r="F111" s="7">
        <f t="shared" ref="F111:F116" si="23">(E111/1000)*D111</f>
        <v>1.7999999999999998</v>
      </c>
      <c r="G111" s="6">
        <f>(D111*100)</f>
        <v>1000</v>
      </c>
      <c r="H111" s="6">
        <f t="shared" ref="H111:H116" si="24">(D111*50)</f>
        <v>500</v>
      </c>
      <c r="I111" s="6">
        <f t="shared" ref="I111:I116" si="25">(D111*100)</f>
        <v>1000</v>
      </c>
    </row>
    <row r="112" spans="2:9" ht="15.6" x14ac:dyDescent="0.3">
      <c r="C112" s="41" t="s">
        <v>67</v>
      </c>
      <c r="D112" s="42">
        <v>70</v>
      </c>
      <c r="E112" s="44">
        <v>24</v>
      </c>
      <c r="F112" s="7">
        <f t="shared" si="23"/>
        <v>1.68</v>
      </c>
      <c r="G112" s="6">
        <f t="shared" ref="G112:G116" si="26">(D112*100)</f>
        <v>7000</v>
      </c>
      <c r="H112" s="6">
        <f t="shared" si="24"/>
        <v>3500</v>
      </c>
      <c r="I112" s="6">
        <f t="shared" si="25"/>
        <v>7000</v>
      </c>
    </row>
    <row r="113" spans="2:9" ht="15.6" x14ac:dyDescent="0.3">
      <c r="C113" s="41" t="s">
        <v>68</v>
      </c>
      <c r="D113" s="42">
        <v>70</v>
      </c>
      <c r="E113" s="44">
        <v>25</v>
      </c>
      <c r="F113" s="7">
        <f t="shared" si="23"/>
        <v>1.75</v>
      </c>
      <c r="G113" s="6">
        <f t="shared" si="26"/>
        <v>7000</v>
      </c>
      <c r="H113" s="6">
        <f t="shared" si="24"/>
        <v>3500</v>
      </c>
      <c r="I113" s="6">
        <f t="shared" si="25"/>
        <v>7000</v>
      </c>
    </row>
    <row r="114" spans="2:9" ht="15.6" x14ac:dyDescent="0.3">
      <c r="C114" s="41" t="s">
        <v>35</v>
      </c>
      <c r="D114" s="42">
        <v>10</v>
      </c>
      <c r="E114" s="44">
        <v>200</v>
      </c>
      <c r="F114" s="7">
        <f t="shared" si="23"/>
        <v>2</v>
      </c>
      <c r="G114" s="6">
        <f>(D114*100)</f>
        <v>1000</v>
      </c>
      <c r="H114" s="6">
        <f t="shared" si="24"/>
        <v>500</v>
      </c>
      <c r="I114" s="6">
        <f t="shared" si="25"/>
        <v>1000</v>
      </c>
    </row>
    <row r="115" spans="2:9" ht="15.6" x14ac:dyDescent="0.3">
      <c r="C115" s="41" t="s">
        <v>282</v>
      </c>
      <c r="D115" s="42">
        <v>2</v>
      </c>
      <c r="E115" s="44">
        <v>390</v>
      </c>
      <c r="F115" s="7">
        <f t="shared" si="23"/>
        <v>0.78</v>
      </c>
      <c r="G115" s="6">
        <f t="shared" si="26"/>
        <v>200</v>
      </c>
      <c r="H115" s="6">
        <f t="shared" si="24"/>
        <v>100</v>
      </c>
      <c r="I115" s="6">
        <f t="shared" si="25"/>
        <v>200</v>
      </c>
    </row>
    <row r="116" spans="2:9" ht="15.6" x14ac:dyDescent="0.3">
      <c r="C116" s="41" t="s">
        <v>16</v>
      </c>
      <c r="D116" s="42">
        <v>836</v>
      </c>
      <c r="E116" s="44">
        <v>0.6</v>
      </c>
      <c r="F116" s="7">
        <f t="shared" si="23"/>
        <v>0.50159999999999993</v>
      </c>
      <c r="G116" s="6">
        <f t="shared" si="26"/>
        <v>83600</v>
      </c>
      <c r="H116" s="6">
        <f t="shared" si="24"/>
        <v>41800</v>
      </c>
      <c r="I116" s="6">
        <f t="shared" si="25"/>
        <v>83600</v>
      </c>
    </row>
    <row r="117" spans="2:9" x14ac:dyDescent="0.3">
      <c r="D117" s="50">
        <f>SUM(D110:D116)</f>
        <v>1000.5</v>
      </c>
      <c r="E117" s="51"/>
      <c r="F117" s="52">
        <f>SUM(F110:F116)</f>
        <v>8.5115999999999996</v>
      </c>
      <c r="G117" s="50">
        <f>SUM(G110:G116)</f>
        <v>100050</v>
      </c>
      <c r="H117" s="155">
        <f>SUM(H110:H116)</f>
        <v>50025</v>
      </c>
      <c r="I117" s="50">
        <f>SUM(I110:I116)</f>
        <v>99800</v>
      </c>
    </row>
    <row r="120" spans="2:9" ht="23.4" x14ac:dyDescent="0.45">
      <c r="C120" s="172" t="s">
        <v>884</v>
      </c>
      <c r="D120" s="173"/>
      <c r="E120" s="173"/>
      <c r="F120" s="173"/>
      <c r="G120" s="173"/>
      <c r="H120" s="173"/>
      <c r="I120" s="174"/>
    </row>
    <row r="121" spans="2:9" ht="46.8" x14ac:dyDescent="0.3">
      <c r="B121" s="1">
        <v>27</v>
      </c>
      <c r="C121" s="2" t="s">
        <v>0</v>
      </c>
      <c r="D121" s="3" t="s">
        <v>1</v>
      </c>
      <c r="E121" s="3" t="s">
        <v>90</v>
      </c>
      <c r="F121" s="3" t="s">
        <v>152</v>
      </c>
      <c r="G121" s="3" t="s">
        <v>280</v>
      </c>
      <c r="H121" s="3" t="s">
        <v>155</v>
      </c>
      <c r="I121" s="3" t="s">
        <v>540</v>
      </c>
    </row>
    <row r="122" spans="2:9" ht="15.6" x14ac:dyDescent="0.3">
      <c r="C122" s="41" t="s">
        <v>788</v>
      </c>
      <c r="D122" s="42">
        <v>714</v>
      </c>
      <c r="E122" s="44">
        <v>1.6</v>
      </c>
      <c r="F122" s="7">
        <f t="shared" ref="F122:F129" si="27">(E122/1000)*D122</f>
        <v>1.1424000000000001</v>
      </c>
      <c r="G122" s="6">
        <f>+D122*27</f>
        <v>19278</v>
      </c>
      <c r="H122" s="6"/>
      <c r="I122" s="6"/>
    </row>
    <row r="123" spans="2:9" ht="15.6" x14ac:dyDescent="0.3">
      <c r="C123" s="41" t="s">
        <v>59</v>
      </c>
      <c r="D123" s="42">
        <v>30</v>
      </c>
      <c r="E123" s="44">
        <v>10</v>
      </c>
      <c r="F123" s="7">
        <f t="shared" si="27"/>
        <v>0.3</v>
      </c>
      <c r="G123" s="6">
        <f t="shared" ref="G123:G138" si="28">+D123*27</f>
        <v>810</v>
      </c>
      <c r="H123" s="6"/>
      <c r="I123" s="6"/>
    </row>
    <row r="124" spans="2:9" ht="15.6" x14ac:dyDescent="0.3">
      <c r="C124" s="41" t="s">
        <v>163</v>
      </c>
      <c r="D124" s="42">
        <v>30</v>
      </c>
      <c r="E124" s="44">
        <v>25</v>
      </c>
      <c r="F124" s="7">
        <f t="shared" si="27"/>
        <v>0.75</v>
      </c>
      <c r="G124" s="6">
        <f t="shared" si="28"/>
        <v>810</v>
      </c>
      <c r="H124" s="6"/>
      <c r="I124" s="6"/>
    </row>
    <row r="125" spans="2:9" ht="15.6" x14ac:dyDescent="0.3">
      <c r="C125" s="41" t="s">
        <v>275</v>
      </c>
      <c r="D125" s="42">
        <v>70</v>
      </c>
      <c r="E125" s="44">
        <v>25</v>
      </c>
      <c r="F125" s="7">
        <f t="shared" si="27"/>
        <v>1.75</v>
      </c>
      <c r="G125" s="6">
        <f t="shared" si="28"/>
        <v>1890</v>
      </c>
      <c r="H125" s="6"/>
      <c r="I125" s="6"/>
    </row>
    <row r="126" spans="2:9" ht="15.6" x14ac:dyDescent="0.3">
      <c r="C126" s="41" t="s">
        <v>68</v>
      </c>
      <c r="D126" s="42">
        <v>70</v>
      </c>
      <c r="E126" s="44">
        <v>25</v>
      </c>
      <c r="F126" s="7">
        <f t="shared" si="27"/>
        <v>1.75</v>
      </c>
      <c r="G126" s="6">
        <f t="shared" si="28"/>
        <v>1890</v>
      </c>
      <c r="H126" s="6"/>
      <c r="I126" s="6"/>
    </row>
    <row r="127" spans="2:9" ht="15.6" x14ac:dyDescent="0.3">
      <c r="C127" s="41" t="s">
        <v>791</v>
      </c>
      <c r="D127" s="42">
        <v>10</v>
      </c>
      <c r="E127" s="44">
        <v>25</v>
      </c>
      <c r="F127" s="7">
        <f t="shared" si="27"/>
        <v>0.25</v>
      </c>
      <c r="G127" s="6">
        <f t="shared" si="28"/>
        <v>270</v>
      </c>
      <c r="H127" s="6"/>
      <c r="I127" s="6"/>
    </row>
    <row r="128" spans="2:9" ht="15.6" x14ac:dyDescent="0.3">
      <c r="C128" s="41" t="s">
        <v>790</v>
      </c>
      <c r="D128" s="42">
        <v>15</v>
      </c>
      <c r="E128" s="44">
        <v>75</v>
      </c>
      <c r="F128" s="7">
        <f t="shared" si="27"/>
        <v>1.125</v>
      </c>
      <c r="G128" s="6">
        <f t="shared" si="28"/>
        <v>405</v>
      </c>
      <c r="H128" s="6"/>
      <c r="I128" s="6"/>
    </row>
    <row r="129" spans="2:9" ht="15.6" x14ac:dyDescent="0.3">
      <c r="C129" s="41" t="s">
        <v>435</v>
      </c>
      <c r="D129" s="42">
        <v>15</v>
      </c>
      <c r="E129" s="44">
        <v>124</v>
      </c>
      <c r="F129" s="7">
        <f t="shared" si="27"/>
        <v>1.8599999999999999</v>
      </c>
      <c r="G129" s="6">
        <f t="shared" si="28"/>
        <v>405</v>
      </c>
      <c r="H129" s="6"/>
      <c r="I129" s="6"/>
    </row>
    <row r="130" spans="2:9" ht="15.6" x14ac:dyDescent="0.3">
      <c r="C130" s="41" t="s">
        <v>789</v>
      </c>
      <c r="D130" s="42">
        <v>15</v>
      </c>
      <c r="E130" s="44">
        <v>124</v>
      </c>
      <c r="F130" s="7">
        <f t="shared" ref="F130:F138" si="29">(E130/1000)*D130</f>
        <v>1.8599999999999999</v>
      </c>
      <c r="G130" s="6">
        <f t="shared" si="28"/>
        <v>405</v>
      </c>
      <c r="H130" s="6">
        <f t="shared" ref="H130:H138" si="30">(D130*50)</f>
        <v>750</v>
      </c>
      <c r="I130" s="6">
        <f t="shared" ref="I130:I138" si="31">(D130*100)</f>
        <v>1500</v>
      </c>
    </row>
    <row r="131" spans="2:9" ht="15.6" x14ac:dyDescent="0.3">
      <c r="C131" s="41" t="s">
        <v>426</v>
      </c>
      <c r="D131" s="42">
        <v>15</v>
      </c>
      <c r="E131" s="44">
        <v>124</v>
      </c>
      <c r="F131" s="7">
        <f t="shared" si="29"/>
        <v>1.8599999999999999</v>
      </c>
      <c r="G131" s="6">
        <f t="shared" si="28"/>
        <v>405</v>
      </c>
      <c r="H131" s="6">
        <f t="shared" si="30"/>
        <v>750</v>
      </c>
      <c r="I131" s="6">
        <f t="shared" si="31"/>
        <v>1500</v>
      </c>
    </row>
    <row r="132" spans="2:9" ht="15.6" x14ac:dyDescent="0.3">
      <c r="C132" s="41" t="s">
        <v>244</v>
      </c>
      <c r="D132" s="42">
        <v>5</v>
      </c>
      <c r="E132" s="44">
        <v>75</v>
      </c>
      <c r="F132" s="7">
        <f t="shared" si="29"/>
        <v>0.375</v>
      </c>
      <c r="G132" s="6">
        <f t="shared" si="28"/>
        <v>135</v>
      </c>
      <c r="H132" s="6">
        <f t="shared" si="30"/>
        <v>250</v>
      </c>
      <c r="I132" s="6">
        <f t="shared" si="31"/>
        <v>500</v>
      </c>
    </row>
    <row r="133" spans="2:9" ht="15.6" x14ac:dyDescent="0.3">
      <c r="C133" s="41" t="s">
        <v>35</v>
      </c>
      <c r="D133" s="42">
        <v>3</v>
      </c>
      <c r="E133" s="44">
        <v>200</v>
      </c>
      <c r="F133" s="7">
        <f t="shared" si="29"/>
        <v>0.60000000000000009</v>
      </c>
      <c r="G133" s="6">
        <f t="shared" si="28"/>
        <v>81</v>
      </c>
      <c r="H133" s="6">
        <f t="shared" si="30"/>
        <v>150</v>
      </c>
      <c r="I133" s="6">
        <f t="shared" si="31"/>
        <v>300</v>
      </c>
    </row>
    <row r="134" spans="2:9" ht="15.6" x14ac:dyDescent="0.3">
      <c r="C134" s="41" t="s">
        <v>176</v>
      </c>
      <c r="D134" s="42">
        <v>2</v>
      </c>
      <c r="E134" s="44">
        <v>80</v>
      </c>
      <c r="F134" s="7">
        <f t="shared" si="29"/>
        <v>0.16</v>
      </c>
      <c r="G134" s="6">
        <f t="shared" si="28"/>
        <v>54</v>
      </c>
      <c r="H134" s="6">
        <f t="shared" si="30"/>
        <v>100</v>
      </c>
      <c r="I134" s="6">
        <f t="shared" si="31"/>
        <v>200</v>
      </c>
    </row>
    <row r="135" spans="2:9" ht="15.6" x14ac:dyDescent="0.3">
      <c r="C135" s="41" t="s">
        <v>282</v>
      </c>
      <c r="D135" s="42">
        <v>1</v>
      </c>
      <c r="E135" s="44">
        <v>150</v>
      </c>
      <c r="F135" s="7">
        <f t="shared" si="29"/>
        <v>0.15</v>
      </c>
      <c r="G135" s="6">
        <f t="shared" si="28"/>
        <v>27</v>
      </c>
      <c r="H135" s="6">
        <f t="shared" si="30"/>
        <v>50</v>
      </c>
      <c r="I135" s="6">
        <f t="shared" si="31"/>
        <v>100</v>
      </c>
    </row>
    <row r="136" spans="2:9" ht="15.6" x14ac:dyDescent="0.3">
      <c r="C136" s="41" t="s">
        <v>484</v>
      </c>
      <c r="D136" s="42">
        <v>1</v>
      </c>
      <c r="E136" s="44">
        <v>250</v>
      </c>
      <c r="F136" s="7">
        <f t="shared" si="29"/>
        <v>0.25</v>
      </c>
      <c r="G136" s="6">
        <f t="shared" si="28"/>
        <v>27</v>
      </c>
      <c r="H136" s="6">
        <f t="shared" si="30"/>
        <v>50</v>
      </c>
      <c r="I136" s="6">
        <f t="shared" si="31"/>
        <v>100</v>
      </c>
    </row>
    <row r="137" spans="2:9" ht="15.6" x14ac:dyDescent="0.3">
      <c r="C137" s="41" t="s">
        <v>701</v>
      </c>
      <c r="D137" s="42">
        <v>2.5</v>
      </c>
      <c r="E137" s="44">
        <v>65</v>
      </c>
      <c r="F137" s="7">
        <f t="shared" si="29"/>
        <v>0.16250000000000001</v>
      </c>
      <c r="G137" s="6">
        <f t="shared" si="28"/>
        <v>67.5</v>
      </c>
      <c r="H137" s="6">
        <f t="shared" si="30"/>
        <v>125</v>
      </c>
      <c r="I137" s="6">
        <f t="shared" si="31"/>
        <v>250</v>
      </c>
    </row>
    <row r="138" spans="2:9" ht="15.6" x14ac:dyDescent="0.3">
      <c r="C138" s="41" t="s">
        <v>380</v>
      </c>
      <c r="D138" s="42">
        <v>2</v>
      </c>
      <c r="E138" s="44">
        <v>45</v>
      </c>
      <c r="F138" s="7">
        <f t="shared" si="29"/>
        <v>0.09</v>
      </c>
      <c r="G138" s="6">
        <f t="shared" si="28"/>
        <v>54</v>
      </c>
      <c r="H138" s="6">
        <f t="shared" si="30"/>
        <v>100</v>
      </c>
      <c r="I138" s="6">
        <f t="shared" si="31"/>
        <v>200</v>
      </c>
    </row>
    <row r="139" spans="2:9" x14ac:dyDescent="0.3">
      <c r="D139" s="50">
        <f>SUM(D122:D138)</f>
        <v>1000.5</v>
      </c>
      <c r="E139" s="51"/>
      <c r="F139" s="52">
        <f>SUM(F122:F138)</f>
        <v>14.434899999999999</v>
      </c>
      <c r="G139" s="50">
        <f>SUM(G122:G138)</f>
        <v>27013.5</v>
      </c>
      <c r="H139" s="155">
        <f>SUM(H122:H138)</f>
        <v>2325</v>
      </c>
      <c r="I139" s="50">
        <f>SUM(I122:I138)</f>
        <v>4650</v>
      </c>
    </row>
    <row r="142" spans="2:9" ht="23.4" x14ac:dyDescent="0.45">
      <c r="C142" s="266" t="s">
        <v>885</v>
      </c>
      <c r="D142" s="222"/>
      <c r="E142" s="222"/>
      <c r="F142" s="222"/>
      <c r="G142" s="222"/>
      <c r="H142" s="222"/>
      <c r="I142" s="222"/>
    </row>
    <row r="143" spans="2:9" ht="46.8" x14ac:dyDescent="0.3">
      <c r="B143" s="224">
        <v>11</v>
      </c>
      <c r="C143" s="225" t="s">
        <v>0</v>
      </c>
      <c r="D143" s="226" t="s">
        <v>1</v>
      </c>
      <c r="E143" s="226" t="s">
        <v>2</v>
      </c>
      <c r="F143" s="226" t="s">
        <v>819</v>
      </c>
      <c r="G143" s="226" t="s">
        <v>407</v>
      </c>
      <c r="H143" s="226" t="s">
        <v>126</v>
      </c>
      <c r="I143" s="226" t="s">
        <v>408</v>
      </c>
    </row>
    <row r="144" spans="2:9" ht="15.6" x14ac:dyDescent="0.3">
      <c r="C144" s="289" t="s">
        <v>67</v>
      </c>
      <c r="D144" s="229">
        <v>70</v>
      </c>
      <c r="E144" s="230"/>
      <c r="F144" s="231">
        <f>(E144/1000)*D144</f>
        <v>0</v>
      </c>
      <c r="G144" s="229"/>
      <c r="H144" s="229"/>
      <c r="I144" s="229"/>
    </row>
    <row r="145" spans="2:9" ht="15.6" x14ac:dyDescent="0.3">
      <c r="C145" s="289" t="s">
        <v>68</v>
      </c>
      <c r="D145" s="229">
        <v>70</v>
      </c>
      <c r="E145" s="230"/>
      <c r="F145" s="231"/>
      <c r="G145" s="229"/>
      <c r="H145" s="229"/>
      <c r="I145" s="229"/>
    </row>
    <row r="146" spans="2:9" ht="15.6" x14ac:dyDescent="0.3">
      <c r="C146" s="289" t="s">
        <v>244</v>
      </c>
      <c r="D146" s="229">
        <v>20</v>
      </c>
      <c r="E146" s="230"/>
      <c r="F146" s="231"/>
      <c r="G146" s="229"/>
      <c r="H146" s="229"/>
      <c r="I146" s="229"/>
    </row>
    <row r="147" spans="2:9" ht="15.6" x14ac:dyDescent="0.3">
      <c r="C147" s="289" t="s">
        <v>125</v>
      </c>
      <c r="D147" s="229">
        <v>10</v>
      </c>
      <c r="E147" s="230"/>
      <c r="F147" s="231"/>
      <c r="G147" s="229"/>
      <c r="H147" s="229"/>
      <c r="I147" s="229"/>
    </row>
    <row r="148" spans="2:9" ht="15.6" x14ac:dyDescent="0.3">
      <c r="C148" s="289" t="s">
        <v>872</v>
      </c>
      <c r="D148" s="229">
        <v>15</v>
      </c>
      <c r="E148" s="230"/>
      <c r="F148" s="231"/>
      <c r="G148" s="229"/>
      <c r="H148" s="229"/>
      <c r="I148" s="229"/>
    </row>
    <row r="149" spans="2:9" ht="15.6" x14ac:dyDescent="0.3">
      <c r="C149" s="289" t="s">
        <v>882</v>
      </c>
      <c r="D149" s="229">
        <v>10</v>
      </c>
      <c r="E149" s="230"/>
      <c r="F149" s="231"/>
      <c r="G149" s="229"/>
      <c r="H149" s="229"/>
      <c r="I149" s="229"/>
    </row>
    <row r="150" spans="2:9" ht="15.6" x14ac:dyDescent="0.3">
      <c r="C150" s="289" t="s">
        <v>19</v>
      </c>
      <c r="D150" s="229">
        <v>30</v>
      </c>
      <c r="E150" s="230"/>
      <c r="F150" s="231"/>
      <c r="G150" s="229"/>
      <c r="H150" s="229"/>
      <c r="I150" s="229"/>
    </row>
    <row r="151" spans="2:9" ht="15.6" x14ac:dyDescent="0.3">
      <c r="C151" s="289" t="s">
        <v>69</v>
      </c>
      <c r="D151" s="229">
        <v>20</v>
      </c>
      <c r="E151" s="230"/>
      <c r="F151" s="231"/>
      <c r="G151" s="229"/>
      <c r="H151" s="229"/>
      <c r="I151" s="229"/>
    </row>
    <row r="152" spans="2:9" ht="15.6" x14ac:dyDescent="0.3">
      <c r="C152" s="289" t="s">
        <v>16</v>
      </c>
      <c r="D152" s="229">
        <v>752</v>
      </c>
      <c r="E152" s="230"/>
      <c r="F152" s="231"/>
      <c r="G152" s="229"/>
      <c r="H152" s="229"/>
      <c r="I152" s="229"/>
    </row>
    <row r="153" spans="2:9" ht="15.6" x14ac:dyDescent="0.3">
      <c r="C153" s="289" t="s">
        <v>60</v>
      </c>
      <c r="D153" s="230">
        <v>2.5</v>
      </c>
      <c r="E153" s="230"/>
      <c r="F153" s="231"/>
      <c r="G153" s="229"/>
      <c r="H153" s="229"/>
      <c r="I153" s="229"/>
    </row>
    <row r="154" spans="2:9" x14ac:dyDescent="0.3">
      <c r="C154" s="235"/>
      <c r="D154" s="291">
        <f>SUM(D144:D153)</f>
        <v>999.5</v>
      </c>
      <c r="E154" s="292"/>
      <c r="F154" s="293">
        <f>SUM(F144:F153)</f>
        <v>0</v>
      </c>
      <c r="G154" s="291">
        <f>SUM(G144:G153)</f>
        <v>0</v>
      </c>
      <c r="H154" s="294">
        <f>SUM(H144:H153)</f>
        <v>0</v>
      </c>
      <c r="I154" s="294">
        <f>SUM(I144:I153)</f>
        <v>0</v>
      </c>
    </row>
    <row r="155" spans="2:9" x14ac:dyDescent="0.3">
      <c r="C155" s="295" t="s">
        <v>883</v>
      </c>
      <c r="D155" s="222"/>
      <c r="E155" s="222"/>
      <c r="F155" s="222"/>
      <c r="G155" s="222"/>
      <c r="H155" s="222"/>
      <c r="I155" s="223"/>
    </row>
    <row r="158" spans="2:9" ht="23.4" x14ac:dyDescent="0.45">
      <c r="C158" s="221" t="s">
        <v>886</v>
      </c>
      <c r="D158" s="222"/>
      <c r="E158" s="222"/>
      <c r="F158" s="222"/>
      <c r="G158" s="222"/>
      <c r="H158" s="222"/>
      <c r="I158" s="222"/>
    </row>
    <row r="159" spans="2:9" ht="46.8" x14ac:dyDescent="0.3">
      <c r="B159" s="224">
        <v>11</v>
      </c>
      <c r="C159" s="225" t="s">
        <v>0</v>
      </c>
      <c r="D159" s="226" t="s">
        <v>1</v>
      </c>
      <c r="E159" s="226" t="s">
        <v>2</v>
      </c>
      <c r="F159" s="226" t="s">
        <v>819</v>
      </c>
      <c r="G159" s="226" t="s">
        <v>407</v>
      </c>
      <c r="H159" s="226" t="s">
        <v>126</v>
      </c>
      <c r="I159" s="226" t="s">
        <v>408</v>
      </c>
    </row>
    <row r="160" spans="2:9" ht="15.6" x14ac:dyDescent="0.3">
      <c r="C160" s="289" t="s">
        <v>67</v>
      </c>
      <c r="D160" s="229">
        <v>80</v>
      </c>
      <c r="E160" s="230"/>
      <c r="F160" s="231">
        <f>(E160/1000)*D160</f>
        <v>0</v>
      </c>
      <c r="G160" s="229"/>
      <c r="H160" s="229"/>
      <c r="I160" s="229"/>
    </row>
    <row r="161" spans="3:9" ht="15.6" x14ac:dyDescent="0.3">
      <c r="C161" s="289" t="s">
        <v>68</v>
      </c>
      <c r="D161" s="229">
        <v>80</v>
      </c>
      <c r="E161" s="230"/>
      <c r="F161" s="231"/>
      <c r="G161" s="229"/>
      <c r="H161" s="229"/>
      <c r="I161" s="229"/>
    </row>
    <row r="162" spans="3:9" ht="15.6" x14ac:dyDescent="0.3">
      <c r="C162" s="289" t="s">
        <v>176</v>
      </c>
      <c r="D162" s="229">
        <v>10</v>
      </c>
      <c r="E162" s="230"/>
      <c r="F162" s="231"/>
      <c r="G162" s="229"/>
      <c r="H162" s="229"/>
      <c r="I162" s="229"/>
    </row>
    <row r="163" spans="3:9" ht="15.6" x14ac:dyDescent="0.3">
      <c r="C163" s="289" t="s">
        <v>35</v>
      </c>
      <c r="D163" s="229">
        <v>10</v>
      </c>
      <c r="E163" s="230"/>
      <c r="F163" s="231"/>
      <c r="G163" s="229"/>
      <c r="H163" s="229"/>
      <c r="I163" s="229"/>
    </row>
    <row r="164" spans="3:9" ht="15.6" x14ac:dyDescent="0.3">
      <c r="C164" s="289" t="s">
        <v>105</v>
      </c>
      <c r="D164" s="229">
        <v>5</v>
      </c>
      <c r="E164" s="230"/>
      <c r="F164" s="231"/>
      <c r="G164" s="229"/>
      <c r="H164" s="229"/>
      <c r="I164" s="229"/>
    </row>
    <row r="165" spans="3:9" ht="15.6" x14ac:dyDescent="0.3">
      <c r="C165" s="289" t="s">
        <v>887</v>
      </c>
      <c r="D165" s="229">
        <v>20</v>
      </c>
      <c r="E165" s="230"/>
      <c r="F165" s="231"/>
      <c r="G165" s="229">
        <f>50*D165</f>
        <v>1000</v>
      </c>
      <c r="H165" s="229"/>
      <c r="I165" s="229"/>
    </row>
    <row r="166" spans="3:9" ht="15.6" x14ac:dyDescent="0.3">
      <c r="C166" s="289" t="s">
        <v>16</v>
      </c>
      <c r="D166" s="229">
        <v>792</v>
      </c>
      <c r="E166" s="230"/>
      <c r="F166" s="231"/>
      <c r="G166" s="229"/>
      <c r="H166" s="229"/>
      <c r="I166" s="229"/>
    </row>
    <row r="167" spans="3:9" ht="15.6" x14ac:dyDescent="0.3">
      <c r="C167" s="289" t="s">
        <v>60</v>
      </c>
      <c r="D167" s="230">
        <v>2.5</v>
      </c>
      <c r="E167" s="230"/>
      <c r="F167" s="231"/>
      <c r="G167" s="229"/>
      <c r="H167" s="229"/>
      <c r="I167" s="229"/>
    </row>
    <row r="168" spans="3:9" x14ac:dyDescent="0.3">
      <c r="C168" s="235"/>
      <c r="D168" s="253">
        <f>SUM(D160:D167)</f>
        <v>999.5</v>
      </c>
      <c r="E168" s="254"/>
      <c r="F168" s="255">
        <f t="shared" ref="F168:I168" si="32">SUM(F160:F167)</f>
        <v>0</v>
      </c>
      <c r="G168" s="253">
        <f t="shared" si="32"/>
        <v>1000</v>
      </c>
      <c r="H168" s="258">
        <f t="shared" si="32"/>
        <v>0</v>
      </c>
      <c r="I168" s="258">
        <f t="shared" si="32"/>
        <v>0</v>
      </c>
    </row>
  </sheetData>
  <mergeCells count="15">
    <mergeCell ref="C142:I142"/>
    <mergeCell ref="C155:I155"/>
    <mergeCell ref="C158:I158"/>
    <mergeCell ref="A46:A49"/>
    <mergeCell ref="A50:B50"/>
    <mergeCell ref="C4:K4"/>
    <mergeCell ref="C18:K18"/>
    <mergeCell ref="C31:K31"/>
    <mergeCell ref="C44:K44"/>
    <mergeCell ref="C120:I120"/>
    <mergeCell ref="C108:I108"/>
    <mergeCell ref="C90:I90"/>
    <mergeCell ref="C75:K75"/>
    <mergeCell ref="B51:B54"/>
    <mergeCell ref="C58:K58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0DEF-77D8-424F-8A05-E99CD2E0EA4D}">
  <dimension ref="B3:J60"/>
  <sheetViews>
    <sheetView topLeftCell="A50" workbookViewId="0">
      <selection activeCell="I31" sqref="I31"/>
    </sheetView>
  </sheetViews>
  <sheetFormatPr baseColWidth="10" defaultRowHeight="14.4" x14ac:dyDescent="0.3"/>
  <cols>
    <col min="3" max="3" width="27.33203125" customWidth="1"/>
    <col min="4" max="4" width="11.109375" bestFit="1" customWidth="1"/>
    <col min="5" max="5" width="10.33203125" hidden="1" customWidth="1"/>
    <col min="6" max="6" width="11.44140625" hidden="1" customWidth="1"/>
    <col min="8" max="8" width="14.109375" hidden="1" customWidth="1"/>
  </cols>
  <sheetData>
    <row r="3" spans="2:10" ht="23.4" x14ac:dyDescent="0.45">
      <c r="C3" s="172" t="s">
        <v>622</v>
      </c>
      <c r="D3" s="173"/>
      <c r="E3" s="173"/>
      <c r="F3" s="173"/>
      <c r="G3" s="173"/>
      <c r="H3" s="173"/>
      <c r="I3" s="173"/>
      <c r="J3" s="174"/>
    </row>
    <row r="4" spans="2:10" ht="54" customHeight="1" x14ac:dyDescent="0.3">
      <c r="B4" s="1">
        <v>1</v>
      </c>
      <c r="C4" s="2" t="s">
        <v>0</v>
      </c>
      <c r="D4" s="3" t="s">
        <v>1</v>
      </c>
      <c r="E4" s="3" t="s">
        <v>90</v>
      </c>
      <c r="F4" s="3" t="s">
        <v>152</v>
      </c>
      <c r="G4" s="3" t="s">
        <v>356</v>
      </c>
      <c r="H4" s="4" t="s">
        <v>355</v>
      </c>
      <c r="I4" s="3" t="s">
        <v>94</v>
      </c>
      <c r="J4" s="40"/>
    </row>
    <row r="5" spans="2:10" ht="15.6" x14ac:dyDescent="0.3">
      <c r="C5" s="41" t="s">
        <v>16</v>
      </c>
      <c r="D5" s="42">
        <v>845</v>
      </c>
      <c r="E5" s="7">
        <v>0.6</v>
      </c>
      <c r="F5" s="7">
        <f t="shared" ref="F5:F8" si="0">(E5/1000)*D5</f>
        <v>0.50700000000000001</v>
      </c>
      <c r="G5" s="6">
        <f>(D5*10)</f>
        <v>8450</v>
      </c>
      <c r="H5" s="43">
        <f>(E5/1000)*G5</f>
        <v>5.0699999999999994</v>
      </c>
      <c r="I5" s="42"/>
      <c r="J5" s="10" t="s">
        <v>7</v>
      </c>
    </row>
    <row r="6" spans="2:10" ht="15.6" x14ac:dyDescent="0.3">
      <c r="C6" s="41" t="s">
        <v>357</v>
      </c>
      <c r="D6" s="42">
        <v>50</v>
      </c>
      <c r="E6" s="44">
        <v>68</v>
      </c>
      <c r="F6" s="44">
        <f t="shared" si="0"/>
        <v>3.4000000000000004</v>
      </c>
      <c r="G6" s="6">
        <f t="shared" ref="G6:G10" si="1">(D6*10)</f>
        <v>500</v>
      </c>
      <c r="H6" s="43">
        <f t="shared" ref="H6:H8" si="2">(E6/1000)*G6</f>
        <v>34</v>
      </c>
      <c r="I6" s="42"/>
      <c r="J6" s="10" t="s">
        <v>7</v>
      </c>
    </row>
    <row r="7" spans="2:10" ht="15.6" x14ac:dyDescent="0.3">
      <c r="C7" s="41" t="s">
        <v>358</v>
      </c>
      <c r="D7" s="42">
        <v>25</v>
      </c>
      <c r="E7" s="44">
        <v>390</v>
      </c>
      <c r="F7" s="44">
        <f t="shared" si="0"/>
        <v>9.75</v>
      </c>
      <c r="G7" s="6">
        <f t="shared" si="1"/>
        <v>250</v>
      </c>
      <c r="H7" s="43">
        <f t="shared" si="2"/>
        <v>97.5</v>
      </c>
      <c r="I7" s="42"/>
      <c r="J7" s="10" t="s">
        <v>7</v>
      </c>
    </row>
    <row r="8" spans="2:10" ht="15.6" x14ac:dyDescent="0.3">
      <c r="C8" s="41" t="s">
        <v>59</v>
      </c>
      <c r="D8" s="42">
        <v>30</v>
      </c>
      <c r="E8" s="44">
        <v>8</v>
      </c>
      <c r="F8" s="44">
        <f t="shared" si="0"/>
        <v>0.24</v>
      </c>
      <c r="G8" s="6">
        <f t="shared" si="1"/>
        <v>300</v>
      </c>
      <c r="H8" s="43">
        <f t="shared" si="2"/>
        <v>2.4</v>
      </c>
      <c r="I8" s="42"/>
      <c r="J8" s="10" t="s">
        <v>7</v>
      </c>
    </row>
    <row r="9" spans="2:10" ht="15.6" x14ac:dyDescent="0.3">
      <c r="C9" s="41" t="s">
        <v>359</v>
      </c>
      <c r="D9" s="97">
        <v>50</v>
      </c>
      <c r="E9" s="44">
        <v>6</v>
      </c>
      <c r="F9" s="44">
        <f>(E9/1000)*D9</f>
        <v>0.3</v>
      </c>
      <c r="G9" s="6">
        <f t="shared" si="1"/>
        <v>500</v>
      </c>
      <c r="H9" s="43">
        <f>(E9/1000)*G9</f>
        <v>3</v>
      </c>
      <c r="I9" s="138"/>
      <c r="J9" s="49" t="s">
        <v>7</v>
      </c>
    </row>
    <row r="10" spans="2:10" ht="15.6" x14ac:dyDescent="0.3">
      <c r="C10" s="41" t="s">
        <v>71</v>
      </c>
      <c r="D10" s="26">
        <v>0.02</v>
      </c>
      <c r="E10" s="44">
        <v>100</v>
      </c>
      <c r="F10" s="44">
        <f>(E10/1000)*D10</f>
        <v>2E-3</v>
      </c>
      <c r="G10" s="6">
        <f t="shared" si="1"/>
        <v>0.2</v>
      </c>
      <c r="H10" s="43">
        <f>(E10/1000)*G10</f>
        <v>2.0000000000000004E-2</v>
      </c>
      <c r="I10" s="48"/>
      <c r="J10" s="54"/>
    </row>
    <row r="11" spans="2:10" x14ac:dyDescent="0.3">
      <c r="D11" s="50">
        <f>SUM(D5:D10)</f>
        <v>1000.02</v>
      </c>
      <c r="E11" s="51"/>
      <c r="F11" s="52">
        <f>SUM(F5:F10)</f>
        <v>14.199000000000002</v>
      </c>
      <c r="G11" s="50">
        <f>SUM(G5:G10)</f>
        <v>10000.200000000001</v>
      </c>
      <c r="H11" s="53">
        <f>SUM(H5:H10)</f>
        <v>141.99</v>
      </c>
      <c r="I11" s="54"/>
    </row>
    <row r="15" spans="2:10" ht="23.4" x14ac:dyDescent="0.45">
      <c r="C15" s="175" t="s">
        <v>623</v>
      </c>
      <c r="D15" s="175"/>
      <c r="E15" s="175"/>
      <c r="F15" s="175"/>
      <c r="G15" s="175"/>
      <c r="H15" s="175"/>
      <c r="I15" s="175"/>
      <c r="J15" s="175"/>
    </row>
    <row r="16" spans="2:10" ht="62.4" x14ac:dyDescent="0.3">
      <c r="B16" s="1">
        <v>2</v>
      </c>
      <c r="C16" s="2" t="s">
        <v>0</v>
      </c>
      <c r="D16" s="3" t="s">
        <v>1</v>
      </c>
      <c r="E16" s="3" t="s">
        <v>90</v>
      </c>
      <c r="F16" s="3" t="s">
        <v>152</v>
      </c>
      <c r="G16" s="3" t="s">
        <v>356</v>
      </c>
      <c r="H16" s="4" t="s">
        <v>355</v>
      </c>
      <c r="I16" s="3" t="s">
        <v>94</v>
      </c>
      <c r="J16" s="40"/>
    </row>
    <row r="17" spans="2:10" ht="15.6" x14ac:dyDescent="0.3">
      <c r="C17" s="41" t="s">
        <v>16</v>
      </c>
      <c r="D17" s="42">
        <v>845</v>
      </c>
      <c r="E17" s="7">
        <v>0.6</v>
      </c>
      <c r="F17" s="7">
        <f t="shared" ref="F17:F20" si="3">(E17/1000)*D17</f>
        <v>0.50700000000000001</v>
      </c>
      <c r="G17" s="6">
        <f>(D17*10)</f>
        <v>8450</v>
      </c>
      <c r="H17" s="43">
        <f t="shared" ref="H17:H20" si="4">(E17/1000)*G17</f>
        <v>5.0699999999999994</v>
      </c>
      <c r="I17" s="42"/>
      <c r="J17" s="10" t="s">
        <v>7</v>
      </c>
    </row>
    <row r="18" spans="2:10" ht="15.6" x14ac:dyDescent="0.3">
      <c r="C18" s="41" t="s">
        <v>357</v>
      </c>
      <c r="D18" s="42">
        <v>50</v>
      </c>
      <c r="E18" s="44">
        <v>68</v>
      </c>
      <c r="F18" s="44">
        <f t="shared" si="3"/>
        <v>3.4000000000000004</v>
      </c>
      <c r="G18" s="6">
        <f t="shared" ref="G18:G22" si="5">(D18*10)</f>
        <v>500</v>
      </c>
      <c r="H18" s="43">
        <f t="shared" si="4"/>
        <v>34</v>
      </c>
      <c r="I18" s="42"/>
      <c r="J18" s="10" t="s">
        <v>7</v>
      </c>
    </row>
    <row r="19" spans="2:10" ht="15.6" x14ac:dyDescent="0.3">
      <c r="C19" s="41" t="s">
        <v>360</v>
      </c>
      <c r="D19" s="42">
        <v>25</v>
      </c>
      <c r="E19" s="44">
        <v>500</v>
      </c>
      <c r="F19" s="44">
        <f t="shared" si="3"/>
        <v>12.5</v>
      </c>
      <c r="G19" s="6">
        <f t="shared" si="5"/>
        <v>250</v>
      </c>
      <c r="H19" s="43">
        <f t="shared" si="4"/>
        <v>125</v>
      </c>
      <c r="I19" s="42"/>
      <c r="J19" s="10" t="s">
        <v>7</v>
      </c>
    </row>
    <row r="20" spans="2:10" ht="15.6" x14ac:dyDescent="0.3">
      <c r="C20" s="41" t="s">
        <v>59</v>
      </c>
      <c r="D20" s="42">
        <v>30</v>
      </c>
      <c r="E20" s="44">
        <v>8</v>
      </c>
      <c r="F20" s="44">
        <f t="shared" si="3"/>
        <v>0.24</v>
      </c>
      <c r="G20" s="6">
        <f t="shared" si="5"/>
        <v>300</v>
      </c>
      <c r="H20" s="43">
        <f t="shared" si="4"/>
        <v>2.4</v>
      </c>
      <c r="I20" s="42"/>
      <c r="J20" s="10" t="s">
        <v>7</v>
      </c>
    </row>
    <row r="21" spans="2:10" ht="15.6" x14ac:dyDescent="0.3">
      <c r="C21" s="41" t="s">
        <v>359</v>
      </c>
      <c r="D21" s="97">
        <v>50</v>
      </c>
      <c r="E21" s="44">
        <v>6</v>
      </c>
      <c r="F21" s="44">
        <f>(E21/1000)*D21</f>
        <v>0.3</v>
      </c>
      <c r="G21" s="6">
        <f t="shared" si="5"/>
        <v>500</v>
      </c>
      <c r="H21" s="43">
        <f>(E21/1000)*G21</f>
        <v>3</v>
      </c>
      <c r="I21" s="138"/>
      <c r="J21" s="49" t="s">
        <v>7</v>
      </c>
    </row>
    <row r="22" spans="2:10" ht="15.6" x14ac:dyDescent="0.3">
      <c r="C22" s="41" t="s">
        <v>71</v>
      </c>
      <c r="D22" s="26">
        <v>0.02</v>
      </c>
      <c r="E22" s="44">
        <v>100</v>
      </c>
      <c r="F22" s="44">
        <f>(E22/1000)*D22</f>
        <v>2E-3</v>
      </c>
      <c r="G22" s="6">
        <f t="shared" si="5"/>
        <v>0.2</v>
      </c>
      <c r="H22" s="43">
        <f>(E22/1000)*G22</f>
        <v>2.0000000000000004E-2</v>
      </c>
      <c r="I22" s="48"/>
      <c r="J22" s="54"/>
    </row>
    <row r="23" spans="2:10" x14ac:dyDescent="0.3">
      <c r="D23" s="50">
        <f>SUM(D17:D22)</f>
        <v>1000.02</v>
      </c>
      <c r="E23" s="51"/>
      <c r="F23" s="52">
        <f>SUM(F17:F22)</f>
        <v>16.948999999999998</v>
      </c>
      <c r="G23" s="50">
        <f>SUM(G17:G22)</f>
        <v>10000.200000000001</v>
      </c>
      <c r="H23" s="53">
        <f>SUM(H17:H22)</f>
        <v>169.49</v>
      </c>
      <c r="I23" s="54"/>
    </row>
    <row r="26" spans="2:10" ht="23.4" x14ac:dyDescent="0.45">
      <c r="C26" s="172" t="s">
        <v>420</v>
      </c>
      <c r="D26" s="173"/>
      <c r="E26" s="173"/>
      <c r="F26" s="173"/>
      <c r="G26" s="173"/>
      <c r="H26" s="173"/>
      <c r="I26" s="173"/>
      <c r="J26" s="174"/>
    </row>
    <row r="27" spans="2:10" ht="62.4" x14ac:dyDescent="0.3">
      <c r="B27" s="1">
        <v>2</v>
      </c>
      <c r="C27" s="36" t="s">
        <v>0</v>
      </c>
      <c r="D27" s="4" t="s">
        <v>1</v>
      </c>
      <c r="E27" s="4" t="s">
        <v>2</v>
      </c>
      <c r="F27" s="4" t="s">
        <v>14</v>
      </c>
      <c r="G27" s="4" t="s">
        <v>278</v>
      </c>
      <c r="H27" s="4" t="s">
        <v>75</v>
      </c>
      <c r="I27" s="4" t="s">
        <v>279</v>
      </c>
      <c r="J27" s="4" t="s">
        <v>76</v>
      </c>
    </row>
    <row r="28" spans="2:10" x14ac:dyDescent="0.3">
      <c r="B28" s="35"/>
      <c r="C28" s="5" t="s">
        <v>16</v>
      </c>
      <c r="D28" s="6">
        <v>850</v>
      </c>
      <c r="E28" s="37">
        <v>0.6</v>
      </c>
      <c r="F28" s="8">
        <f t="shared" ref="F28:F34" si="6">(E28/1000)*D28</f>
        <v>0.51</v>
      </c>
      <c r="G28" s="6">
        <f>(D28*25)</f>
        <v>21250</v>
      </c>
      <c r="H28" s="38">
        <f t="shared" ref="H28:H34" si="7">(E28/1000)*G28</f>
        <v>12.749999999999998</v>
      </c>
      <c r="I28" s="6">
        <f>(D28*35)</f>
        <v>29750</v>
      </c>
      <c r="J28" s="6">
        <f>(D28*50)</f>
        <v>42500</v>
      </c>
    </row>
    <row r="29" spans="2:10" x14ac:dyDescent="0.3">
      <c r="B29" s="35"/>
      <c r="C29" s="5" t="s">
        <v>275</v>
      </c>
      <c r="D29" s="6">
        <v>70</v>
      </c>
      <c r="E29" s="37">
        <v>20</v>
      </c>
      <c r="F29" s="8">
        <f t="shared" si="6"/>
        <v>1.4000000000000001</v>
      </c>
      <c r="G29" s="6">
        <f t="shared" ref="G29:G34" si="8">(D29*25)</f>
        <v>1750</v>
      </c>
      <c r="H29" s="38">
        <f t="shared" si="7"/>
        <v>35</v>
      </c>
      <c r="I29" s="6">
        <f t="shared" ref="I29:I34" si="9">(D29*35)</f>
        <v>2450</v>
      </c>
      <c r="J29" s="6">
        <f t="shared" ref="J29:J34" si="10">(D29*50)</f>
        <v>3500</v>
      </c>
    </row>
    <row r="30" spans="2:10" x14ac:dyDescent="0.3">
      <c r="B30" s="35"/>
      <c r="C30" s="5" t="s">
        <v>368</v>
      </c>
      <c r="D30" s="6">
        <v>70</v>
      </c>
      <c r="E30" s="37">
        <v>35</v>
      </c>
      <c r="F30" s="8">
        <f t="shared" si="6"/>
        <v>2.4500000000000002</v>
      </c>
      <c r="G30" s="6">
        <f t="shared" si="8"/>
        <v>1750</v>
      </c>
      <c r="H30" s="38">
        <f t="shared" si="7"/>
        <v>61.250000000000007</v>
      </c>
      <c r="I30" s="6">
        <f t="shared" si="9"/>
        <v>2450</v>
      </c>
      <c r="J30" s="6">
        <f t="shared" si="10"/>
        <v>3500</v>
      </c>
    </row>
    <row r="31" spans="2:10" x14ac:dyDescent="0.3">
      <c r="B31" s="35"/>
      <c r="C31" s="5" t="s">
        <v>404</v>
      </c>
      <c r="D31" s="6">
        <v>5</v>
      </c>
      <c r="E31" s="37">
        <v>30</v>
      </c>
      <c r="F31" s="8">
        <f t="shared" si="6"/>
        <v>0.15</v>
      </c>
      <c r="G31" s="6">
        <f t="shared" si="8"/>
        <v>125</v>
      </c>
      <c r="H31" s="38">
        <f t="shared" si="7"/>
        <v>3.75</v>
      </c>
      <c r="I31" s="6">
        <f t="shared" si="9"/>
        <v>175</v>
      </c>
      <c r="J31" s="6">
        <f t="shared" si="10"/>
        <v>250</v>
      </c>
    </row>
    <row r="32" spans="2:10" x14ac:dyDescent="0.3">
      <c r="B32" s="35"/>
      <c r="C32" s="5" t="s">
        <v>72</v>
      </c>
      <c r="D32" s="6">
        <v>2</v>
      </c>
      <c r="E32" s="37">
        <v>25</v>
      </c>
      <c r="F32" s="8">
        <f t="shared" si="6"/>
        <v>0.05</v>
      </c>
      <c r="G32" s="6">
        <f t="shared" si="8"/>
        <v>50</v>
      </c>
      <c r="H32" s="38">
        <f t="shared" si="7"/>
        <v>1.25</v>
      </c>
      <c r="I32" s="6">
        <f t="shared" si="9"/>
        <v>70</v>
      </c>
      <c r="J32" s="6">
        <f t="shared" si="10"/>
        <v>100</v>
      </c>
    </row>
    <row r="33" spans="2:10" x14ac:dyDescent="0.3">
      <c r="B33" s="35"/>
      <c r="C33" s="5" t="s">
        <v>73</v>
      </c>
      <c r="D33" s="6">
        <v>1</v>
      </c>
      <c r="E33" s="37">
        <v>15</v>
      </c>
      <c r="F33" s="8">
        <f t="shared" si="6"/>
        <v>1.4999999999999999E-2</v>
      </c>
      <c r="G33" s="6">
        <f t="shared" si="8"/>
        <v>25</v>
      </c>
      <c r="H33" s="38">
        <f t="shared" si="7"/>
        <v>0.375</v>
      </c>
      <c r="I33" s="6">
        <f t="shared" si="9"/>
        <v>35</v>
      </c>
      <c r="J33" s="6">
        <f t="shared" si="10"/>
        <v>50</v>
      </c>
    </row>
    <row r="34" spans="2:10" x14ac:dyDescent="0.3">
      <c r="B34" s="35"/>
      <c r="C34" s="5" t="s">
        <v>419</v>
      </c>
      <c r="D34" s="6">
        <v>1</v>
      </c>
      <c r="E34" s="37">
        <v>900</v>
      </c>
      <c r="F34" s="8">
        <f t="shared" si="6"/>
        <v>0.9</v>
      </c>
      <c r="G34" s="6">
        <f t="shared" si="8"/>
        <v>25</v>
      </c>
      <c r="H34" s="38">
        <f t="shared" si="7"/>
        <v>22.5</v>
      </c>
      <c r="I34" s="6">
        <f t="shared" si="9"/>
        <v>35</v>
      </c>
      <c r="J34" s="6">
        <f t="shared" si="10"/>
        <v>50</v>
      </c>
    </row>
    <row r="35" spans="2:10" x14ac:dyDescent="0.3">
      <c r="D35" s="13">
        <f>SUM(D28:D34)</f>
        <v>999</v>
      </c>
      <c r="E35" s="14"/>
      <c r="F35" s="15">
        <f>SUM(F28:F34)</f>
        <v>5.4750000000000005</v>
      </c>
      <c r="G35" s="13">
        <f>SUM(G28:G34)</f>
        <v>24975</v>
      </c>
      <c r="H35" s="39">
        <f>SUM(H28:H34)</f>
        <v>136.875</v>
      </c>
      <c r="I35" s="13">
        <f>SUM(I28:I34)</f>
        <v>34965</v>
      </c>
      <c r="J35" s="84">
        <f>SUM(J28:J34)</f>
        <v>49950</v>
      </c>
    </row>
    <row r="38" spans="2:10" ht="23.4" x14ac:dyDescent="0.45">
      <c r="C38" s="221" t="s">
        <v>866</v>
      </c>
      <c r="D38" s="222"/>
      <c r="E38" s="222"/>
      <c r="F38" s="222"/>
      <c r="G38" s="222"/>
      <c r="H38" s="222"/>
      <c r="I38" s="222"/>
    </row>
    <row r="39" spans="2:10" ht="62.4" x14ac:dyDescent="0.3">
      <c r="B39" s="224">
        <v>4</v>
      </c>
      <c r="C39" s="273" t="s">
        <v>0</v>
      </c>
      <c r="D39" s="227" t="s">
        <v>1</v>
      </c>
      <c r="E39" s="227" t="s">
        <v>2</v>
      </c>
      <c r="F39" s="227" t="s">
        <v>14</v>
      </c>
      <c r="G39" s="227" t="s">
        <v>278</v>
      </c>
      <c r="H39" s="227" t="s">
        <v>75</v>
      </c>
      <c r="I39" s="227" t="s">
        <v>279</v>
      </c>
    </row>
    <row r="40" spans="2:10" x14ac:dyDescent="0.3">
      <c r="B40" s="274">
        <v>1</v>
      </c>
      <c r="C40" s="228" t="s">
        <v>16</v>
      </c>
      <c r="D40" s="229">
        <v>807</v>
      </c>
      <c r="E40" s="275">
        <v>0.6</v>
      </c>
      <c r="F40" s="231">
        <f t="shared" ref="F40:F46" si="11">(E40/1000)*D40</f>
        <v>0.48419999999999996</v>
      </c>
      <c r="G40" s="229">
        <f t="shared" ref="G40:G46" si="12">(D40*220)</f>
        <v>177540</v>
      </c>
      <c r="H40" s="276">
        <f t="shared" ref="H40:H46" si="13">(E40/1000)*G40</f>
        <v>106.52399999999999</v>
      </c>
      <c r="I40" s="229">
        <f t="shared" ref="I40:I46" si="14">(D40*35)</f>
        <v>28245</v>
      </c>
    </row>
    <row r="41" spans="2:10" x14ac:dyDescent="0.3">
      <c r="B41" s="274">
        <v>4</v>
      </c>
      <c r="C41" s="228" t="s">
        <v>275</v>
      </c>
      <c r="D41" s="229">
        <v>70</v>
      </c>
      <c r="E41" s="275">
        <v>20</v>
      </c>
      <c r="F41" s="231">
        <f t="shared" si="11"/>
        <v>1.4000000000000001</v>
      </c>
      <c r="G41" s="229">
        <f t="shared" si="12"/>
        <v>15400</v>
      </c>
      <c r="H41" s="276">
        <f t="shared" si="13"/>
        <v>308</v>
      </c>
      <c r="I41" s="229">
        <f t="shared" si="14"/>
        <v>2450</v>
      </c>
    </row>
    <row r="42" spans="2:10" x14ac:dyDescent="0.3">
      <c r="B42" s="274">
        <v>5</v>
      </c>
      <c r="C42" s="228" t="s">
        <v>276</v>
      </c>
      <c r="D42" s="229">
        <v>70</v>
      </c>
      <c r="E42" s="275">
        <v>20</v>
      </c>
      <c r="F42" s="231">
        <f t="shared" si="11"/>
        <v>1.4000000000000001</v>
      </c>
      <c r="G42" s="229">
        <f t="shared" si="12"/>
        <v>15400</v>
      </c>
      <c r="H42" s="276">
        <f t="shared" si="13"/>
        <v>308</v>
      </c>
      <c r="I42" s="229">
        <f t="shared" si="14"/>
        <v>2450</v>
      </c>
    </row>
    <row r="43" spans="2:10" x14ac:dyDescent="0.3">
      <c r="B43" s="274">
        <v>6</v>
      </c>
      <c r="C43" s="228" t="s">
        <v>244</v>
      </c>
      <c r="D43" s="229">
        <v>30</v>
      </c>
      <c r="E43" s="275">
        <v>120</v>
      </c>
      <c r="F43" s="231">
        <f t="shared" si="11"/>
        <v>3.5999999999999996</v>
      </c>
      <c r="G43" s="229">
        <f t="shared" si="12"/>
        <v>6600</v>
      </c>
      <c r="H43" s="276">
        <f t="shared" si="13"/>
        <v>792</v>
      </c>
      <c r="I43" s="229">
        <f t="shared" si="14"/>
        <v>1050</v>
      </c>
    </row>
    <row r="44" spans="2:10" x14ac:dyDescent="0.3">
      <c r="B44" s="274">
        <v>7</v>
      </c>
      <c r="C44" s="228" t="s">
        <v>125</v>
      </c>
      <c r="D44" s="229">
        <v>10</v>
      </c>
      <c r="E44" s="275">
        <v>60</v>
      </c>
      <c r="F44" s="231">
        <f t="shared" si="11"/>
        <v>0.6</v>
      </c>
      <c r="G44" s="229">
        <f t="shared" si="12"/>
        <v>2200</v>
      </c>
      <c r="H44" s="276">
        <f t="shared" si="13"/>
        <v>132</v>
      </c>
      <c r="I44" s="229">
        <f t="shared" si="14"/>
        <v>350</v>
      </c>
    </row>
    <row r="45" spans="2:10" x14ac:dyDescent="0.3">
      <c r="B45" s="274">
        <v>9</v>
      </c>
      <c r="C45" s="228" t="s">
        <v>59</v>
      </c>
      <c r="D45" s="229">
        <v>10</v>
      </c>
      <c r="E45" s="275">
        <v>8</v>
      </c>
      <c r="F45" s="231">
        <f t="shared" si="11"/>
        <v>0.08</v>
      </c>
      <c r="G45" s="229">
        <f t="shared" si="12"/>
        <v>2200</v>
      </c>
      <c r="H45" s="276">
        <f t="shared" si="13"/>
        <v>17.600000000000001</v>
      </c>
      <c r="I45" s="229">
        <f t="shared" si="14"/>
        <v>350</v>
      </c>
    </row>
    <row r="46" spans="2:10" x14ac:dyDescent="0.3">
      <c r="B46" s="274">
        <v>2</v>
      </c>
      <c r="C46" s="228" t="s">
        <v>60</v>
      </c>
      <c r="D46" s="230">
        <v>2.5</v>
      </c>
      <c r="E46" s="275">
        <v>58</v>
      </c>
      <c r="F46" s="231">
        <f t="shared" si="11"/>
        <v>0.14500000000000002</v>
      </c>
      <c r="G46" s="229">
        <f t="shared" si="12"/>
        <v>550</v>
      </c>
      <c r="H46" s="276">
        <f t="shared" si="13"/>
        <v>31.900000000000002</v>
      </c>
      <c r="I46" s="229">
        <f t="shared" si="14"/>
        <v>87.5</v>
      </c>
    </row>
    <row r="47" spans="2:10" x14ac:dyDescent="0.3">
      <c r="D47" s="236">
        <f>SUM(D40:D46)</f>
        <v>999.5</v>
      </c>
      <c r="E47" s="237"/>
      <c r="F47" s="238">
        <f>SUM(F40:F46)</f>
        <v>7.7091999999999992</v>
      </c>
      <c r="G47" s="236">
        <f>SUM(G40:G46)</f>
        <v>219890</v>
      </c>
      <c r="H47" s="277">
        <f>SUM(H40:H46)</f>
        <v>1696.0239999999999</v>
      </c>
      <c r="I47" s="236">
        <f>SUM(I40:I46)</f>
        <v>34982.5</v>
      </c>
    </row>
    <row r="50" spans="2:10" ht="23.4" x14ac:dyDescent="0.45">
      <c r="C50" s="221" t="s">
        <v>988</v>
      </c>
      <c r="D50" s="222"/>
      <c r="E50" s="222"/>
      <c r="F50" s="222"/>
      <c r="G50" s="222"/>
      <c r="H50" s="222"/>
      <c r="I50" s="222"/>
      <c r="J50" s="223"/>
    </row>
    <row r="51" spans="2:10" ht="46.8" x14ac:dyDescent="0.3">
      <c r="B51" s="224">
        <v>2</v>
      </c>
      <c r="C51" s="225" t="s">
        <v>0</v>
      </c>
      <c r="D51" s="226" t="s">
        <v>135</v>
      </c>
      <c r="E51" s="226" t="s">
        <v>926</v>
      </c>
      <c r="F51" s="226" t="s">
        <v>819</v>
      </c>
      <c r="G51" s="226"/>
      <c r="H51" s="226" t="s">
        <v>126</v>
      </c>
      <c r="I51" s="226" t="s">
        <v>408</v>
      </c>
      <c r="J51" s="227"/>
    </row>
    <row r="52" spans="2:10" x14ac:dyDescent="0.3">
      <c r="C52" s="233" t="s">
        <v>27</v>
      </c>
      <c r="D52" s="229">
        <v>903</v>
      </c>
      <c r="E52" s="230"/>
      <c r="F52" s="231">
        <f>(E52/1000)*D52</f>
        <v>0</v>
      </c>
      <c r="G52" s="229"/>
      <c r="H52" s="229"/>
      <c r="I52" s="229"/>
      <c r="J52" s="232" t="s">
        <v>7</v>
      </c>
    </row>
    <row r="53" spans="2:10" x14ac:dyDescent="0.3">
      <c r="C53" s="233" t="s">
        <v>48</v>
      </c>
      <c r="D53" s="229">
        <v>2</v>
      </c>
      <c r="E53" s="230"/>
      <c r="F53" s="231"/>
      <c r="G53" s="229"/>
      <c r="H53" s="229"/>
      <c r="I53" s="229"/>
      <c r="J53" s="232"/>
    </row>
    <row r="54" spans="2:10" x14ac:dyDescent="0.3">
      <c r="C54" s="233" t="s">
        <v>28</v>
      </c>
      <c r="D54" s="229">
        <v>1</v>
      </c>
      <c r="E54" s="230"/>
      <c r="F54" s="231"/>
      <c r="G54" s="229"/>
      <c r="H54" s="229"/>
      <c r="I54" s="229"/>
      <c r="J54" s="232"/>
    </row>
    <row r="55" spans="2:10" x14ac:dyDescent="0.3">
      <c r="C55" s="233" t="s">
        <v>29</v>
      </c>
      <c r="D55" s="230">
        <v>0.5</v>
      </c>
      <c r="E55" s="230"/>
      <c r="F55" s="231"/>
      <c r="G55" s="229"/>
      <c r="H55" s="229"/>
      <c r="I55" s="229"/>
      <c r="J55" s="232"/>
    </row>
    <row r="56" spans="2:10" x14ac:dyDescent="0.3">
      <c r="C56" s="233" t="s">
        <v>49</v>
      </c>
      <c r="D56" s="242">
        <v>0.5</v>
      </c>
      <c r="E56" s="230"/>
      <c r="F56" s="231"/>
      <c r="G56" s="229"/>
      <c r="H56" s="229"/>
      <c r="I56" s="229"/>
      <c r="J56" s="232"/>
    </row>
    <row r="57" spans="2:10" x14ac:dyDescent="0.3">
      <c r="C57" s="233" t="s">
        <v>19</v>
      </c>
      <c r="D57" s="229">
        <v>50</v>
      </c>
      <c r="E57" s="230"/>
      <c r="F57" s="231"/>
      <c r="G57" s="229"/>
      <c r="H57" s="229"/>
      <c r="I57" s="229"/>
      <c r="J57" s="232"/>
    </row>
    <row r="58" spans="2:10" x14ac:dyDescent="0.3">
      <c r="C58" s="233" t="s">
        <v>51</v>
      </c>
      <c r="D58" s="229">
        <v>3</v>
      </c>
      <c r="E58" s="230"/>
      <c r="F58" s="231"/>
      <c r="G58" s="229"/>
      <c r="H58" s="229"/>
      <c r="I58" s="229"/>
      <c r="J58" s="232"/>
    </row>
    <row r="59" spans="2:10" x14ac:dyDescent="0.3">
      <c r="C59" s="233" t="s">
        <v>52</v>
      </c>
      <c r="D59" s="229">
        <v>40</v>
      </c>
      <c r="E59" s="230"/>
      <c r="F59" s="231"/>
      <c r="G59" s="229"/>
      <c r="H59" s="229"/>
      <c r="I59" s="229"/>
      <c r="J59" s="232"/>
    </row>
    <row r="60" spans="2:10" x14ac:dyDescent="0.3">
      <c r="C60" s="235"/>
      <c r="D60" s="253">
        <f>SUM(D52:D59)</f>
        <v>1000</v>
      </c>
      <c r="E60" s="254"/>
      <c r="F60" s="255">
        <f>SUM(F52:F59)</f>
        <v>0</v>
      </c>
      <c r="G60" s="253">
        <f>SUM(G52:G59)</f>
        <v>0</v>
      </c>
      <c r="H60" s="258">
        <f>SUM(H52:H59)</f>
        <v>0</v>
      </c>
      <c r="I60" s="258">
        <f>SUM(I52:I59)</f>
        <v>0</v>
      </c>
      <c r="J60" s="257"/>
    </row>
  </sheetData>
  <mergeCells count="5">
    <mergeCell ref="C3:J3"/>
    <mergeCell ref="C15:J15"/>
    <mergeCell ref="C26:J26"/>
    <mergeCell ref="C38:I38"/>
    <mergeCell ref="C50:J5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5DAC-EB57-40A1-9674-D6720396A11E}">
  <dimension ref="B3:I16"/>
  <sheetViews>
    <sheetView workbookViewId="0">
      <selection activeCell="I24" sqref="I24"/>
    </sheetView>
  </sheetViews>
  <sheetFormatPr baseColWidth="10" defaultRowHeight="14.4" x14ac:dyDescent="0.3"/>
  <cols>
    <col min="3" max="3" width="21.6640625" bestFit="1" customWidth="1"/>
  </cols>
  <sheetData>
    <row r="3" spans="2:9" ht="23.4" x14ac:dyDescent="0.45">
      <c r="C3" s="266" t="s">
        <v>915</v>
      </c>
      <c r="D3" s="222"/>
      <c r="E3" s="222"/>
      <c r="F3" s="222"/>
      <c r="G3" s="222"/>
      <c r="H3" s="222"/>
      <c r="I3" s="222"/>
    </row>
    <row r="4" spans="2:9" ht="46.8" x14ac:dyDescent="0.3">
      <c r="B4" s="224">
        <v>11</v>
      </c>
      <c r="C4" s="225" t="s">
        <v>0</v>
      </c>
      <c r="D4" s="226" t="s">
        <v>1</v>
      </c>
      <c r="E4" s="226" t="s">
        <v>2</v>
      </c>
      <c r="F4" s="226" t="s">
        <v>819</v>
      </c>
      <c r="G4" s="226" t="s">
        <v>407</v>
      </c>
      <c r="H4" s="226" t="s">
        <v>126</v>
      </c>
      <c r="I4" s="226" t="s">
        <v>408</v>
      </c>
    </row>
    <row r="5" spans="2:9" ht="15.6" x14ac:dyDescent="0.3">
      <c r="C5" s="305" t="s">
        <v>16</v>
      </c>
      <c r="D5" s="35">
        <v>783</v>
      </c>
      <c r="E5" s="265"/>
      <c r="F5" s="306">
        <f>(E5/1000)*D10</f>
        <v>0</v>
      </c>
      <c r="G5" s="229"/>
      <c r="H5" s="229"/>
      <c r="I5" s="229"/>
    </row>
    <row r="6" spans="2:9" ht="15.6" x14ac:dyDescent="0.3">
      <c r="C6" s="305" t="s">
        <v>19</v>
      </c>
      <c r="D6" s="35">
        <v>20</v>
      </c>
      <c r="E6" s="265"/>
      <c r="F6" s="306"/>
      <c r="G6" s="229"/>
      <c r="H6" s="229"/>
      <c r="I6" s="229"/>
    </row>
    <row r="7" spans="2:9" ht="15.6" x14ac:dyDescent="0.3">
      <c r="C7" s="305" t="s">
        <v>9</v>
      </c>
      <c r="D7" s="35">
        <v>20</v>
      </c>
      <c r="E7" s="265"/>
      <c r="F7" s="306"/>
      <c r="G7" s="229"/>
      <c r="H7" s="229"/>
      <c r="I7" s="229"/>
    </row>
    <row r="8" spans="2:9" ht="15.6" x14ac:dyDescent="0.3">
      <c r="C8" s="305" t="s">
        <v>667</v>
      </c>
      <c r="D8" s="35">
        <v>70</v>
      </c>
      <c r="E8" s="265"/>
      <c r="F8" s="306"/>
      <c r="G8" s="229"/>
      <c r="H8" s="229"/>
      <c r="I8" s="229"/>
    </row>
    <row r="9" spans="2:9" ht="15.6" x14ac:dyDescent="0.3">
      <c r="C9" s="305" t="s">
        <v>372</v>
      </c>
      <c r="D9" s="35">
        <v>70</v>
      </c>
      <c r="E9" s="265"/>
      <c r="F9" s="306"/>
      <c r="G9" s="229"/>
      <c r="H9" s="229"/>
      <c r="I9" s="229"/>
    </row>
    <row r="10" spans="2:9" ht="15.6" x14ac:dyDescent="0.3">
      <c r="C10" s="305" t="s">
        <v>404</v>
      </c>
      <c r="D10" s="307">
        <v>15</v>
      </c>
      <c r="E10" s="265"/>
      <c r="F10" s="306"/>
      <c r="G10" s="229"/>
      <c r="H10" s="229"/>
      <c r="I10" s="229"/>
    </row>
    <row r="11" spans="2:9" ht="15.6" x14ac:dyDescent="0.3">
      <c r="C11" s="305" t="s">
        <v>521</v>
      </c>
      <c r="D11" s="307">
        <v>5</v>
      </c>
      <c r="E11" s="265"/>
      <c r="F11" s="306"/>
      <c r="G11" s="229"/>
      <c r="H11" s="229"/>
      <c r="I11" s="229"/>
    </row>
    <row r="12" spans="2:9" ht="15.6" x14ac:dyDescent="0.3">
      <c r="C12" s="305" t="s">
        <v>916</v>
      </c>
      <c r="D12" s="307">
        <v>5</v>
      </c>
      <c r="E12" s="265"/>
      <c r="F12" s="306"/>
      <c r="G12" s="229"/>
      <c r="H12" s="229"/>
      <c r="I12" s="229"/>
    </row>
    <row r="13" spans="2:9" ht="15.6" x14ac:dyDescent="0.3">
      <c r="C13" s="305" t="s">
        <v>917</v>
      </c>
      <c r="D13" s="307">
        <v>5</v>
      </c>
      <c r="E13" s="265"/>
      <c r="F13" s="306"/>
      <c r="G13" s="229"/>
      <c r="H13" s="229"/>
      <c r="I13" s="229"/>
    </row>
    <row r="14" spans="2:9" ht="15.6" x14ac:dyDescent="0.3">
      <c r="C14" s="305" t="s">
        <v>646</v>
      </c>
      <c r="D14" s="307">
        <v>2</v>
      </c>
      <c r="E14" s="265"/>
      <c r="F14" s="306"/>
      <c r="G14" s="229"/>
      <c r="H14" s="229"/>
      <c r="I14" s="229"/>
    </row>
    <row r="15" spans="2:9" ht="15.6" x14ac:dyDescent="0.3">
      <c r="C15" s="305" t="s">
        <v>380</v>
      </c>
      <c r="D15" s="307">
        <v>2</v>
      </c>
      <c r="E15" s="265"/>
      <c r="F15" s="306"/>
      <c r="G15" s="229"/>
      <c r="H15" s="229"/>
      <c r="I15" s="229"/>
    </row>
    <row r="16" spans="2:9" x14ac:dyDescent="0.3">
      <c r="C16" s="235"/>
      <c r="D16" s="253">
        <f>SUM(D5:D15)</f>
        <v>997</v>
      </c>
      <c r="E16" s="254"/>
      <c r="F16" s="255">
        <f>SUM(F5:F15)</f>
        <v>0</v>
      </c>
      <c r="G16" s="253">
        <f>SUM(G5:G15)</f>
        <v>0</v>
      </c>
      <c r="H16" s="258">
        <f>SUM(H5:H15)</f>
        <v>0</v>
      </c>
      <c r="I16" s="258">
        <f>SUM(I5:I15)</f>
        <v>0</v>
      </c>
    </row>
  </sheetData>
  <mergeCells count="1">
    <mergeCell ref="C3:I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9ABA-B7F1-4215-A901-7BFF2788EAF5}">
  <dimension ref="B2:J50"/>
  <sheetViews>
    <sheetView topLeftCell="A33" workbookViewId="0">
      <selection activeCell="A34" sqref="A34:XFD34"/>
    </sheetView>
  </sheetViews>
  <sheetFormatPr baseColWidth="10" defaultRowHeight="14.4" x14ac:dyDescent="0.3"/>
  <cols>
    <col min="3" max="3" width="17" bestFit="1" customWidth="1"/>
  </cols>
  <sheetData>
    <row r="2" spans="2:10" ht="23.4" x14ac:dyDescent="0.45">
      <c r="C2" s="221" t="s">
        <v>854</v>
      </c>
      <c r="D2" s="222"/>
      <c r="E2" s="222"/>
      <c r="F2" s="222"/>
      <c r="G2" s="222"/>
      <c r="H2" s="222"/>
      <c r="I2" s="222"/>
      <c r="J2" s="223"/>
    </row>
    <row r="3" spans="2:10" ht="46.8" x14ac:dyDescent="0.3">
      <c r="B3" s="224">
        <v>5</v>
      </c>
      <c r="C3" s="225" t="s">
        <v>0</v>
      </c>
      <c r="D3" s="226" t="s">
        <v>1</v>
      </c>
      <c r="E3" s="226" t="s">
        <v>2</v>
      </c>
      <c r="F3" s="226" t="s">
        <v>819</v>
      </c>
      <c r="G3" s="226" t="s">
        <v>407</v>
      </c>
      <c r="H3" s="226" t="s">
        <v>126</v>
      </c>
      <c r="I3" s="226" t="s">
        <v>408</v>
      </c>
      <c r="J3" s="227"/>
    </row>
    <row r="4" spans="2:10" x14ac:dyDescent="0.3">
      <c r="C4" s="228" t="s">
        <v>16</v>
      </c>
      <c r="D4" s="229">
        <v>880</v>
      </c>
      <c r="E4" s="230"/>
      <c r="F4" s="231"/>
      <c r="G4" s="229"/>
      <c r="H4" s="229"/>
      <c r="I4" s="229"/>
      <c r="J4" s="232"/>
    </row>
    <row r="5" spans="2:10" x14ac:dyDescent="0.3">
      <c r="C5" s="228" t="s">
        <v>167</v>
      </c>
      <c r="D5" s="229">
        <v>11</v>
      </c>
      <c r="E5" s="230"/>
      <c r="F5" s="231"/>
      <c r="G5" s="229"/>
      <c r="H5" s="229"/>
      <c r="I5" s="229"/>
      <c r="J5" s="232"/>
    </row>
    <row r="6" spans="2:10" x14ac:dyDescent="0.3">
      <c r="C6" s="228" t="s">
        <v>374</v>
      </c>
      <c r="D6" s="229">
        <v>2</v>
      </c>
      <c r="E6" s="230"/>
      <c r="F6" s="231"/>
      <c r="G6" s="229"/>
      <c r="H6" s="229"/>
      <c r="I6" s="229"/>
      <c r="J6" s="232"/>
    </row>
    <row r="7" spans="2:10" x14ac:dyDescent="0.3">
      <c r="C7" s="228" t="s">
        <v>56</v>
      </c>
      <c r="D7" s="229">
        <v>1</v>
      </c>
      <c r="E7" s="230"/>
      <c r="F7" s="231"/>
      <c r="G7" s="229"/>
      <c r="H7" s="229"/>
      <c r="I7" s="229"/>
      <c r="J7" s="232"/>
    </row>
    <row r="8" spans="2:10" x14ac:dyDescent="0.3">
      <c r="C8" s="228" t="s">
        <v>231</v>
      </c>
      <c r="D8" s="230">
        <v>0.5</v>
      </c>
      <c r="E8" s="230"/>
      <c r="F8" s="231"/>
      <c r="G8" s="229"/>
      <c r="H8" s="229"/>
      <c r="I8" s="229"/>
      <c r="J8" s="232"/>
    </row>
    <row r="9" spans="2:10" x14ac:dyDescent="0.3">
      <c r="C9" s="228" t="s">
        <v>474</v>
      </c>
      <c r="D9" s="230">
        <v>0.5</v>
      </c>
      <c r="E9" s="230"/>
      <c r="F9" s="231"/>
      <c r="G9" s="229"/>
      <c r="H9" s="229"/>
      <c r="I9" s="229"/>
      <c r="J9" s="232"/>
    </row>
    <row r="10" spans="2:10" x14ac:dyDescent="0.3">
      <c r="C10" s="228" t="s">
        <v>168</v>
      </c>
      <c r="D10" s="229">
        <v>11</v>
      </c>
      <c r="E10" s="230"/>
      <c r="F10" s="231"/>
      <c r="G10" s="229"/>
      <c r="H10" s="229"/>
      <c r="I10" s="229"/>
      <c r="J10" s="232"/>
    </row>
    <row r="11" spans="2:10" x14ac:dyDescent="0.3">
      <c r="C11" s="228" t="s">
        <v>558</v>
      </c>
      <c r="D11" s="229">
        <v>1</v>
      </c>
      <c r="E11" s="230"/>
      <c r="F11" s="231"/>
      <c r="G11" s="229"/>
      <c r="H11" s="229"/>
      <c r="I11" s="229"/>
      <c r="J11" s="232"/>
    </row>
    <row r="12" spans="2:10" x14ac:dyDescent="0.3">
      <c r="C12" s="228" t="s">
        <v>59</v>
      </c>
      <c r="D12" s="229">
        <v>50</v>
      </c>
      <c r="E12" s="230"/>
      <c r="F12" s="231"/>
      <c r="G12" s="229"/>
      <c r="H12" s="229"/>
      <c r="I12" s="229"/>
      <c r="J12" s="232"/>
    </row>
    <row r="13" spans="2:10" x14ac:dyDescent="0.3">
      <c r="C13" s="228" t="s">
        <v>174</v>
      </c>
      <c r="D13" s="229">
        <v>3</v>
      </c>
      <c r="E13" s="230"/>
      <c r="F13" s="261"/>
      <c r="G13" s="262"/>
      <c r="H13" s="262"/>
      <c r="I13" s="262"/>
      <c r="J13" s="263"/>
    </row>
    <row r="14" spans="2:10" x14ac:dyDescent="0.3">
      <c r="C14" s="228" t="s">
        <v>517</v>
      </c>
      <c r="D14" s="229">
        <v>40</v>
      </c>
      <c r="E14" s="230"/>
      <c r="F14" s="261"/>
      <c r="G14" s="262"/>
      <c r="H14" s="262"/>
      <c r="I14" s="262"/>
      <c r="J14" s="263"/>
    </row>
    <row r="15" spans="2:10" x14ac:dyDescent="0.3">
      <c r="C15" s="235"/>
      <c r="D15" s="253">
        <f>SUM(D4:D14)</f>
        <v>1000</v>
      </c>
      <c r="E15" s="254"/>
      <c r="F15" s="255">
        <f t="shared" ref="F15:I15" si="0">SUM(F4:F12)</f>
        <v>0</v>
      </c>
      <c r="G15" s="253">
        <f t="shared" si="0"/>
        <v>0</v>
      </c>
      <c r="H15" s="258">
        <f t="shared" si="0"/>
        <v>0</v>
      </c>
      <c r="I15" s="258">
        <f t="shared" si="0"/>
        <v>0</v>
      </c>
      <c r="J15" s="257"/>
    </row>
    <row r="18" spans="2:10" ht="23.4" x14ac:dyDescent="0.45">
      <c r="C18" s="221" t="s">
        <v>866</v>
      </c>
      <c r="D18" s="222"/>
      <c r="E18" s="222"/>
      <c r="F18" s="222"/>
      <c r="G18" s="222"/>
      <c r="H18" s="222"/>
      <c r="I18" s="222"/>
    </row>
    <row r="19" spans="2:10" ht="62.4" x14ac:dyDescent="0.3">
      <c r="B19" s="224">
        <v>4</v>
      </c>
      <c r="C19" s="273" t="s">
        <v>0</v>
      </c>
      <c r="D19" s="227" t="s">
        <v>1</v>
      </c>
      <c r="E19" s="227" t="s">
        <v>2</v>
      </c>
      <c r="F19" s="227" t="s">
        <v>14</v>
      </c>
      <c r="G19" s="227" t="s">
        <v>278</v>
      </c>
      <c r="H19" s="227" t="s">
        <v>75</v>
      </c>
      <c r="I19" s="227" t="s">
        <v>279</v>
      </c>
    </row>
    <row r="20" spans="2:10" x14ac:dyDescent="0.3">
      <c r="B20" s="274">
        <v>1</v>
      </c>
      <c r="C20" s="228" t="s">
        <v>16</v>
      </c>
      <c r="D20" s="229">
        <v>807</v>
      </c>
      <c r="E20" s="275">
        <v>0.6</v>
      </c>
      <c r="F20" s="231">
        <f t="shared" ref="F20:F26" si="1">(E20/1000)*D20</f>
        <v>0.48419999999999996</v>
      </c>
      <c r="G20" s="229">
        <f t="shared" ref="G20:G26" si="2">(D20*220)</f>
        <v>177540</v>
      </c>
      <c r="H20" s="276">
        <f t="shared" ref="H20:H26" si="3">(E20/1000)*G20</f>
        <v>106.52399999999999</v>
      </c>
      <c r="I20" s="229">
        <f t="shared" ref="I20:I26" si="4">(D20*35)</f>
        <v>28245</v>
      </c>
    </row>
    <row r="21" spans="2:10" x14ac:dyDescent="0.3">
      <c r="B21" s="274">
        <v>4</v>
      </c>
      <c r="C21" s="228" t="s">
        <v>275</v>
      </c>
      <c r="D21" s="229">
        <v>70</v>
      </c>
      <c r="E21" s="275">
        <v>20</v>
      </c>
      <c r="F21" s="231">
        <f t="shared" si="1"/>
        <v>1.4000000000000001</v>
      </c>
      <c r="G21" s="229">
        <f t="shared" si="2"/>
        <v>15400</v>
      </c>
      <c r="H21" s="276">
        <f t="shared" si="3"/>
        <v>308</v>
      </c>
      <c r="I21" s="229">
        <f t="shared" si="4"/>
        <v>2450</v>
      </c>
    </row>
    <row r="22" spans="2:10" x14ac:dyDescent="0.3">
      <c r="B22" s="274">
        <v>5</v>
      </c>
      <c r="C22" s="228" t="s">
        <v>276</v>
      </c>
      <c r="D22" s="229">
        <v>70</v>
      </c>
      <c r="E22" s="275">
        <v>20</v>
      </c>
      <c r="F22" s="231">
        <f t="shared" si="1"/>
        <v>1.4000000000000001</v>
      </c>
      <c r="G22" s="229">
        <f t="shared" si="2"/>
        <v>15400</v>
      </c>
      <c r="H22" s="276">
        <f t="shared" si="3"/>
        <v>308</v>
      </c>
      <c r="I22" s="229">
        <f t="shared" si="4"/>
        <v>2450</v>
      </c>
    </row>
    <row r="23" spans="2:10" x14ac:dyDescent="0.3">
      <c r="B23" s="274">
        <v>6</v>
      </c>
      <c r="C23" s="228" t="s">
        <v>244</v>
      </c>
      <c r="D23" s="229">
        <v>30</v>
      </c>
      <c r="E23" s="275">
        <v>120</v>
      </c>
      <c r="F23" s="231">
        <f t="shared" si="1"/>
        <v>3.5999999999999996</v>
      </c>
      <c r="G23" s="229">
        <f t="shared" si="2"/>
        <v>6600</v>
      </c>
      <c r="H23" s="276">
        <f t="shared" si="3"/>
        <v>792</v>
      </c>
      <c r="I23" s="229">
        <f t="shared" si="4"/>
        <v>1050</v>
      </c>
    </row>
    <row r="24" spans="2:10" x14ac:dyDescent="0.3">
      <c r="B24" s="274">
        <v>7</v>
      </c>
      <c r="C24" s="228" t="s">
        <v>125</v>
      </c>
      <c r="D24" s="229">
        <v>10</v>
      </c>
      <c r="E24" s="275">
        <v>60</v>
      </c>
      <c r="F24" s="231">
        <f t="shared" si="1"/>
        <v>0.6</v>
      </c>
      <c r="G24" s="229">
        <f t="shared" si="2"/>
        <v>2200</v>
      </c>
      <c r="H24" s="276">
        <f t="shared" si="3"/>
        <v>132</v>
      </c>
      <c r="I24" s="229">
        <f t="shared" si="4"/>
        <v>350</v>
      </c>
    </row>
    <row r="25" spans="2:10" x14ac:dyDescent="0.3">
      <c r="B25" s="274">
        <v>9</v>
      </c>
      <c r="C25" s="228" t="s">
        <v>59</v>
      </c>
      <c r="D25" s="229">
        <v>10</v>
      </c>
      <c r="E25" s="275">
        <v>8</v>
      </c>
      <c r="F25" s="231">
        <f t="shared" si="1"/>
        <v>0.08</v>
      </c>
      <c r="G25" s="229">
        <f t="shared" si="2"/>
        <v>2200</v>
      </c>
      <c r="H25" s="276">
        <f t="shared" si="3"/>
        <v>17.600000000000001</v>
      </c>
      <c r="I25" s="229">
        <f t="shared" si="4"/>
        <v>350</v>
      </c>
    </row>
    <row r="26" spans="2:10" x14ac:dyDescent="0.3">
      <c r="B26" s="274">
        <v>2</v>
      </c>
      <c r="C26" s="228" t="s">
        <v>60</v>
      </c>
      <c r="D26" s="230">
        <v>2.5</v>
      </c>
      <c r="E26" s="275">
        <v>58</v>
      </c>
      <c r="F26" s="231">
        <f t="shared" si="1"/>
        <v>0.14500000000000002</v>
      </c>
      <c r="G26" s="229">
        <f t="shared" si="2"/>
        <v>550</v>
      </c>
      <c r="H26" s="276">
        <f t="shared" si="3"/>
        <v>31.900000000000002</v>
      </c>
      <c r="I26" s="229">
        <f t="shared" si="4"/>
        <v>87.5</v>
      </c>
    </row>
    <row r="27" spans="2:10" x14ac:dyDescent="0.3">
      <c r="D27" s="236">
        <f>SUM(D20:D26)</f>
        <v>999.5</v>
      </c>
      <c r="E27" s="237"/>
      <c r="F27" s="238">
        <f>SUM(F20:F26)</f>
        <v>7.7091999999999992</v>
      </c>
      <c r="G27" s="236">
        <f>SUM(G20:G26)</f>
        <v>219890</v>
      </c>
      <c r="H27" s="277">
        <f>SUM(H20:H26)</f>
        <v>1696.0239999999999</v>
      </c>
      <c r="I27" s="236">
        <f>SUM(I20:I26)</f>
        <v>34982.5</v>
      </c>
    </row>
    <row r="30" spans="2:10" ht="23.4" x14ac:dyDescent="0.45">
      <c r="C30" s="221" t="s">
        <v>964</v>
      </c>
      <c r="D30" s="222"/>
      <c r="E30" s="222"/>
      <c r="F30" s="222"/>
      <c r="G30" s="222"/>
      <c r="H30" s="222"/>
      <c r="I30" s="222"/>
      <c r="J30" s="223"/>
    </row>
    <row r="31" spans="2:10" ht="46.8" x14ac:dyDescent="0.3">
      <c r="B31" s="224">
        <v>16</v>
      </c>
      <c r="C31" s="225" t="s">
        <v>0</v>
      </c>
      <c r="D31" s="226" t="s">
        <v>135</v>
      </c>
      <c r="E31" s="226" t="s">
        <v>926</v>
      </c>
      <c r="F31" s="226" t="s">
        <v>819</v>
      </c>
      <c r="G31" s="226"/>
      <c r="H31" s="226" t="s">
        <v>126</v>
      </c>
      <c r="I31" s="226" t="s">
        <v>408</v>
      </c>
      <c r="J31" s="227"/>
    </row>
    <row r="32" spans="2:10" x14ac:dyDescent="0.3">
      <c r="C32" s="228" t="s">
        <v>173</v>
      </c>
      <c r="D32" s="229">
        <v>845</v>
      </c>
      <c r="E32" s="230"/>
      <c r="F32" s="231">
        <f>(E32/1000)*D32</f>
        <v>0</v>
      </c>
      <c r="G32" s="229"/>
      <c r="H32" s="229"/>
      <c r="I32" s="229"/>
      <c r="J32" s="232" t="s">
        <v>7</v>
      </c>
    </row>
    <row r="33" spans="2:10" x14ac:dyDescent="0.3">
      <c r="C33" s="228" t="s">
        <v>965</v>
      </c>
      <c r="D33" s="229">
        <v>50</v>
      </c>
      <c r="E33" s="230"/>
      <c r="F33" s="231"/>
      <c r="G33" s="229"/>
      <c r="H33" s="229"/>
      <c r="I33" s="229"/>
      <c r="J33" s="232"/>
    </row>
    <row r="34" spans="2:10" x14ac:dyDescent="0.3">
      <c r="C34" s="228" t="s">
        <v>21</v>
      </c>
      <c r="D34" s="229">
        <v>25</v>
      </c>
      <c r="E34" s="230"/>
      <c r="F34" s="231"/>
      <c r="G34" s="229"/>
      <c r="H34" s="229"/>
      <c r="I34" s="229"/>
      <c r="J34" s="232"/>
    </row>
    <row r="35" spans="2:10" x14ac:dyDescent="0.3">
      <c r="C35" s="228" t="s">
        <v>59</v>
      </c>
      <c r="D35" s="229">
        <v>30</v>
      </c>
      <c r="E35" s="230"/>
      <c r="F35" s="231"/>
      <c r="G35" s="229"/>
      <c r="H35" s="229"/>
      <c r="I35" s="229"/>
      <c r="J35" s="232"/>
    </row>
    <row r="36" spans="2:10" x14ac:dyDescent="0.3">
      <c r="C36" s="228" t="s">
        <v>843</v>
      </c>
      <c r="D36" s="229">
        <v>50</v>
      </c>
      <c r="E36" s="230"/>
      <c r="F36" s="231"/>
      <c r="G36" s="229"/>
      <c r="H36" s="229"/>
      <c r="I36" s="229"/>
      <c r="J36" s="232"/>
    </row>
    <row r="37" spans="2:10" x14ac:dyDescent="0.3">
      <c r="C37" s="235"/>
      <c r="D37" s="253">
        <f>SUM(D32:D36)</f>
        <v>1000</v>
      </c>
      <c r="E37" s="254"/>
      <c r="F37" s="255">
        <f>SUM(F32:F36)</f>
        <v>0</v>
      </c>
      <c r="G37" s="253">
        <f>SUM(G32:G36)</f>
        <v>0</v>
      </c>
      <c r="H37" s="258">
        <f>SUM(H32:H36)</f>
        <v>0</v>
      </c>
      <c r="I37" s="258">
        <f>SUM(I32:I36)</f>
        <v>0</v>
      </c>
      <c r="J37" s="257"/>
    </row>
    <row r="40" spans="2:10" ht="23.4" x14ac:dyDescent="0.45">
      <c r="C40" s="221" t="s">
        <v>988</v>
      </c>
      <c r="D40" s="222"/>
      <c r="E40" s="222"/>
      <c r="F40" s="222"/>
      <c r="G40" s="222"/>
      <c r="H40" s="222"/>
      <c r="I40" s="222"/>
      <c r="J40" s="223"/>
    </row>
    <row r="41" spans="2:10" ht="46.8" x14ac:dyDescent="0.3">
      <c r="B41" s="224">
        <v>2</v>
      </c>
      <c r="C41" s="225" t="s">
        <v>0</v>
      </c>
      <c r="D41" s="226" t="s">
        <v>135</v>
      </c>
      <c r="E41" s="226" t="s">
        <v>926</v>
      </c>
      <c r="F41" s="226" t="s">
        <v>819</v>
      </c>
      <c r="G41" s="226"/>
      <c r="H41" s="226" t="s">
        <v>126</v>
      </c>
      <c r="I41" s="226" t="s">
        <v>408</v>
      </c>
      <c r="J41" s="227"/>
    </row>
    <row r="42" spans="2:10" x14ac:dyDescent="0.3">
      <c r="C42" s="233" t="s">
        <v>27</v>
      </c>
      <c r="D42" s="229">
        <v>903</v>
      </c>
      <c r="E42" s="230"/>
      <c r="F42" s="231">
        <f>(E42/1000)*D42</f>
        <v>0</v>
      </c>
      <c r="G42" s="229"/>
      <c r="H42" s="229"/>
      <c r="I42" s="229"/>
      <c r="J42" s="232" t="s">
        <v>7</v>
      </c>
    </row>
    <row r="43" spans="2:10" x14ac:dyDescent="0.3">
      <c r="C43" s="233" t="s">
        <v>48</v>
      </c>
      <c r="D43" s="229">
        <v>2</v>
      </c>
      <c r="E43" s="230"/>
      <c r="F43" s="231"/>
      <c r="G43" s="229"/>
      <c r="H43" s="229"/>
      <c r="I43" s="229"/>
      <c r="J43" s="232"/>
    </row>
    <row r="44" spans="2:10" x14ac:dyDescent="0.3">
      <c r="C44" s="233" t="s">
        <v>28</v>
      </c>
      <c r="D44" s="229">
        <v>1</v>
      </c>
      <c r="E44" s="230"/>
      <c r="F44" s="231"/>
      <c r="G44" s="229"/>
      <c r="H44" s="229"/>
      <c r="I44" s="229"/>
      <c r="J44" s="232"/>
    </row>
    <row r="45" spans="2:10" x14ac:dyDescent="0.3">
      <c r="C45" s="233" t="s">
        <v>29</v>
      </c>
      <c r="D45" s="230">
        <v>0.5</v>
      </c>
      <c r="E45" s="230"/>
      <c r="F45" s="231"/>
      <c r="G45" s="229"/>
      <c r="H45" s="229"/>
      <c r="I45" s="229"/>
      <c r="J45" s="232"/>
    </row>
    <row r="46" spans="2:10" x14ac:dyDescent="0.3">
      <c r="C46" s="233" t="s">
        <v>49</v>
      </c>
      <c r="D46" s="242">
        <v>0.5</v>
      </c>
      <c r="E46" s="230"/>
      <c r="F46" s="231"/>
      <c r="G46" s="229"/>
      <c r="H46" s="229"/>
      <c r="I46" s="229"/>
      <c r="J46" s="232"/>
    </row>
    <row r="47" spans="2:10" x14ac:dyDescent="0.3">
      <c r="C47" s="233" t="s">
        <v>19</v>
      </c>
      <c r="D47" s="229">
        <v>50</v>
      </c>
      <c r="E47" s="230"/>
      <c r="F47" s="231"/>
      <c r="G47" s="229"/>
      <c r="H47" s="229"/>
      <c r="I47" s="229"/>
      <c r="J47" s="232"/>
    </row>
    <row r="48" spans="2:10" x14ac:dyDescent="0.3">
      <c r="C48" s="233" t="s">
        <v>51</v>
      </c>
      <c r="D48" s="229">
        <v>3</v>
      </c>
      <c r="E48" s="230"/>
      <c r="F48" s="231"/>
      <c r="G48" s="229"/>
      <c r="H48" s="229"/>
      <c r="I48" s="229"/>
      <c r="J48" s="232"/>
    </row>
    <row r="49" spans="3:10" x14ac:dyDescent="0.3">
      <c r="C49" s="233" t="s">
        <v>52</v>
      </c>
      <c r="D49" s="229">
        <v>40</v>
      </c>
      <c r="E49" s="230"/>
      <c r="F49" s="231"/>
      <c r="G49" s="229"/>
      <c r="H49" s="229"/>
      <c r="I49" s="229"/>
      <c r="J49" s="232"/>
    </row>
    <row r="50" spans="3:10" x14ac:dyDescent="0.3">
      <c r="C50" s="235"/>
      <c r="D50" s="253">
        <f>SUM(D42:D49)</f>
        <v>1000</v>
      </c>
      <c r="E50" s="254"/>
      <c r="F50" s="255">
        <f>SUM(F42:F49)</f>
        <v>0</v>
      </c>
      <c r="G50" s="253">
        <f>SUM(G42:G49)</f>
        <v>0</v>
      </c>
      <c r="H50" s="258">
        <f>SUM(H42:H49)</f>
        <v>0</v>
      </c>
      <c r="I50" s="258">
        <f>SUM(I42:I49)</f>
        <v>0</v>
      </c>
      <c r="J50" s="257"/>
    </row>
  </sheetData>
  <mergeCells count="4">
    <mergeCell ref="C2:J2"/>
    <mergeCell ref="C18:I18"/>
    <mergeCell ref="C30:J30"/>
    <mergeCell ref="C40:J4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05E2-5791-46C5-9516-CFF8140DE70A}">
  <dimension ref="B3:J78"/>
  <sheetViews>
    <sheetView topLeftCell="A66" workbookViewId="0">
      <selection activeCell="L59" sqref="L59"/>
    </sheetView>
  </sheetViews>
  <sheetFormatPr baseColWidth="10" defaultRowHeight="14.4" x14ac:dyDescent="0.3"/>
  <cols>
    <col min="3" max="3" width="29.33203125" bestFit="1" customWidth="1"/>
    <col min="5" max="6" width="11.44140625" hidden="1" customWidth="1"/>
  </cols>
  <sheetData>
    <row r="3" spans="2:10" ht="23.4" x14ac:dyDescent="0.45">
      <c r="C3" s="172" t="s">
        <v>341</v>
      </c>
      <c r="D3" s="173"/>
      <c r="E3" s="173"/>
      <c r="F3" s="173"/>
      <c r="G3" s="173"/>
      <c r="H3" s="173"/>
      <c r="I3" s="173"/>
      <c r="J3" s="174"/>
    </row>
    <row r="4" spans="2:10" ht="62.4" x14ac:dyDescent="0.3">
      <c r="B4" s="1">
        <v>3</v>
      </c>
      <c r="C4" s="2" t="s">
        <v>0</v>
      </c>
      <c r="D4" s="3" t="s">
        <v>1</v>
      </c>
      <c r="E4" s="3" t="s">
        <v>2</v>
      </c>
      <c r="F4" s="3" t="s">
        <v>24</v>
      </c>
      <c r="G4" s="3" t="s">
        <v>235</v>
      </c>
      <c r="H4" s="3" t="s">
        <v>25</v>
      </c>
      <c r="I4" s="3" t="s">
        <v>26</v>
      </c>
      <c r="J4" s="4"/>
    </row>
    <row r="5" spans="2:10" x14ac:dyDescent="0.3">
      <c r="B5" s="31">
        <v>1</v>
      </c>
      <c r="C5" s="29" t="s">
        <v>27</v>
      </c>
      <c r="D5" s="6">
        <v>183</v>
      </c>
      <c r="E5" s="7">
        <v>0.6</v>
      </c>
      <c r="F5" s="7">
        <f>(E5/1000)*D5</f>
        <v>0.10979999999999999</v>
      </c>
      <c r="G5" s="6">
        <f>(D5*5)</f>
        <v>915</v>
      </c>
      <c r="H5" s="12">
        <f>(E5/1000)*G5</f>
        <v>0.54899999999999993</v>
      </c>
      <c r="I5" s="6">
        <f>(D5*12.5)</f>
        <v>2287.5</v>
      </c>
      <c r="J5" s="10" t="s">
        <v>7</v>
      </c>
    </row>
    <row r="6" spans="2:10" x14ac:dyDescent="0.3">
      <c r="B6" s="31">
        <v>2</v>
      </c>
      <c r="C6" s="29" t="s">
        <v>28</v>
      </c>
      <c r="D6" s="6">
        <v>1</v>
      </c>
      <c r="E6" s="7">
        <v>25</v>
      </c>
      <c r="F6" s="7">
        <f t="shared" ref="F6:F13" si="0">(E6/1000)*D6</f>
        <v>2.5000000000000001E-2</v>
      </c>
      <c r="G6" s="6">
        <f t="shared" ref="G6:G13" si="1">(D6*5)</f>
        <v>5</v>
      </c>
      <c r="H6" s="12">
        <f t="shared" ref="H6:H13" si="2">(E6/1000)*G6</f>
        <v>0.125</v>
      </c>
      <c r="I6" s="6">
        <f t="shared" ref="I6:I13" si="3">(D6*12.5)</f>
        <v>12.5</v>
      </c>
      <c r="J6" s="10" t="s">
        <v>7</v>
      </c>
    </row>
    <row r="7" spans="2:10" x14ac:dyDescent="0.3">
      <c r="B7" s="31">
        <v>3</v>
      </c>
      <c r="C7" s="29" t="s">
        <v>29</v>
      </c>
      <c r="D7" s="11">
        <v>0.5</v>
      </c>
      <c r="E7" s="7">
        <v>60</v>
      </c>
      <c r="F7" s="7">
        <f t="shared" si="0"/>
        <v>0.03</v>
      </c>
      <c r="G7" s="6">
        <f t="shared" si="1"/>
        <v>2.5</v>
      </c>
      <c r="H7" s="12">
        <f t="shared" si="2"/>
        <v>0.15</v>
      </c>
      <c r="I7" s="6">
        <f t="shared" si="3"/>
        <v>6.25</v>
      </c>
      <c r="J7" s="10" t="s">
        <v>7</v>
      </c>
    </row>
    <row r="8" spans="2:10" x14ac:dyDescent="0.3">
      <c r="B8" s="31">
        <v>4</v>
      </c>
      <c r="C8" s="29" t="s">
        <v>30</v>
      </c>
      <c r="D8" s="6">
        <v>3</v>
      </c>
      <c r="E8" s="7">
        <v>36</v>
      </c>
      <c r="F8" s="7">
        <f t="shared" si="0"/>
        <v>0.10799999999999998</v>
      </c>
      <c r="G8" s="6">
        <f t="shared" si="1"/>
        <v>15</v>
      </c>
      <c r="H8" s="12">
        <f t="shared" si="2"/>
        <v>0.53999999999999992</v>
      </c>
      <c r="I8" s="6">
        <f t="shared" si="3"/>
        <v>37.5</v>
      </c>
      <c r="J8" s="10" t="s">
        <v>7</v>
      </c>
    </row>
    <row r="9" spans="2:10" x14ac:dyDescent="0.3">
      <c r="B9" s="28">
        <v>5</v>
      </c>
      <c r="C9" s="24" t="s">
        <v>31</v>
      </c>
      <c r="D9" s="6">
        <v>100</v>
      </c>
      <c r="E9" s="7">
        <v>8</v>
      </c>
      <c r="F9" s="7">
        <f t="shared" si="0"/>
        <v>0.8</v>
      </c>
      <c r="G9" s="6">
        <f t="shared" si="1"/>
        <v>500</v>
      </c>
      <c r="H9" s="12">
        <f t="shared" si="2"/>
        <v>4</v>
      </c>
      <c r="I9" s="6">
        <f t="shared" si="3"/>
        <v>1250</v>
      </c>
      <c r="J9" s="10" t="s">
        <v>7</v>
      </c>
    </row>
    <row r="10" spans="2:10" x14ac:dyDescent="0.3">
      <c r="B10" s="186" t="s">
        <v>38</v>
      </c>
      <c r="C10" s="29" t="s">
        <v>32</v>
      </c>
      <c r="D10" s="6">
        <v>702</v>
      </c>
      <c r="E10" s="7">
        <v>7</v>
      </c>
      <c r="F10" s="7">
        <f t="shared" si="0"/>
        <v>4.9139999999999997</v>
      </c>
      <c r="G10" s="6">
        <f t="shared" si="1"/>
        <v>3510</v>
      </c>
      <c r="H10" s="12">
        <f t="shared" si="2"/>
        <v>24.57</v>
      </c>
      <c r="I10" s="6">
        <f t="shared" si="3"/>
        <v>8775</v>
      </c>
      <c r="J10" s="10" t="s">
        <v>7</v>
      </c>
    </row>
    <row r="11" spans="2:10" x14ac:dyDescent="0.3">
      <c r="B11" s="187"/>
      <c r="C11" s="29" t="s">
        <v>39</v>
      </c>
      <c r="D11" s="25">
        <v>10</v>
      </c>
      <c r="E11" s="7">
        <v>120</v>
      </c>
      <c r="F11" s="7">
        <f t="shared" si="0"/>
        <v>1.2</v>
      </c>
      <c r="G11" s="6">
        <f t="shared" si="1"/>
        <v>50</v>
      </c>
      <c r="H11" s="12">
        <f t="shared" si="2"/>
        <v>6</v>
      </c>
      <c r="I11" s="6">
        <f t="shared" si="3"/>
        <v>125</v>
      </c>
      <c r="J11" s="10" t="s">
        <v>7</v>
      </c>
    </row>
    <row r="12" spans="2:10" x14ac:dyDescent="0.3">
      <c r="B12" s="188"/>
      <c r="C12" s="29" t="s">
        <v>35</v>
      </c>
      <c r="D12" s="6">
        <v>1</v>
      </c>
      <c r="E12" s="7">
        <v>210</v>
      </c>
      <c r="F12" s="7">
        <f t="shared" si="0"/>
        <v>0.21</v>
      </c>
      <c r="G12" s="6">
        <f t="shared" si="1"/>
        <v>5</v>
      </c>
      <c r="H12" s="12">
        <f t="shared" si="2"/>
        <v>1.05</v>
      </c>
      <c r="I12" s="6">
        <f t="shared" si="3"/>
        <v>12.5</v>
      </c>
      <c r="J12" s="10" t="s">
        <v>7</v>
      </c>
    </row>
    <row r="13" spans="2:10" x14ac:dyDescent="0.3">
      <c r="C13" s="24" t="s">
        <v>36</v>
      </c>
      <c r="D13" s="26">
        <v>0.02</v>
      </c>
      <c r="E13" s="7">
        <v>101</v>
      </c>
      <c r="F13" s="7">
        <f t="shared" si="0"/>
        <v>2.0200000000000001E-3</v>
      </c>
      <c r="G13" s="6">
        <f t="shared" si="1"/>
        <v>0.1</v>
      </c>
      <c r="H13" s="12">
        <f t="shared" si="2"/>
        <v>1.0100000000000001E-2</v>
      </c>
      <c r="I13" s="6">
        <f t="shared" si="3"/>
        <v>0.25</v>
      </c>
      <c r="J13" s="10" t="s">
        <v>7</v>
      </c>
    </row>
    <row r="14" spans="2:10" x14ac:dyDescent="0.3">
      <c r="C14" s="27"/>
      <c r="D14" s="19">
        <f>SUM(D5:D13)</f>
        <v>1000.52</v>
      </c>
      <c r="E14" s="20"/>
      <c r="F14" s="21">
        <f>SUM(F5:F13)</f>
        <v>7.3988199999999997</v>
      </c>
      <c r="G14" s="19">
        <f>SUM(G5:G13)</f>
        <v>5002.6000000000004</v>
      </c>
      <c r="H14" s="22">
        <f>SUM(H5:H13)</f>
        <v>36.994099999999996</v>
      </c>
      <c r="I14" s="19">
        <f>SUM(I5:I13)</f>
        <v>12506.5</v>
      </c>
      <c r="J14" s="23"/>
    </row>
    <row r="17" spans="2:10" ht="23.4" x14ac:dyDescent="0.45">
      <c r="C17" s="172" t="s">
        <v>475</v>
      </c>
      <c r="D17" s="173"/>
      <c r="E17" s="173"/>
      <c r="F17" s="173"/>
      <c r="G17" s="173"/>
      <c r="H17" s="173"/>
      <c r="I17" s="173"/>
      <c r="J17" s="174"/>
    </row>
    <row r="18" spans="2:10" ht="62.4" x14ac:dyDescent="0.3">
      <c r="B18" s="1">
        <v>3</v>
      </c>
      <c r="C18" s="2" t="s">
        <v>0</v>
      </c>
      <c r="D18" s="3" t="s">
        <v>1</v>
      </c>
      <c r="E18" s="3" t="s">
        <v>2</v>
      </c>
      <c r="F18" s="3" t="s">
        <v>24</v>
      </c>
      <c r="G18" s="3" t="s">
        <v>235</v>
      </c>
      <c r="H18" s="3" t="s">
        <v>25</v>
      </c>
      <c r="I18" s="3" t="s">
        <v>26</v>
      </c>
      <c r="J18" s="4"/>
    </row>
    <row r="19" spans="2:10" x14ac:dyDescent="0.3">
      <c r="B19" s="31">
        <v>1</v>
      </c>
      <c r="C19" s="29" t="s">
        <v>27</v>
      </c>
      <c r="D19" s="6">
        <v>189</v>
      </c>
      <c r="E19" s="7">
        <v>0.6</v>
      </c>
      <c r="F19" s="7">
        <f>(E19/1000)*D19</f>
        <v>0.11339999999999999</v>
      </c>
      <c r="G19" s="6">
        <f>(D19*5)</f>
        <v>945</v>
      </c>
      <c r="H19" s="12">
        <f>(E19/1000)*G19</f>
        <v>0.56699999999999995</v>
      </c>
      <c r="I19" s="6">
        <f>(D19*12.5)</f>
        <v>2362.5</v>
      </c>
      <c r="J19" s="10" t="s">
        <v>7</v>
      </c>
    </row>
    <row r="20" spans="2:10" x14ac:dyDescent="0.3">
      <c r="B20" s="31">
        <v>2</v>
      </c>
      <c r="C20" s="29" t="s">
        <v>28</v>
      </c>
      <c r="D20" s="6">
        <v>1</v>
      </c>
      <c r="E20" s="7">
        <v>25</v>
      </c>
      <c r="F20" s="7">
        <f t="shared" ref="F20:F27" si="4">(E20/1000)*D20</f>
        <v>2.5000000000000001E-2</v>
      </c>
      <c r="G20" s="6">
        <f t="shared" ref="G20:G27" si="5">(D20*5)</f>
        <v>5</v>
      </c>
      <c r="H20" s="12">
        <f t="shared" ref="H20:H27" si="6">(E20/1000)*G20</f>
        <v>0.125</v>
      </c>
      <c r="I20" s="6">
        <f t="shared" ref="I20:I27" si="7">(D20*12.5)</f>
        <v>12.5</v>
      </c>
      <c r="J20" s="10" t="s">
        <v>7</v>
      </c>
    </row>
    <row r="21" spans="2:10" x14ac:dyDescent="0.3">
      <c r="B21" s="31">
        <v>3</v>
      </c>
      <c r="C21" s="29" t="s">
        <v>29</v>
      </c>
      <c r="D21" s="11">
        <v>0.5</v>
      </c>
      <c r="E21" s="7">
        <v>60</v>
      </c>
      <c r="F21" s="7">
        <f t="shared" si="4"/>
        <v>0.03</v>
      </c>
      <c r="G21" s="6">
        <f t="shared" si="5"/>
        <v>2.5</v>
      </c>
      <c r="H21" s="12">
        <f t="shared" si="6"/>
        <v>0.15</v>
      </c>
      <c r="I21" s="6">
        <f t="shared" si="7"/>
        <v>6.25</v>
      </c>
      <c r="J21" s="10" t="s">
        <v>7</v>
      </c>
    </row>
    <row r="22" spans="2:10" x14ac:dyDescent="0.3">
      <c r="B22" s="31">
        <v>4</v>
      </c>
      <c r="C22" s="29" t="s">
        <v>30</v>
      </c>
      <c r="D22" s="6">
        <v>3</v>
      </c>
      <c r="E22" s="7">
        <v>36</v>
      </c>
      <c r="F22" s="7">
        <f t="shared" si="4"/>
        <v>0.10799999999999998</v>
      </c>
      <c r="G22" s="6">
        <f t="shared" si="5"/>
        <v>15</v>
      </c>
      <c r="H22" s="12">
        <f t="shared" si="6"/>
        <v>0.53999999999999992</v>
      </c>
      <c r="I22" s="6">
        <f t="shared" si="7"/>
        <v>37.5</v>
      </c>
      <c r="J22" s="10" t="s">
        <v>7</v>
      </c>
    </row>
    <row r="23" spans="2:10" x14ac:dyDescent="0.3">
      <c r="B23" s="28">
        <v>5</v>
      </c>
      <c r="C23" s="24" t="s">
        <v>31</v>
      </c>
      <c r="D23" s="6">
        <v>100</v>
      </c>
      <c r="E23" s="7">
        <v>8</v>
      </c>
      <c r="F23" s="7">
        <f t="shared" si="4"/>
        <v>0.8</v>
      </c>
      <c r="G23" s="6">
        <f t="shared" si="5"/>
        <v>500</v>
      </c>
      <c r="H23" s="12">
        <f t="shared" si="6"/>
        <v>4</v>
      </c>
      <c r="I23" s="6">
        <f t="shared" si="7"/>
        <v>1250</v>
      </c>
      <c r="J23" s="10" t="s">
        <v>7</v>
      </c>
    </row>
    <row r="24" spans="2:10" x14ac:dyDescent="0.3">
      <c r="B24" s="186" t="s">
        <v>38</v>
      </c>
      <c r="C24" s="29" t="s">
        <v>32</v>
      </c>
      <c r="D24" s="6">
        <v>696</v>
      </c>
      <c r="E24" s="7">
        <v>7</v>
      </c>
      <c r="F24" s="7">
        <f t="shared" si="4"/>
        <v>4.8719999999999999</v>
      </c>
      <c r="G24" s="6">
        <f t="shared" si="5"/>
        <v>3480</v>
      </c>
      <c r="H24" s="12">
        <f t="shared" si="6"/>
        <v>24.36</v>
      </c>
      <c r="I24" s="6">
        <f t="shared" si="7"/>
        <v>8700</v>
      </c>
      <c r="J24" s="10" t="s">
        <v>7</v>
      </c>
    </row>
    <row r="25" spans="2:10" x14ac:dyDescent="0.3">
      <c r="B25" s="187"/>
      <c r="C25" s="29" t="s">
        <v>144</v>
      </c>
      <c r="D25" s="25">
        <v>10</v>
      </c>
      <c r="E25" s="7">
        <v>368</v>
      </c>
      <c r="F25" s="7">
        <f t="shared" si="4"/>
        <v>3.6799999999999997</v>
      </c>
      <c r="G25" s="6">
        <f t="shared" si="5"/>
        <v>50</v>
      </c>
      <c r="H25" s="12">
        <f t="shared" si="6"/>
        <v>18.399999999999999</v>
      </c>
      <c r="I25" s="6">
        <f t="shared" si="7"/>
        <v>125</v>
      </c>
      <c r="J25" s="10" t="s">
        <v>7</v>
      </c>
    </row>
    <row r="26" spans="2:10" x14ac:dyDescent="0.3">
      <c r="B26" s="188"/>
      <c r="C26" s="29" t="s">
        <v>35</v>
      </c>
      <c r="D26" s="6">
        <v>1</v>
      </c>
      <c r="E26" s="7">
        <v>210</v>
      </c>
      <c r="F26" s="7">
        <f t="shared" si="4"/>
        <v>0.21</v>
      </c>
      <c r="G26" s="6">
        <f t="shared" si="5"/>
        <v>5</v>
      </c>
      <c r="H26" s="12">
        <f t="shared" si="6"/>
        <v>1.05</v>
      </c>
      <c r="I26" s="6">
        <f t="shared" si="7"/>
        <v>12.5</v>
      </c>
      <c r="J26" s="10" t="s">
        <v>7</v>
      </c>
    </row>
    <row r="27" spans="2:10" x14ac:dyDescent="0.3">
      <c r="C27" s="24" t="s">
        <v>36</v>
      </c>
      <c r="D27" s="26">
        <v>0.02</v>
      </c>
      <c r="E27" s="7">
        <v>101</v>
      </c>
      <c r="F27" s="7">
        <f t="shared" si="4"/>
        <v>2.0200000000000001E-3</v>
      </c>
      <c r="G27" s="6">
        <f t="shared" si="5"/>
        <v>0.1</v>
      </c>
      <c r="H27" s="12">
        <f t="shared" si="6"/>
        <v>1.0100000000000001E-2</v>
      </c>
      <c r="I27" s="6">
        <f t="shared" si="7"/>
        <v>0.25</v>
      </c>
      <c r="J27" s="10" t="s">
        <v>7</v>
      </c>
    </row>
    <row r="28" spans="2:10" x14ac:dyDescent="0.3">
      <c r="C28" s="27"/>
      <c r="D28" s="19">
        <f>SUM(D19:D27)</f>
        <v>1000.52</v>
      </c>
      <c r="E28" s="20"/>
      <c r="F28" s="21">
        <f>SUM(F19:F27)</f>
        <v>9.8404199999999999</v>
      </c>
      <c r="G28" s="19">
        <f>SUM(G19:G27)</f>
        <v>5002.6000000000004</v>
      </c>
      <c r="H28" s="22">
        <f>SUM(H19:H27)</f>
        <v>49.202099999999994</v>
      </c>
      <c r="I28" s="19">
        <f>SUM(I19:I27)</f>
        <v>12506.5</v>
      </c>
      <c r="J28" s="23"/>
    </row>
    <row r="31" spans="2:10" ht="23.4" x14ac:dyDescent="0.45">
      <c r="C31" s="172" t="s">
        <v>476</v>
      </c>
      <c r="D31" s="173"/>
      <c r="E31" s="173"/>
      <c r="F31" s="173"/>
      <c r="G31" s="173"/>
      <c r="H31" s="173"/>
      <c r="I31" s="173"/>
      <c r="J31" s="174"/>
    </row>
    <row r="32" spans="2:10" ht="62.4" x14ac:dyDescent="0.3">
      <c r="B32" s="1">
        <v>3</v>
      </c>
      <c r="C32" s="2" t="s">
        <v>0</v>
      </c>
      <c r="D32" s="3" t="s">
        <v>1</v>
      </c>
      <c r="E32" s="3" t="s">
        <v>2</v>
      </c>
      <c r="F32" s="3" t="s">
        <v>24</v>
      </c>
      <c r="G32" s="3" t="s">
        <v>235</v>
      </c>
      <c r="H32" s="3" t="s">
        <v>25</v>
      </c>
      <c r="I32" s="3" t="s">
        <v>26</v>
      </c>
      <c r="J32" s="4"/>
    </row>
    <row r="33" spans="2:10" x14ac:dyDescent="0.3">
      <c r="B33" s="31">
        <v>1</v>
      </c>
      <c r="C33" s="29" t="s">
        <v>27</v>
      </c>
      <c r="D33" s="6">
        <v>189</v>
      </c>
      <c r="E33" s="7">
        <v>0.6</v>
      </c>
      <c r="F33" s="7">
        <f>(E33/1000)*D33</f>
        <v>0.11339999999999999</v>
      </c>
      <c r="G33" s="6">
        <f>(D33*5)</f>
        <v>945</v>
      </c>
      <c r="H33" s="12">
        <f>(E33/1000)*G33</f>
        <v>0.56699999999999995</v>
      </c>
      <c r="I33" s="6">
        <f>(D33*12.5)</f>
        <v>2362.5</v>
      </c>
      <c r="J33" s="10" t="s">
        <v>7</v>
      </c>
    </row>
    <row r="34" spans="2:10" x14ac:dyDescent="0.3">
      <c r="B34" s="31">
        <v>2</v>
      </c>
      <c r="C34" s="29" t="s">
        <v>28</v>
      </c>
      <c r="D34" s="6">
        <v>1</v>
      </c>
      <c r="E34" s="7">
        <v>25</v>
      </c>
      <c r="F34" s="7">
        <f t="shared" ref="F34:F41" si="8">(E34/1000)*D34</f>
        <v>2.5000000000000001E-2</v>
      </c>
      <c r="G34" s="6">
        <f t="shared" ref="G34:G41" si="9">(D34*5)</f>
        <v>5</v>
      </c>
      <c r="H34" s="12">
        <f t="shared" ref="H34:H41" si="10">(E34/1000)*G34</f>
        <v>0.125</v>
      </c>
      <c r="I34" s="6">
        <f t="shared" ref="I34:I41" si="11">(D34*12.5)</f>
        <v>12.5</v>
      </c>
      <c r="J34" s="10" t="s">
        <v>7</v>
      </c>
    </row>
    <row r="35" spans="2:10" x14ac:dyDescent="0.3">
      <c r="B35" s="31">
        <v>3</v>
      </c>
      <c r="C35" s="29" t="s">
        <v>29</v>
      </c>
      <c r="D35" s="11">
        <v>0.5</v>
      </c>
      <c r="E35" s="7">
        <v>60</v>
      </c>
      <c r="F35" s="7">
        <f t="shared" si="8"/>
        <v>0.03</v>
      </c>
      <c r="G35" s="6">
        <f t="shared" si="9"/>
        <v>2.5</v>
      </c>
      <c r="H35" s="12">
        <f t="shared" si="10"/>
        <v>0.15</v>
      </c>
      <c r="I35" s="6">
        <f t="shared" si="11"/>
        <v>6.25</v>
      </c>
      <c r="J35" s="10" t="s">
        <v>7</v>
      </c>
    </row>
    <row r="36" spans="2:10" x14ac:dyDescent="0.3">
      <c r="B36" s="31">
        <v>4</v>
      </c>
      <c r="C36" s="29" t="s">
        <v>30</v>
      </c>
      <c r="D36" s="6">
        <v>3</v>
      </c>
      <c r="E36" s="7">
        <v>36</v>
      </c>
      <c r="F36" s="7">
        <f t="shared" si="8"/>
        <v>0.10799999999999998</v>
      </c>
      <c r="G36" s="6">
        <f t="shared" si="9"/>
        <v>15</v>
      </c>
      <c r="H36" s="12">
        <f t="shared" si="10"/>
        <v>0.53999999999999992</v>
      </c>
      <c r="I36" s="6">
        <f t="shared" si="11"/>
        <v>37.5</v>
      </c>
      <c r="J36" s="10" t="s">
        <v>7</v>
      </c>
    </row>
    <row r="37" spans="2:10" x14ac:dyDescent="0.3">
      <c r="B37" s="28">
        <v>5</v>
      </c>
      <c r="C37" s="24" t="s">
        <v>31</v>
      </c>
      <c r="D37" s="6">
        <v>100</v>
      </c>
      <c r="E37" s="7">
        <v>8</v>
      </c>
      <c r="F37" s="7">
        <f t="shared" si="8"/>
        <v>0.8</v>
      </c>
      <c r="G37" s="6">
        <f t="shared" si="9"/>
        <v>500</v>
      </c>
      <c r="H37" s="12">
        <f t="shared" si="10"/>
        <v>4</v>
      </c>
      <c r="I37" s="6">
        <f t="shared" si="11"/>
        <v>1250</v>
      </c>
      <c r="J37" s="10" t="s">
        <v>7</v>
      </c>
    </row>
    <row r="38" spans="2:10" x14ac:dyDescent="0.3">
      <c r="B38" s="186" t="s">
        <v>38</v>
      </c>
      <c r="C38" s="29" t="s">
        <v>32</v>
      </c>
      <c r="D38" s="6">
        <v>696</v>
      </c>
      <c r="E38" s="7">
        <v>7</v>
      </c>
      <c r="F38" s="7">
        <f t="shared" si="8"/>
        <v>4.8719999999999999</v>
      </c>
      <c r="G38" s="6">
        <f t="shared" si="9"/>
        <v>3480</v>
      </c>
      <c r="H38" s="12">
        <f t="shared" si="10"/>
        <v>24.36</v>
      </c>
      <c r="I38" s="6">
        <f t="shared" si="11"/>
        <v>8700</v>
      </c>
      <c r="J38" s="10" t="s">
        <v>7</v>
      </c>
    </row>
    <row r="39" spans="2:10" x14ac:dyDescent="0.3">
      <c r="B39" s="187"/>
      <c r="C39" s="29" t="s">
        <v>477</v>
      </c>
      <c r="D39" s="25">
        <v>10</v>
      </c>
      <c r="E39" s="7">
        <v>120</v>
      </c>
      <c r="F39" s="7">
        <f t="shared" si="8"/>
        <v>1.2</v>
      </c>
      <c r="G39" s="6">
        <f t="shared" si="9"/>
        <v>50</v>
      </c>
      <c r="H39" s="12">
        <f t="shared" si="10"/>
        <v>6</v>
      </c>
      <c r="I39" s="6">
        <f t="shared" si="11"/>
        <v>125</v>
      </c>
      <c r="J39" s="10" t="s">
        <v>7</v>
      </c>
    </row>
    <row r="40" spans="2:10" x14ac:dyDescent="0.3">
      <c r="B40" s="188"/>
      <c r="C40" s="29" t="s">
        <v>35</v>
      </c>
      <c r="D40" s="6">
        <v>1</v>
      </c>
      <c r="E40" s="7">
        <v>210</v>
      </c>
      <c r="F40" s="7">
        <f t="shared" si="8"/>
        <v>0.21</v>
      </c>
      <c r="G40" s="6">
        <f t="shared" si="9"/>
        <v>5</v>
      </c>
      <c r="H40" s="12">
        <f t="shared" si="10"/>
        <v>1.05</v>
      </c>
      <c r="I40" s="6">
        <f t="shared" si="11"/>
        <v>12.5</v>
      </c>
      <c r="J40" s="10" t="s">
        <v>7</v>
      </c>
    </row>
    <row r="41" spans="2:10" x14ac:dyDescent="0.3">
      <c r="C41" s="24" t="s">
        <v>36</v>
      </c>
      <c r="D41" s="26">
        <v>0.02</v>
      </c>
      <c r="E41" s="7">
        <v>101</v>
      </c>
      <c r="F41" s="7">
        <f t="shared" si="8"/>
        <v>2.0200000000000001E-3</v>
      </c>
      <c r="G41" s="6">
        <f t="shared" si="9"/>
        <v>0.1</v>
      </c>
      <c r="H41" s="12">
        <f t="shared" si="10"/>
        <v>1.0100000000000001E-2</v>
      </c>
      <c r="I41" s="6">
        <f t="shared" si="11"/>
        <v>0.25</v>
      </c>
      <c r="J41" s="10" t="s">
        <v>7</v>
      </c>
    </row>
    <row r="42" spans="2:10" x14ac:dyDescent="0.3">
      <c r="C42" s="27"/>
      <c r="D42" s="19">
        <f>SUM(D33:D41)</f>
        <v>1000.52</v>
      </c>
      <c r="E42" s="20"/>
      <c r="F42" s="21">
        <f>SUM(F33:F41)</f>
        <v>7.3604199999999995</v>
      </c>
      <c r="G42" s="19">
        <f>SUM(G33:G41)</f>
        <v>5002.6000000000004</v>
      </c>
      <c r="H42" s="22">
        <f>SUM(H33:H41)</f>
        <v>36.802099999999996</v>
      </c>
      <c r="I42" s="19">
        <f>SUM(I33:I41)</f>
        <v>12506.5</v>
      </c>
      <c r="J42" s="23"/>
    </row>
    <row r="46" spans="2:10" ht="23.4" x14ac:dyDescent="0.45">
      <c r="C46" s="172" t="s">
        <v>876</v>
      </c>
      <c r="D46" s="173"/>
      <c r="E46" s="173"/>
      <c r="F46" s="173"/>
      <c r="G46" s="173"/>
      <c r="H46" s="173"/>
      <c r="I46" s="174"/>
    </row>
    <row r="47" spans="2:10" ht="62.4" x14ac:dyDescent="0.3">
      <c r="B47" s="1">
        <v>27</v>
      </c>
      <c r="C47" s="2" t="s">
        <v>0</v>
      </c>
      <c r="D47" s="3" t="s">
        <v>1</v>
      </c>
      <c r="E47" s="3" t="s">
        <v>90</v>
      </c>
      <c r="F47" s="3" t="s">
        <v>152</v>
      </c>
      <c r="G47" s="3" t="s">
        <v>652</v>
      </c>
      <c r="H47" s="4" t="s">
        <v>563</v>
      </c>
      <c r="I47" s="3" t="s">
        <v>564</v>
      </c>
    </row>
    <row r="48" spans="2:10" ht="15.6" x14ac:dyDescent="0.3">
      <c r="C48" s="41" t="s">
        <v>60</v>
      </c>
      <c r="D48" s="42">
        <v>2.5</v>
      </c>
      <c r="E48" s="7">
        <v>18</v>
      </c>
      <c r="F48" s="7">
        <f>(E48/1000)*D48</f>
        <v>4.4999999999999998E-2</v>
      </c>
      <c r="G48" s="6">
        <f>(D48*50)</f>
        <v>125</v>
      </c>
      <c r="H48" s="6">
        <f>D48*25</f>
        <v>62.5</v>
      </c>
      <c r="I48" s="6">
        <f>(D48*20)</f>
        <v>50</v>
      </c>
    </row>
    <row r="49" spans="3:10" ht="15.6" x14ac:dyDescent="0.3">
      <c r="C49" s="41" t="s">
        <v>157</v>
      </c>
      <c r="D49" s="42">
        <v>10</v>
      </c>
      <c r="E49" s="44">
        <v>180</v>
      </c>
      <c r="F49" s="7">
        <f t="shared" ref="F49:F60" si="12">(E49/1000)*D49</f>
        <v>1.7999999999999998</v>
      </c>
      <c r="G49" s="6">
        <f t="shared" ref="G49:G60" si="13">(D49*50)</f>
        <v>500</v>
      </c>
      <c r="H49" s="6">
        <f t="shared" ref="H49:H60" si="14">D49*25</f>
        <v>250</v>
      </c>
      <c r="I49" s="6">
        <f t="shared" ref="I49:I60" si="15">(D49*20)</f>
        <v>200</v>
      </c>
    </row>
    <row r="50" spans="3:10" ht="15.6" x14ac:dyDescent="0.3">
      <c r="C50" s="41" t="s">
        <v>67</v>
      </c>
      <c r="D50" s="42">
        <v>80</v>
      </c>
      <c r="E50" s="44">
        <v>24</v>
      </c>
      <c r="F50" s="7">
        <f t="shared" si="12"/>
        <v>1.92</v>
      </c>
      <c r="G50" s="6">
        <f t="shared" si="13"/>
        <v>4000</v>
      </c>
      <c r="H50" s="6">
        <f t="shared" si="14"/>
        <v>2000</v>
      </c>
      <c r="I50" s="6">
        <f t="shared" si="15"/>
        <v>1600</v>
      </c>
    </row>
    <row r="51" spans="3:10" ht="15.6" x14ac:dyDescent="0.3">
      <c r="C51" s="41" t="s">
        <v>68</v>
      </c>
      <c r="D51" s="42">
        <v>80</v>
      </c>
      <c r="E51" s="44">
        <v>25</v>
      </c>
      <c r="F51" s="7">
        <f t="shared" si="12"/>
        <v>2</v>
      </c>
      <c r="G51" s="6">
        <f t="shared" si="13"/>
        <v>4000</v>
      </c>
      <c r="H51" s="6">
        <f t="shared" si="14"/>
        <v>2000</v>
      </c>
      <c r="I51" s="6">
        <f t="shared" si="15"/>
        <v>1600</v>
      </c>
    </row>
    <row r="52" spans="3:10" ht="15.6" x14ac:dyDescent="0.3">
      <c r="C52" s="41" t="s">
        <v>35</v>
      </c>
      <c r="D52" s="42">
        <v>10</v>
      </c>
      <c r="E52" s="44">
        <v>200</v>
      </c>
      <c r="F52" s="7">
        <f t="shared" si="12"/>
        <v>2</v>
      </c>
      <c r="G52" s="6">
        <f t="shared" si="13"/>
        <v>500</v>
      </c>
      <c r="H52" s="6">
        <f t="shared" si="14"/>
        <v>250</v>
      </c>
      <c r="I52" s="6">
        <f t="shared" si="15"/>
        <v>200</v>
      </c>
    </row>
    <row r="53" spans="3:10" ht="15.6" x14ac:dyDescent="0.3">
      <c r="C53" s="41" t="s">
        <v>282</v>
      </c>
      <c r="D53" s="42">
        <v>5</v>
      </c>
      <c r="E53" s="44">
        <v>390</v>
      </c>
      <c r="F53" s="7">
        <f t="shared" si="12"/>
        <v>1.9500000000000002</v>
      </c>
      <c r="G53" s="6">
        <f t="shared" si="13"/>
        <v>250</v>
      </c>
      <c r="H53" s="6">
        <f t="shared" si="14"/>
        <v>125</v>
      </c>
      <c r="I53" s="6">
        <f t="shared" si="15"/>
        <v>100</v>
      </c>
    </row>
    <row r="54" spans="3:10" ht="15.6" x14ac:dyDescent="0.3">
      <c r="C54" s="41" t="s">
        <v>506</v>
      </c>
      <c r="D54" s="42">
        <v>5</v>
      </c>
      <c r="E54" s="44">
        <v>185</v>
      </c>
      <c r="F54" s="7">
        <f t="shared" si="12"/>
        <v>0.92500000000000004</v>
      </c>
      <c r="G54" s="6">
        <f t="shared" si="13"/>
        <v>250</v>
      </c>
      <c r="H54" s="6">
        <f t="shared" si="14"/>
        <v>125</v>
      </c>
      <c r="I54" s="6">
        <f t="shared" si="15"/>
        <v>100</v>
      </c>
    </row>
    <row r="55" spans="3:10" ht="15.6" x14ac:dyDescent="0.3">
      <c r="C55" s="41" t="s">
        <v>240</v>
      </c>
      <c r="D55" s="42">
        <v>1</v>
      </c>
      <c r="E55" s="44">
        <v>370</v>
      </c>
      <c r="F55" s="7">
        <f t="shared" si="12"/>
        <v>0.37</v>
      </c>
      <c r="G55" s="6">
        <f t="shared" si="13"/>
        <v>50</v>
      </c>
      <c r="H55" s="6">
        <f t="shared" si="14"/>
        <v>25</v>
      </c>
      <c r="I55" s="6">
        <f t="shared" si="15"/>
        <v>20</v>
      </c>
    </row>
    <row r="56" spans="3:10" ht="15.6" x14ac:dyDescent="0.3">
      <c r="C56" s="85" t="s">
        <v>507</v>
      </c>
      <c r="D56" s="42">
        <v>5</v>
      </c>
      <c r="E56" s="44">
        <v>124</v>
      </c>
      <c r="F56" s="7">
        <f t="shared" si="12"/>
        <v>0.62</v>
      </c>
      <c r="G56" s="6">
        <f t="shared" si="13"/>
        <v>250</v>
      </c>
      <c r="H56" s="6">
        <f t="shared" si="14"/>
        <v>125</v>
      </c>
      <c r="I56" s="6">
        <f t="shared" si="15"/>
        <v>100</v>
      </c>
    </row>
    <row r="57" spans="3:10" ht="15.6" x14ac:dyDescent="0.3">
      <c r="C57" s="85" t="s">
        <v>508</v>
      </c>
      <c r="D57" s="42">
        <v>3</v>
      </c>
      <c r="E57" s="44">
        <v>125</v>
      </c>
      <c r="F57" s="7">
        <f t="shared" si="12"/>
        <v>0.375</v>
      </c>
      <c r="G57" s="6">
        <f t="shared" si="13"/>
        <v>150</v>
      </c>
      <c r="H57" s="6">
        <f t="shared" si="14"/>
        <v>75</v>
      </c>
      <c r="I57" s="6">
        <f t="shared" si="15"/>
        <v>60</v>
      </c>
    </row>
    <row r="58" spans="3:10" ht="15.6" x14ac:dyDescent="0.3">
      <c r="C58" s="85" t="s">
        <v>415</v>
      </c>
      <c r="D58" s="42">
        <v>5</v>
      </c>
      <c r="E58" s="44">
        <v>130</v>
      </c>
      <c r="F58" s="7">
        <f t="shared" si="12"/>
        <v>0.65</v>
      </c>
      <c r="G58" s="6">
        <f t="shared" si="13"/>
        <v>250</v>
      </c>
      <c r="H58" s="6">
        <f t="shared" si="14"/>
        <v>125</v>
      </c>
      <c r="I58" s="6">
        <f t="shared" si="15"/>
        <v>100</v>
      </c>
    </row>
    <row r="59" spans="3:10" ht="15.6" x14ac:dyDescent="0.3">
      <c r="C59" s="85" t="s">
        <v>48</v>
      </c>
      <c r="D59" s="42">
        <v>2</v>
      </c>
      <c r="E59" s="44">
        <v>50</v>
      </c>
      <c r="F59" s="7">
        <f t="shared" si="12"/>
        <v>0.1</v>
      </c>
      <c r="G59" s="6">
        <f t="shared" si="13"/>
        <v>100</v>
      </c>
      <c r="H59" s="6">
        <f t="shared" si="14"/>
        <v>50</v>
      </c>
      <c r="I59" s="6">
        <f t="shared" si="15"/>
        <v>40</v>
      </c>
    </row>
    <row r="60" spans="3:10" ht="15.6" x14ac:dyDescent="0.3">
      <c r="C60" s="41" t="s">
        <v>16</v>
      </c>
      <c r="D60" s="42">
        <v>791</v>
      </c>
      <c r="E60" s="44">
        <v>0.6</v>
      </c>
      <c r="F60" s="7">
        <f t="shared" si="12"/>
        <v>0.47459999999999997</v>
      </c>
      <c r="G60" s="6">
        <f t="shared" si="13"/>
        <v>39550</v>
      </c>
      <c r="H60" s="6">
        <f t="shared" si="14"/>
        <v>19775</v>
      </c>
      <c r="I60" s="6">
        <f t="shared" si="15"/>
        <v>15820</v>
      </c>
    </row>
    <row r="61" spans="3:10" x14ac:dyDescent="0.3">
      <c r="D61" s="50">
        <f>SUM(D48:D60)</f>
        <v>999.5</v>
      </c>
      <c r="E61" s="51"/>
      <c r="F61" s="52">
        <f>SUM(F48:F60)</f>
        <v>13.2296</v>
      </c>
      <c r="G61" s="50">
        <f>SUM(G48:G60)</f>
        <v>49975</v>
      </c>
      <c r="H61" s="155">
        <f>SUM(H48:H60)</f>
        <v>24987.5</v>
      </c>
      <c r="I61" s="50">
        <f>SUM(I48:I60)</f>
        <v>19990</v>
      </c>
      <c r="J61" s="163"/>
    </row>
    <row r="65" spans="2:9" ht="23.4" x14ac:dyDescent="0.45">
      <c r="C65" s="266" t="s">
        <v>910</v>
      </c>
      <c r="D65" s="222"/>
      <c r="E65" s="222"/>
      <c r="F65" s="222"/>
      <c r="G65" s="222"/>
      <c r="H65" s="222"/>
      <c r="I65" s="222"/>
    </row>
    <row r="66" spans="2:9" ht="46.8" x14ac:dyDescent="0.3">
      <c r="B66" s="224">
        <v>11</v>
      </c>
      <c r="C66" s="225" t="s">
        <v>0</v>
      </c>
      <c r="D66" s="226" t="s">
        <v>1</v>
      </c>
      <c r="E66" s="226" t="s">
        <v>2</v>
      </c>
      <c r="F66" s="226" t="s">
        <v>819</v>
      </c>
      <c r="G66" s="226" t="s">
        <v>407</v>
      </c>
      <c r="H66" s="226" t="s">
        <v>126</v>
      </c>
      <c r="I66" s="226" t="s">
        <v>408</v>
      </c>
    </row>
    <row r="67" spans="2:9" x14ac:dyDescent="0.3">
      <c r="C67" s="302" t="s">
        <v>16</v>
      </c>
      <c r="D67" s="35">
        <v>727</v>
      </c>
      <c r="E67" s="303"/>
      <c r="F67" s="231">
        <f>(E67/1000)*D68</f>
        <v>0</v>
      </c>
      <c r="G67" s="229"/>
      <c r="H67" s="229"/>
      <c r="I67" s="229"/>
    </row>
    <row r="68" spans="2:9" ht="15.6" x14ac:dyDescent="0.3">
      <c r="C68" s="289" t="s">
        <v>19</v>
      </c>
      <c r="D68" s="262">
        <v>50</v>
      </c>
      <c r="E68" s="230"/>
      <c r="F68" s="231"/>
      <c r="G68" s="229"/>
      <c r="H68" s="229"/>
      <c r="I68" s="229"/>
    </row>
    <row r="69" spans="2:9" ht="15.6" x14ac:dyDescent="0.3">
      <c r="C69" s="289" t="s">
        <v>124</v>
      </c>
      <c r="D69" s="229">
        <v>20</v>
      </c>
      <c r="E69" s="230"/>
      <c r="F69" s="231"/>
      <c r="G69" s="229"/>
      <c r="H69" s="229"/>
      <c r="I69" s="229"/>
    </row>
    <row r="70" spans="2:9" ht="15.6" x14ac:dyDescent="0.3">
      <c r="C70" s="289" t="s">
        <v>911</v>
      </c>
      <c r="D70" s="229">
        <v>5</v>
      </c>
      <c r="E70" s="230"/>
      <c r="F70" s="231"/>
      <c r="G70" s="229"/>
      <c r="H70" s="229"/>
      <c r="I70" s="229"/>
    </row>
    <row r="71" spans="2:9" ht="15.6" x14ac:dyDescent="0.3">
      <c r="C71" s="289" t="s">
        <v>372</v>
      </c>
      <c r="D71" s="304">
        <v>70</v>
      </c>
      <c r="E71" s="230"/>
      <c r="F71" s="231"/>
      <c r="G71" s="229"/>
      <c r="H71" s="229"/>
      <c r="I71" s="229"/>
    </row>
    <row r="72" spans="2:9" ht="15.6" x14ac:dyDescent="0.3">
      <c r="C72" s="289" t="s">
        <v>67</v>
      </c>
      <c r="D72" s="229">
        <v>70</v>
      </c>
      <c r="E72" s="230"/>
      <c r="F72" s="231"/>
      <c r="G72" s="229"/>
      <c r="H72" s="229"/>
      <c r="I72" s="229"/>
    </row>
    <row r="73" spans="2:9" ht="15.6" x14ac:dyDescent="0.3">
      <c r="C73" s="289" t="s">
        <v>404</v>
      </c>
      <c r="D73" s="229">
        <v>50</v>
      </c>
      <c r="E73" s="230"/>
      <c r="F73" s="231"/>
      <c r="G73" s="229"/>
      <c r="H73" s="229"/>
      <c r="I73" s="229"/>
    </row>
    <row r="74" spans="2:9" ht="15.6" x14ac:dyDescent="0.3">
      <c r="C74" s="289" t="s">
        <v>912</v>
      </c>
      <c r="D74" s="229">
        <v>1</v>
      </c>
      <c r="E74" s="230"/>
      <c r="F74" s="231"/>
      <c r="G74" s="229"/>
      <c r="H74" s="229"/>
      <c r="I74" s="229"/>
    </row>
    <row r="75" spans="2:9" ht="15.6" x14ac:dyDescent="0.3">
      <c r="C75" s="289" t="s">
        <v>853</v>
      </c>
      <c r="D75" s="229">
        <v>2</v>
      </c>
      <c r="E75" s="230"/>
      <c r="F75" s="231"/>
      <c r="G75" s="229"/>
      <c r="H75" s="229"/>
      <c r="I75" s="229"/>
    </row>
    <row r="76" spans="2:9" ht="15.6" x14ac:dyDescent="0.3">
      <c r="C76" s="289" t="s">
        <v>20</v>
      </c>
      <c r="D76" s="229">
        <v>2</v>
      </c>
      <c r="E76" s="230"/>
      <c r="F76" s="231"/>
      <c r="G76" s="229"/>
      <c r="H76" s="229"/>
      <c r="I76" s="229"/>
    </row>
    <row r="77" spans="2:9" ht="15.6" x14ac:dyDescent="0.3">
      <c r="C77" s="289" t="s">
        <v>646</v>
      </c>
      <c r="D77" s="301">
        <v>2.5</v>
      </c>
      <c r="E77" s="297"/>
      <c r="F77" s="298"/>
      <c r="G77" s="296"/>
      <c r="H77" s="299"/>
      <c r="I77" s="299"/>
    </row>
    <row r="78" spans="2:9" x14ac:dyDescent="0.3">
      <c r="C78" s="235"/>
      <c r="D78" s="253">
        <f>SUM(D67:D77)</f>
        <v>999.5</v>
      </c>
      <c r="E78" s="254"/>
      <c r="F78" s="255">
        <f>SUM(F67:F76)</f>
        <v>0</v>
      </c>
      <c r="G78" s="253">
        <f>SUM(G67:G76)</f>
        <v>0</v>
      </c>
      <c r="H78" s="258">
        <f>SUM(H67:H76)</f>
        <v>0</v>
      </c>
      <c r="I78" s="258">
        <f>SUM(I67:I76)</f>
        <v>0</v>
      </c>
    </row>
  </sheetData>
  <mergeCells count="8">
    <mergeCell ref="C65:I65"/>
    <mergeCell ref="C46:I46"/>
    <mergeCell ref="B38:B40"/>
    <mergeCell ref="C3:J3"/>
    <mergeCell ref="B10:B12"/>
    <mergeCell ref="C17:J17"/>
    <mergeCell ref="B24:B26"/>
    <mergeCell ref="C31:J3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C91A-1E4F-412A-89D5-0B5D9BDB5A4C}">
  <dimension ref="C3:P46"/>
  <sheetViews>
    <sheetView workbookViewId="0">
      <selection activeCell="C33" sqref="C33:J46"/>
    </sheetView>
  </sheetViews>
  <sheetFormatPr baseColWidth="10" defaultRowHeight="14.4" x14ac:dyDescent="0.3"/>
  <cols>
    <col min="4" max="4" width="28.44140625" customWidth="1"/>
    <col min="6" max="7" width="0" hidden="1" customWidth="1"/>
  </cols>
  <sheetData>
    <row r="3" spans="3:16" ht="23.4" x14ac:dyDescent="0.45">
      <c r="D3" s="172" t="s">
        <v>644</v>
      </c>
      <c r="E3" s="173"/>
      <c r="F3" s="173"/>
      <c r="G3" s="173"/>
      <c r="H3" s="173"/>
      <c r="I3" s="173"/>
      <c r="J3" s="174"/>
    </row>
    <row r="4" spans="3:16" ht="62.4" x14ac:dyDescent="0.3">
      <c r="C4" s="1">
        <v>27</v>
      </c>
      <c r="D4" s="2" t="s">
        <v>0</v>
      </c>
      <c r="E4" s="3" t="s">
        <v>1</v>
      </c>
      <c r="F4" s="3" t="s">
        <v>90</v>
      </c>
      <c r="G4" s="3" t="s">
        <v>152</v>
      </c>
      <c r="H4" s="3" t="s">
        <v>562</v>
      </c>
      <c r="I4" s="4" t="s">
        <v>563</v>
      </c>
      <c r="J4" s="3" t="s">
        <v>564</v>
      </c>
      <c r="P4" t="s">
        <v>114</v>
      </c>
    </row>
    <row r="5" spans="3:16" ht="15.6" x14ac:dyDescent="0.3">
      <c r="D5" s="41" t="s">
        <v>343</v>
      </c>
      <c r="E5" s="42">
        <v>7</v>
      </c>
      <c r="F5" s="7"/>
      <c r="G5" s="7">
        <f>(F5/1000)*E5</f>
        <v>0</v>
      </c>
      <c r="H5" s="6">
        <f>(E5*60)</f>
        <v>420</v>
      </c>
      <c r="I5" s="6">
        <f>E5*25</f>
        <v>175</v>
      </c>
      <c r="J5" s="6">
        <f>(E5*20)</f>
        <v>140</v>
      </c>
    </row>
    <row r="6" spans="3:16" ht="15.6" x14ac:dyDescent="0.3">
      <c r="D6" s="41" t="s">
        <v>167</v>
      </c>
      <c r="E6" s="42">
        <v>8</v>
      </c>
      <c r="F6" s="44">
        <v>75</v>
      </c>
      <c r="G6" s="7">
        <f t="shared" ref="G6:G14" si="0">(F6/1000)*E6</f>
        <v>0.6</v>
      </c>
      <c r="H6" s="6">
        <f t="shared" ref="H6:H14" si="1">(E6*60)</f>
        <v>480</v>
      </c>
      <c r="I6" s="6">
        <f t="shared" ref="I6:I14" si="2">E6*25</f>
        <v>200</v>
      </c>
      <c r="J6" s="6">
        <f t="shared" ref="J6:J14" si="3">(E6*20)</f>
        <v>160</v>
      </c>
    </row>
    <row r="7" spans="3:16" ht="15.6" x14ac:dyDescent="0.3">
      <c r="D7" s="41" t="s">
        <v>59</v>
      </c>
      <c r="E7" s="42">
        <v>30</v>
      </c>
      <c r="F7" s="44">
        <v>8</v>
      </c>
      <c r="G7" s="7">
        <f t="shared" si="0"/>
        <v>0.24</v>
      </c>
      <c r="H7" s="6">
        <f t="shared" si="1"/>
        <v>1800</v>
      </c>
      <c r="I7" s="6">
        <f t="shared" si="2"/>
        <v>750</v>
      </c>
      <c r="J7" s="6">
        <f t="shared" si="3"/>
        <v>600</v>
      </c>
    </row>
    <row r="8" spans="3:16" ht="15.6" x14ac:dyDescent="0.3">
      <c r="D8" s="41" t="s">
        <v>9</v>
      </c>
      <c r="E8" s="42">
        <v>20</v>
      </c>
      <c r="F8" s="44">
        <v>25</v>
      </c>
      <c r="G8" s="7">
        <f t="shared" si="0"/>
        <v>0.5</v>
      </c>
      <c r="H8" s="6">
        <f t="shared" si="1"/>
        <v>1200</v>
      </c>
      <c r="I8" s="6">
        <f t="shared" si="2"/>
        <v>500</v>
      </c>
      <c r="J8" s="6">
        <f t="shared" si="3"/>
        <v>400</v>
      </c>
    </row>
    <row r="9" spans="3:16" ht="15.6" x14ac:dyDescent="0.3">
      <c r="D9" s="41" t="s">
        <v>645</v>
      </c>
      <c r="E9" s="42">
        <v>0.5</v>
      </c>
      <c r="F9" s="44">
        <v>25</v>
      </c>
      <c r="G9" s="7">
        <f t="shared" si="0"/>
        <v>1.2500000000000001E-2</v>
      </c>
      <c r="H9" s="6">
        <f t="shared" si="1"/>
        <v>30</v>
      </c>
      <c r="I9" s="6">
        <f t="shared" si="2"/>
        <v>12.5</v>
      </c>
      <c r="J9" s="6">
        <f t="shared" si="3"/>
        <v>10</v>
      </c>
    </row>
    <row r="10" spans="3:16" ht="15.6" x14ac:dyDescent="0.3">
      <c r="D10" s="41" t="s">
        <v>240</v>
      </c>
      <c r="E10" s="42">
        <v>0.5</v>
      </c>
      <c r="F10" s="44">
        <v>370</v>
      </c>
      <c r="G10" s="7">
        <f t="shared" si="0"/>
        <v>0.185</v>
      </c>
      <c r="H10" s="6">
        <f t="shared" si="1"/>
        <v>30</v>
      </c>
      <c r="I10" s="6">
        <f t="shared" si="2"/>
        <v>12.5</v>
      </c>
      <c r="J10" s="6">
        <f t="shared" si="3"/>
        <v>10</v>
      </c>
    </row>
    <row r="11" spans="3:16" ht="15.6" x14ac:dyDescent="0.3">
      <c r="D11" s="41" t="s">
        <v>646</v>
      </c>
      <c r="E11" s="42">
        <v>2</v>
      </c>
      <c r="F11" s="44">
        <v>65</v>
      </c>
      <c r="G11" s="7">
        <f t="shared" si="0"/>
        <v>0.13</v>
      </c>
      <c r="H11" s="6">
        <f t="shared" si="1"/>
        <v>120</v>
      </c>
      <c r="I11" s="6">
        <f t="shared" si="2"/>
        <v>50</v>
      </c>
      <c r="J11" s="6">
        <f t="shared" si="3"/>
        <v>40</v>
      </c>
    </row>
    <row r="12" spans="3:16" ht="15.6" x14ac:dyDescent="0.3">
      <c r="D12" s="85" t="s">
        <v>647</v>
      </c>
      <c r="E12" s="42">
        <v>1</v>
      </c>
      <c r="F12" s="44">
        <v>100</v>
      </c>
      <c r="G12" s="7">
        <f t="shared" si="0"/>
        <v>0.1</v>
      </c>
      <c r="H12" s="6">
        <f t="shared" si="1"/>
        <v>60</v>
      </c>
      <c r="I12" s="6">
        <f t="shared" si="2"/>
        <v>25</v>
      </c>
      <c r="J12" s="6">
        <f t="shared" si="3"/>
        <v>20</v>
      </c>
    </row>
    <row r="13" spans="3:16" ht="15.6" x14ac:dyDescent="0.3">
      <c r="D13" s="85" t="s">
        <v>168</v>
      </c>
      <c r="E13" s="42">
        <v>8</v>
      </c>
      <c r="F13" s="44">
        <v>25</v>
      </c>
      <c r="G13" s="7">
        <f t="shared" si="0"/>
        <v>0.2</v>
      </c>
      <c r="H13" s="6">
        <f t="shared" si="1"/>
        <v>480</v>
      </c>
      <c r="I13" s="6">
        <f t="shared" si="2"/>
        <v>200</v>
      </c>
      <c r="J13" s="6">
        <f t="shared" si="3"/>
        <v>160</v>
      </c>
    </row>
    <row r="14" spans="3:16" ht="15.6" x14ac:dyDescent="0.3">
      <c r="D14" s="85" t="s">
        <v>16</v>
      </c>
      <c r="E14" s="42">
        <v>923</v>
      </c>
      <c r="F14" s="44">
        <v>0.6</v>
      </c>
      <c r="G14" s="7">
        <f t="shared" si="0"/>
        <v>0.55379999999999996</v>
      </c>
      <c r="H14" s="6">
        <f t="shared" si="1"/>
        <v>55380</v>
      </c>
      <c r="I14" s="6">
        <f t="shared" si="2"/>
        <v>23075</v>
      </c>
      <c r="J14" s="6">
        <f t="shared" si="3"/>
        <v>18460</v>
      </c>
    </row>
    <row r="15" spans="3:16" x14ac:dyDescent="0.3">
      <c r="E15" s="50">
        <f>SUM(E5:E14)</f>
        <v>1000</v>
      </c>
      <c r="F15" s="51"/>
      <c r="G15" s="52">
        <f>SUM(G5:G14)</f>
        <v>2.5213000000000001</v>
      </c>
      <c r="H15" s="50">
        <f>SUM(H5:H14)</f>
        <v>60000</v>
      </c>
      <c r="I15" s="155">
        <f>SUM(I5:I14)</f>
        <v>25000</v>
      </c>
      <c r="J15" s="50">
        <f>SUM(J5:J14)</f>
        <v>20000</v>
      </c>
    </row>
    <row r="19" spans="3:10" ht="23.4" x14ac:dyDescent="0.45">
      <c r="D19" s="221" t="s">
        <v>709</v>
      </c>
      <c r="E19" s="222"/>
      <c r="F19" s="222"/>
      <c r="G19" s="222"/>
      <c r="H19" s="222"/>
      <c r="I19" s="222"/>
      <c r="J19" s="222"/>
    </row>
    <row r="20" spans="3:10" ht="46.8" x14ac:dyDescent="0.3">
      <c r="C20" s="224">
        <v>9</v>
      </c>
      <c r="D20" s="225" t="s">
        <v>0</v>
      </c>
      <c r="E20" s="226" t="s">
        <v>1</v>
      </c>
      <c r="F20" s="226" t="s">
        <v>2</v>
      </c>
      <c r="G20" s="226" t="s">
        <v>819</v>
      </c>
      <c r="H20" s="226" t="s">
        <v>407</v>
      </c>
      <c r="I20" s="226" t="s">
        <v>126</v>
      </c>
      <c r="J20" s="226" t="s">
        <v>408</v>
      </c>
    </row>
    <row r="21" spans="3:10" x14ac:dyDescent="0.3">
      <c r="D21" s="233" t="s">
        <v>27</v>
      </c>
      <c r="E21" s="229">
        <v>821</v>
      </c>
      <c r="F21" s="230"/>
      <c r="G21" s="231">
        <f>(F21/1000)*E21</f>
        <v>0</v>
      </c>
      <c r="H21" s="229">
        <f t="shared" ref="H21:H29" si="4">100*E21</f>
        <v>82100</v>
      </c>
      <c r="I21" s="229"/>
      <c r="J21" s="229"/>
    </row>
    <row r="22" spans="3:10" x14ac:dyDescent="0.3">
      <c r="D22" s="233" t="s">
        <v>171</v>
      </c>
      <c r="E22" s="229">
        <v>70</v>
      </c>
      <c r="F22" s="230"/>
      <c r="G22" s="231"/>
      <c r="H22" s="229">
        <f t="shared" si="4"/>
        <v>7000</v>
      </c>
      <c r="I22" s="229"/>
      <c r="J22" s="229"/>
    </row>
    <row r="23" spans="3:10" x14ac:dyDescent="0.3">
      <c r="D23" s="233" t="s">
        <v>870</v>
      </c>
      <c r="E23" s="229">
        <v>70</v>
      </c>
      <c r="F23" s="230"/>
      <c r="G23" s="231"/>
      <c r="H23" s="229">
        <f t="shared" si="4"/>
        <v>7000</v>
      </c>
      <c r="I23" s="229"/>
      <c r="J23" s="229"/>
    </row>
    <row r="24" spans="3:10" x14ac:dyDescent="0.3">
      <c r="D24" s="233" t="s">
        <v>19</v>
      </c>
      <c r="E24" s="229">
        <v>10</v>
      </c>
      <c r="F24" s="230"/>
      <c r="G24" s="231"/>
      <c r="H24" s="229">
        <f t="shared" si="4"/>
        <v>1000</v>
      </c>
      <c r="I24" s="229"/>
      <c r="J24" s="229"/>
    </row>
    <row r="25" spans="3:10" x14ac:dyDescent="0.3">
      <c r="D25" s="233" t="s">
        <v>871</v>
      </c>
      <c r="E25" s="229">
        <v>10</v>
      </c>
      <c r="F25" s="230"/>
      <c r="G25" s="231"/>
      <c r="H25" s="229">
        <f t="shared" si="4"/>
        <v>1000</v>
      </c>
      <c r="I25" s="229"/>
      <c r="J25" s="229"/>
    </row>
    <row r="26" spans="3:10" x14ac:dyDescent="0.3">
      <c r="D26" s="233" t="s">
        <v>872</v>
      </c>
      <c r="E26" s="229">
        <v>10</v>
      </c>
      <c r="F26" s="230"/>
      <c r="G26" s="231"/>
      <c r="H26" s="229">
        <f t="shared" si="4"/>
        <v>1000</v>
      </c>
      <c r="I26" s="229"/>
      <c r="J26" s="229"/>
    </row>
    <row r="27" spans="3:10" x14ac:dyDescent="0.3">
      <c r="D27" s="233" t="s">
        <v>550</v>
      </c>
      <c r="E27" s="230">
        <v>5</v>
      </c>
      <c r="F27" s="230"/>
      <c r="G27" s="231"/>
      <c r="H27" s="229">
        <f t="shared" si="4"/>
        <v>500</v>
      </c>
      <c r="I27" s="229"/>
      <c r="J27" s="229"/>
    </row>
    <row r="28" spans="3:10" x14ac:dyDescent="0.3">
      <c r="D28" s="233" t="s">
        <v>646</v>
      </c>
      <c r="E28" s="230">
        <v>2.5</v>
      </c>
      <c r="F28" s="230"/>
      <c r="G28" s="231"/>
      <c r="H28" s="229">
        <f t="shared" si="4"/>
        <v>250</v>
      </c>
      <c r="I28" s="229"/>
      <c r="J28" s="229"/>
    </row>
    <row r="29" spans="3:10" x14ac:dyDescent="0.3">
      <c r="D29" s="233" t="s">
        <v>51</v>
      </c>
      <c r="E29" s="230">
        <v>1</v>
      </c>
      <c r="F29" s="230"/>
      <c r="G29" s="231"/>
      <c r="H29" s="229">
        <f t="shared" si="4"/>
        <v>100</v>
      </c>
      <c r="I29" s="229"/>
      <c r="J29" s="229"/>
    </row>
    <row r="30" spans="3:10" x14ac:dyDescent="0.3">
      <c r="D30" s="235"/>
      <c r="E30" s="253">
        <f>SUM(E21:E29)</f>
        <v>999.5</v>
      </c>
      <c r="F30" s="254"/>
      <c r="G30" s="255">
        <f>SUM(G21:G29)</f>
        <v>0</v>
      </c>
      <c r="H30" s="253">
        <f>SUM(H21:H29)</f>
        <v>99950</v>
      </c>
      <c r="I30" s="258">
        <f>SUM(I21:I29)</f>
        <v>0</v>
      </c>
      <c r="J30" s="258">
        <f>SUM(J21:J29)</f>
        <v>0</v>
      </c>
    </row>
    <row r="33" spans="3:10" ht="23.4" x14ac:dyDescent="0.45">
      <c r="D33" s="172" t="s">
        <v>816</v>
      </c>
      <c r="E33" s="173"/>
      <c r="F33" s="173"/>
      <c r="G33" s="173"/>
      <c r="H33" s="173"/>
      <c r="I33" s="173"/>
      <c r="J33" s="174"/>
    </row>
    <row r="34" spans="3:10" ht="62.4" x14ac:dyDescent="0.3">
      <c r="C34" s="1">
        <v>18</v>
      </c>
      <c r="D34" s="2" t="s">
        <v>0</v>
      </c>
      <c r="E34" s="3" t="s">
        <v>1</v>
      </c>
      <c r="F34" s="3" t="s">
        <v>2</v>
      </c>
      <c r="G34" s="3" t="s">
        <v>24</v>
      </c>
      <c r="H34" s="3" t="s">
        <v>580</v>
      </c>
      <c r="I34" s="3" t="s">
        <v>15</v>
      </c>
      <c r="J34" s="3" t="s">
        <v>46</v>
      </c>
    </row>
    <row r="35" spans="3:10" x14ac:dyDescent="0.3">
      <c r="D35" s="5" t="s">
        <v>16</v>
      </c>
      <c r="E35" s="6">
        <v>820</v>
      </c>
      <c r="F35" s="11">
        <v>0.6</v>
      </c>
      <c r="G35" s="8">
        <f t="shared" ref="G35:G45" si="5">(F35/1000)*E35</f>
        <v>0.49199999999999994</v>
      </c>
      <c r="H35" s="6">
        <f>(E35*10)</f>
        <v>8200</v>
      </c>
      <c r="I35" s="6">
        <f>(E35*15)</f>
        <v>12300</v>
      </c>
      <c r="J35" s="6">
        <f>(E35*20)</f>
        <v>16400</v>
      </c>
    </row>
    <row r="36" spans="3:10" x14ac:dyDescent="0.3">
      <c r="D36" s="5" t="s">
        <v>171</v>
      </c>
      <c r="E36" s="6">
        <v>70</v>
      </c>
      <c r="F36" s="11">
        <v>25</v>
      </c>
      <c r="G36" s="8">
        <f t="shared" si="5"/>
        <v>1.75</v>
      </c>
      <c r="H36" s="6">
        <f t="shared" ref="H36:H45" si="6">(E36*10)</f>
        <v>700</v>
      </c>
      <c r="I36" s="6">
        <f t="shared" ref="I36:I45" si="7">(E36*15)</f>
        <v>1050</v>
      </c>
      <c r="J36" s="6">
        <f t="shared" ref="J36:J45" si="8">(E36*20)</f>
        <v>1400</v>
      </c>
    </row>
    <row r="37" spans="3:10" x14ac:dyDescent="0.3">
      <c r="D37" s="5" t="s">
        <v>372</v>
      </c>
      <c r="E37" s="6">
        <v>70</v>
      </c>
      <c r="F37" s="11">
        <v>25</v>
      </c>
      <c r="G37" s="8">
        <f t="shared" si="5"/>
        <v>1.75</v>
      </c>
      <c r="H37" s="6">
        <f t="shared" si="6"/>
        <v>700</v>
      </c>
      <c r="I37" s="6">
        <f t="shared" si="7"/>
        <v>1050</v>
      </c>
      <c r="J37" s="6">
        <f t="shared" si="8"/>
        <v>1400</v>
      </c>
    </row>
    <row r="38" spans="3:10" x14ac:dyDescent="0.3">
      <c r="D38" s="5" t="s">
        <v>59</v>
      </c>
      <c r="E38" s="6">
        <v>10</v>
      </c>
      <c r="F38" s="11">
        <v>8</v>
      </c>
      <c r="G38" s="8">
        <f t="shared" si="5"/>
        <v>0.08</v>
      </c>
      <c r="H38" s="6">
        <f t="shared" si="6"/>
        <v>100</v>
      </c>
      <c r="I38" s="6">
        <f t="shared" si="7"/>
        <v>150</v>
      </c>
      <c r="J38" s="6">
        <f t="shared" si="8"/>
        <v>200</v>
      </c>
    </row>
    <row r="39" spans="3:10" x14ac:dyDescent="0.3">
      <c r="D39" s="5" t="s">
        <v>434</v>
      </c>
      <c r="E39" s="6">
        <v>10</v>
      </c>
      <c r="F39" s="11">
        <v>60</v>
      </c>
      <c r="G39" s="8">
        <f t="shared" si="5"/>
        <v>0.6</v>
      </c>
      <c r="H39" s="6">
        <f t="shared" si="6"/>
        <v>100</v>
      </c>
      <c r="I39" s="6">
        <f t="shared" si="7"/>
        <v>150</v>
      </c>
      <c r="J39" s="6">
        <f t="shared" si="8"/>
        <v>200</v>
      </c>
    </row>
    <row r="40" spans="3:10" x14ac:dyDescent="0.3">
      <c r="D40" s="5" t="s">
        <v>425</v>
      </c>
      <c r="E40" s="6">
        <v>10</v>
      </c>
      <c r="F40" s="11">
        <v>45</v>
      </c>
      <c r="G40" s="8">
        <f t="shared" si="5"/>
        <v>0.44999999999999996</v>
      </c>
      <c r="H40" s="6">
        <f t="shared" si="6"/>
        <v>100</v>
      </c>
      <c r="I40" s="6">
        <f t="shared" si="7"/>
        <v>150</v>
      </c>
      <c r="J40" s="6">
        <f t="shared" si="8"/>
        <v>200</v>
      </c>
    </row>
    <row r="41" spans="3:10" x14ac:dyDescent="0.3">
      <c r="D41" s="5" t="s">
        <v>567</v>
      </c>
      <c r="E41" s="6">
        <v>5</v>
      </c>
      <c r="F41" s="11">
        <v>60</v>
      </c>
      <c r="G41" s="8">
        <f t="shared" si="5"/>
        <v>0.3</v>
      </c>
      <c r="H41" s="6">
        <f t="shared" si="6"/>
        <v>50</v>
      </c>
      <c r="I41" s="6">
        <f t="shared" si="7"/>
        <v>75</v>
      </c>
      <c r="J41" s="6">
        <f t="shared" si="8"/>
        <v>100</v>
      </c>
    </row>
    <row r="42" spans="3:10" x14ac:dyDescent="0.3">
      <c r="D42" s="5" t="s">
        <v>176</v>
      </c>
      <c r="E42" s="6">
        <v>10</v>
      </c>
      <c r="F42" s="11"/>
      <c r="G42" s="8"/>
      <c r="H42" s="6">
        <f t="shared" si="6"/>
        <v>100</v>
      </c>
      <c r="I42" s="6">
        <f t="shared" si="7"/>
        <v>150</v>
      </c>
      <c r="J42" s="6">
        <f t="shared" si="8"/>
        <v>200</v>
      </c>
    </row>
    <row r="43" spans="3:10" x14ac:dyDescent="0.3">
      <c r="D43" s="5" t="s">
        <v>35</v>
      </c>
      <c r="E43" s="6">
        <v>10</v>
      </c>
      <c r="F43" s="11"/>
      <c r="G43" s="8"/>
      <c r="H43" s="6">
        <f t="shared" si="6"/>
        <v>100</v>
      </c>
      <c r="I43" s="6">
        <f t="shared" si="7"/>
        <v>150</v>
      </c>
      <c r="J43" s="6">
        <f t="shared" si="8"/>
        <v>200</v>
      </c>
    </row>
    <row r="44" spans="3:10" x14ac:dyDescent="0.3">
      <c r="D44" s="5" t="s">
        <v>416</v>
      </c>
      <c r="E44" s="11">
        <v>2.5</v>
      </c>
      <c r="F44" s="6">
        <v>20</v>
      </c>
      <c r="G44" s="8">
        <f t="shared" si="5"/>
        <v>0.05</v>
      </c>
      <c r="H44" s="6">
        <f t="shared" si="6"/>
        <v>25</v>
      </c>
      <c r="I44" s="6">
        <f t="shared" si="7"/>
        <v>37.5</v>
      </c>
      <c r="J44" s="6">
        <f t="shared" si="8"/>
        <v>50</v>
      </c>
    </row>
    <row r="45" spans="3:10" x14ac:dyDescent="0.3">
      <c r="D45" s="5" t="s">
        <v>174</v>
      </c>
      <c r="E45" s="6">
        <v>1</v>
      </c>
      <c r="F45" s="6">
        <v>124</v>
      </c>
      <c r="G45" s="8">
        <f t="shared" si="5"/>
        <v>0.124</v>
      </c>
      <c r="H45" s="6">
        <f t="shared" si="6"/>
        <v>10</v>
      </c>
      <c r="I45" s="6">
        <f t="shared" si="7"/>
        <v>15</v>
      </c>
      <c r="J45" s="6">
        <f t="shared" si="8"/>
        <v>20</v>
      </c>
    </row>
    <row r="46" spans="3:10" x14ac:dyDescent="0.3">
      <c r="D46" s="27"/>
      <c r="E46" s="13">
        <f>SUM(E35:E45)</f>
        <v>1018.5</v>
      </c>
      <c r="F46" s="14"/>
      <c r="G46" s="15">
        <f>SUM(G35:G45)</f>
        <v>5.5959999999999992</v>
      </c>
      <c r="H46" s="13">
        <f>SUM(H35:H45)</f>
        <v>10185</v>
      </c>
      <c r="I46" s="160">
        <f>SUM(I35:I45)</f>
        <v>15277.5</v>
      </c>
      <c r="J46" s="84">
        <f>SUM(J35:J45)</f>
        <v>20370</v>
      </c>
    </row>
  </sheetData>
  <mergeCells count="3">
    <mergeCell ref="D3:J3"/>
    <mergeCell ref="D19:J19"/>
    <mergeCell ref="D33:J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0301-1284-4447-8562-BEF2C8B292E1}">
  <dimension ref="D3:J36"/>
  <sheetViews>
    <sheetView topLeftCell="B6" workbookViewId="0">
      <selection activeCell="M9" sqref="M9"/>
    </sheetView>
  </sheetViews>
  <sheetFormatPr baseColWidth="10" defaultRowHeight="14.4" x14ac:dyDescent="0.3"/>
  <cols>
    <col min="5" max="5" width="24.6640625" bestFit="1" customWidth="1"/>
    <col min="7" max="7" width="12.88671875" customWidth="1"/>
  </cols>
  <sheetData>
    <row r="3" spans="4:10" ht="23.4" x14ac:dyDescent="0.45">
      <c r="E3" s="172" t="s">
        <v>653</v>
      </c>
      <c r="F3" s="173"/>
      <c r="G3" s="173"/>
      <c r="H3" s="173"/>
      <c r="I3" s="173"/>
      <c r="J3" s="174"/>
    </row>
    <row r="4" spans="4:10" ht="46.8" x14ac:dyDescent="0.3">
      <c r="D4" s="1">
        <v>27</v>
      </c>
      <c r="E4" s="2" t="s">
        <v>0</v>
      </c>
      <c r="F4" s="3" t="s">
        <v>1</v>
      </c>
      <c r="G4" s="3" t="s">
        <v>90</v>
      </c>
      <c r="H4" s="3" t="s">
        <v>562</v>
      </c>
      <c r="I4" s="4" t="s">
        <v>563</v>
      </c>
      <c r="J4" s="3" t="s">
        <v>564</v>
      </c>
    </row>
    <row r="5" spans="4:10" ht="15.6" x14ac:dyDescent="0.3">
      <c r="E5" s="41" t="s">
        <v>212</v>
      </c>
      <c r="F5" s="42">
        <v>8</v>
      </c>
      <c r="G5" s="44">
        <v>765</v>
      </c>
      <c r="H5" s="6">
        <f>(F5*60)</f>
        <v>480</v>
      </c>
      <c r="I5" s="6">
        <f>F5*25</f>
        <v>200</v>
      </c>
      <c r="J5" s="6">
        <f>(F5*20)</f>
        <v>160</v>
      </c>
    </row>
    <row r="6" spans="4:10" ht="15.6" x14ac:dyDescent="0.3">
      <c r="E6" s="41" t="s">
        <v>654</v>
      </c>
      <c r="F6" s="42">
        <v>20</v>
      </c>
      <c r="G6" s="44">
        <v>124</v>
      </c>
      <c r="H6" s="6">
        <f>(F6*60)</f>
        <v>1200</v>
      </c>
      <c r="I6" s="6">
        <f>F6*25</f>
        <v>500</v>
      </c>
      <c r="J6" s="6">
        <f>(F6*20)</f>
        <v>400</v>
      </c>
    </row>
    <row r="7" spans="4:10" ht="15.6" x14ac:dyDescent="0.3">
      <c r="E7" s="41" t="s">
        <v>415</v>
      </c>
      <c r="F7" s="42">
        <v>20</v>
      </c>
      <c r="G7" s="44">
        <v>124</v>
      </c>
      <c r="H7" s="6">
        <f>(F7*60)</f>
        <v>1200</v>
      </c>
      <c r="I7" s="6">
        <f>F7*25</f>
        <v>500</v>
      </c>
      <c r="J7" s="6">
        <f>(F7*20)</f>
        <v>400</v>
      </c>
    </row>
    <row r="8" spans="4:10" ht="15.6" x14ac:dyDescent="0.3">
      <c r="E8" s="41" t="s">
        <v>481</v>
      </c>
      <c r="F8" s="42">
        <v>150</v>
      </c>
      <c r="G8" s="44">
        <v>8</v>
      </c>
      <c r="H8" s="6">
        <f>(F8*60)</f>
        <v>9000</v>
      </c>
      <c r="I8" s="6">
        <f>F8*25</f>
        <v>3750</v>
      </c>
      <c r="J8" s="6">
        <f>(F8*20)</f>
        <v>3000</v>
      </c>
    </row>
    <row r="9" spans="4:10" ht="15.6" x14ac:dyDescent="0.3">
      <c r="E9" s="41" t="s">
        <v>203</v>
      </c>
      <c r="F9" s="42">
        <v>50</v>
      </c>
      <c r="G9" s="44">
        <v>8</v>
      </c>
      <c r="H9" s="6">
        <f>(F9*60)</f>
        <v>3000</v>
      </c>
      <c r="I9" s="6">
        <f>F9*25</f>
        <v>1250</v>
      </c>
      <c r="J9" s="6">
        <f>(F9*20)</f>
        <v>1000</v>
      </c>
    </row>
    <row r="10" spans="4:10" ht="15.6" x14ac:dyDescent="0.3">
      <c r="E10" s="41" t="s">
        <v>655</v>
      </c>
      <c r="F10" s="42">
        <v>20</v>
      </c>
      <c r="G10" s="44">
        <v>12</v>
      </c>
      <c r="H10" s="6">
        <f>(F10*60)</f>
        <v>1200</v>
      </c>
      <c r="I10" s="6">
        <f>F10*25</f>
        <v>500</v>
      </c>
      <c r="J10" s="6">
        <f>(F10*20)</f>
        <v>400</v>
      </c>
    </row>
    <row r="11" spans="4:10" ht="15.6" x14ac:dyDescent="0.3">
      <c r="E11" s="41" t="s">
        <v>59</v>
      </c>
      <c r="F11" s="42">
        <v>20</v>
      </c>
      <c r="G11" s="44">
        <v>8</v>
      </c>
      <c r="H11" s="6">
        <f>(F11*60)</f>
        <v>1200</v>
      </c>
      <c r="I11" s="6">
        <f>F11*25</f>
        <v>500</v>
      </c>
      <c r="J11" s="6">
        <f>(F11*20)</f>
        <v>400</v>
      </c>
    </row>
    <row r="12" spans="4:10" ht="15.6" x14ac:dyDescent="0.3">
      <c r="E12" s="85" t="s">
        <v>620</v>
      </c>
      <c r="F12" s="42">
        <v>10</v>
      </c>
      <c r="G12" s="44">
        <v>2</v>
      </c>
      <c r="H12" s="6">
        <f>(F12*60)</f>
        <v>600</v>
      </c>
      <c r="I12" s="6">
        <f>F12*25</f>
        <v>250</v>
      </c>
      <c r="J12" s="6">
        <f>(F12*20)</f>
        <v>200</v>
      </c>
    </row>
    <row r="13" spans="4:10" ht="15.6" x14ac:dyDescent="0.3">
      <c r="E13" s="85" t="s">
        <v>51</v>
      </c>
      <c r="F13" s="42">
        <v>1</v>
      </c>
      <c r="G13" s="44">
        <v>15</v>
      </c>
      <c r="H13" s="6">
        <f>(F13*60)</f>
        <v>60</v>
      </c>
      <c r="I13" s="6">
        <f>F13*25</f>
        <v>25</v>
      </c>
      <c r="J13" s="6">
        <f>(F13*20)</f>
        <v>20</v>
      </c>
    </row>
    <row r="14" spans="4:10" ht="15.6" x14ac:dyDescent="0.3">
      <c r="E14" s="85" t="s">
        <v>656</v>
      </c>
      <c r="F14" s="42">
        <v>5</v>
      </c>
      <c r="G14" s="44">
        <v>70</v>
      </c>
      <c r="H14" s="6">
        <f>(F14*60)</f>
        <v>300</v>
      </c>
      <c r="I14" s="6">
        <f>F14*25</f>
        <v>125</v>
      </c>
      <c r="J14" s="6">
        <f>(F14*20)</f>
        <v>100</v>
      </c>
    </row>
    <row r="15" spans="4:10" ht="15.6" x14ac:dyDescent="0.3">
      <c r="E15" s="164" t="s">
        <v>55</v>
      </c>
      <c r="F15" s="165">
        <v>697</v>
      </c>
      <c r="G15" s="44">
        <v>2</v>
      </c>
      <c r="H15" s="166">
        <f>(F15*60)</f>
        <v>41820</v>
      </c>
      <c r="I15" s="166">
        <f>F15*25</f>
        <v>17425</v>
      </c>
      <c r="J15" s="166">
        <f>(F15*20)</f>
        <v>13940</v>
      </c>
    </row>
    <row r="16" spans="4:10" x14ac:dyDescent="0.3">
      <c r="F16" s="50">
        <f>SUM(F5:F15)</f>
        <v>1001</v>
      </c>
      <c r="G16" s="167"/>
      <c r="H16" s="50">
        <f>SUM(H5:H15)</f>
        <v>60060</v>
      </c>
      <c r="I16" s="155">
        <f>SUM(I5:I15)</f>
        <v>25025</v>
      </c>
      <c r="J16" s="50">
        <f>SUM(J5:J15)</f>
        <v>20020</v>
      </c>
    </row>
    <row r="20" spans="4:10" ht="23.4" x14ac:dyDescent="0.45">
      <c r="E20" s="172" t="s">
        <v>662</v>
      </c>
      <c r="F20" s="173"/>
      <c r="G20" s="173"/>
      <c r="H20" s="173"/>
      <c r="I20" s="173"/>
      <c r="J20" s="174"/>
    </row>
    <row r="21" spans="4:10" ht="46.8" x14ac:dyDescent="0.3">
      <c r="D21" s="1">
        <v>27</v>
      </c>
      <c r="E21" s="2" t="s">
        <v>0</v>
      </c>
      <c r="F21" s="3" t="s">
        <v>1</v>
      </c>
      <c r="G21" s="3" t="s">
        <v>90</v>
      </c>
      <c r="H21" s="3" t="s">
        <v>562</v>
      </c>
      <c r="I21" s="4" t="s">
        <v>563</v>
      </c>
      <c r="J21" s="3" t="s">
        <v>564</v>
      </c>
    </row>
    <row r="22" spans="4:10" ht="15.6" x14ac:dyDescent="0.3">
      <c r="E22" s="41" t="s">
        <v>657</v>
      </c>
      <c r="F22" s="42">
        <v>20</v>
      </c>
      <c r="G22" s="44">
        <v>120</v>
      </c>
      <c r="H22" s="6">
        <f>(F22*60)</f>
        <v>1200</v>
      </c>
      <c r="I22" s="6">
        <f>F22*25</f>
        <v>500</v>
      </c>
      <c r="J22" s="6">
        <f>(F22*20)</f>
        <v>400</v>
      </c>
    </row>
    <row r="23" spans="4:10" ht="15.6" x14ac:dyDescent="0.3">
      <c r="E23" s="41" t="s">
        <v>658</v>
      </c>
      <c r="F23" s="42">
        <v>5</v>
      </c>
      <c r="G23" s="44">
        <v>850</v>
      </c>
      <c r="H23" s="6">
        <f t="shared" ref="H23:H35" si="0">(F23*60)</f>
        <v>300</v>
      </c>
      <c r="I23" s="6">
        <f t="shared" ref="I23:I35" si="1">F23*25</f>
        <v>125</v>
      </c>
      <c r="J23" s="6">
        <f t="shared" ref="J23:J35" si="2">(F23*20)</f>
        <v>100</v>
      </c>
    </row>
    <row r="24" spans="4:10" ht="15.6" x14ac:dyDescent="0.3">
      <c r="E24" s="41" t="s">
        <v>12</v>
      </c>
      <c r="F24" s="42">
        <v>10</v>
      </c>
      <c r="G24" s="44">
        <v>25</v>
      </c>
      <c r="H24" s="6">
        <f t="shared" si="0"/>
        <v>600</v>
      </c>
      <c r="I24" s="6">
        <f t="shared" si="1"/>
        <v>250</v>
      </c>
      <c r="J24" s="6">
        <f t="shared" si="2"/>
        <v>200</v>
      </c>
    </row>
    <row r="25" spans="4:10" ht="15.6" x14ac:dyDescent="0.3">
      <c r="E25" s="41" t="s">
        <v>659</v>
      </c>
      <c r="F25" s="42">
        <v>5</v>
      </c>
      <c r="G25" s="44">
        <v>170</v>
      </c>
      <c r="H25" s="6">
        <f t="shared" si="0"/>
        <v>300</v>
      </c>
      <c r="I25" s="6">
        <f t="shared" si="1"/>
        <v>125</v>
      </c>
      <c r="J25" s="6">
        <f t="shared" si="2"/>
        <v>100</v>
      </c>
    </row>
    <row r="26" spans="4:10" ht="15.6" x14ac:dyDescent="0.3">
      <c r="E26" s="41" t="s">
        <v>660</v>
      </c>
      <c r="F26" s="42">
        <v>5</v>
      </c>
      <c r="G26" s="44">
        <v>60</v>
      </c>
      <c r="H26" s="6">
        <f t="shared" si="0"/>
        <v>300</v>
      </c>
      <c r="I26" s="6">
        <f t="shared" si="1"/>
        <v>125</v>
      </c>
      <c r="J26" s="6">
        <f t="shared" si="2"/>
        <v>100</v>
      </c>
    </row>
    <row r="27" spans="4:10" ht="15.6" x14ac:dyDescent="0.3">
      <c r="E27" s="41" t="s">
        <v>120</v>
      </c>
      <c r="F27" s="42">
        <v>50</v>
      </c>
      <c r="G27" s="44">
        <v>8</v>
      </c>
      <c r="H27" s="6">
        <f t="shared" si="0"/>
        <v>3000</v>
      </c>
      <c r="I27" s="6">
        <f t="shared" si="1"/>
        <v>1250</v>
      </c>
      <c r="J27" s="6">
        <f t="shared" si="2"/>
        <v>1000</v>
      </c>
    </row>
    <row r="28" spans="4:10" ht="15.6" x14ac:dyDescent="0.3">
      <c r="E28" s="41" t="s">
        <v>529</v>
      </c>
      <c r="F28" s="42">
        <v>100</v>
      </c>
      <c r="G28" s="44">
        <v>8</v>
      </c>
      <c r="H28" s="6">
        <f t="shared" si="0"/>
        <v>6000</v>
      </c>
      <c r="I28" s="6">
        <f t="shared" si="1"/>
        <v>2500</v>
      </c>
      <c r="J28" s="6">
        <f t="shared" si="2"/>
        <v>2000</v>
      </c>
    </row>
    <row r="29" spans="4:10" ht="15.6" x14ac:dyDescent="0.3">
      <c r="E29" s="41" t="s">
        <v>630</v>
      </c>
      <c r="F29" s="42">
        <v>20</v>
      </c>
      <c r="G29" s="44">
        <v>124</v>
      </c>
      <c r="H29" s="6">
        <f t="shared" si="0"/>
        <v>1200</v>
      </c>
      <c r="I29" s="6">
        <f t="shared" si="1"/>
        <v>500</v>
      </c>
      <c r="J29" s="6">
        <f t="shared" si="2"/>
        <v>400</v>
      </c>
    </row>
    <row r="30" spans="4:10" ht="15.6" x14ac:dyDescent="0.3">
      <c r="E30" s="41" t="s">
        <v>661</v>
      </c>
      <c r="F30" s="42">
        <v>10</v>
      </c>
      <c r="G30" s="44">
        <v>124</v>
      </c>
      <c r="H30" s="6">
        <f t="shared" si="0"/>
        <v>600</v>
      </c>
      <c r="I30" s="6">
        <f t="shared" si="1"/>
        <v>250</v>
      </c>
      <c r="J30" s="6">
        <f t="shared" si="2"/>
        <v>200</v>
      </c>
    </row>
    <row r="31" spans="4:10" ht="15.6" x14ac:dyDescent="0.3">
      <c r="E31" s="85" t="s">
        <v>663</v>
      </c>
      <c r="F31" s="42">
        <v>10</v>
      </c>
      <c r="G31" s="44">
        <v>2</v>
      </c>
      <c r="H31" s="6">
        <f t="shared" si="0"/>
        <v>600</v>
      </c>
      <c r="I31" s="6">
        <f t="shared" si="1"/>
        <v>250</v>
      </c>
      <c r="J31" s="6">
        <f t="shared" si="2"/>
        <v>200</v>
      </c>
    </row>
    <row r="32" spans="4:10" ht="15.6" x14ac:dyDescent="0.3">
      <c r="E32" s="85" t="s">
        <v>59</v>
      </c>
      <c r="F32" s="42">
        <v>30</v>
      </c>
      <c r="G32" s="44">
        <v>8</v>
      </c>
      <c r="H32" s="6">
        <f t="shared" si="0"/>
        <v>1800</v>
      </c>
      <c r="I32" s="6">
        <f t="shared" si="1"/>
        <v>750</v>
      </c>
      <c r="J32" s="6">
        <f t="shared" si="2"/>
        <v>600</v>
      </c>
    </row>
    <row r="33" spans="5:10" ht="15.6" x14ac:dyDescent="0.3">
      <c r="E33" s="85" t="s">
        <v>174</v>
      </c>
      <c r="F33" s="42">
        <v>1</v>
      </c>
      <c r="G33" s="44">
        <v>15</v>
      </c>
      <c r="H33" s="6">
        <f t="shared" si="0"/>
        <v>60</v>
      </c>
      <c r="I33" s="6">
        <f t="shared" si="1"/>
        <v>25</v>
      </c>
      <c r="J33" s="6">
        <f t="shared" si="2"/>
        <v>20</v>
      </c>
    </row>
    <row r="34" spans="5:10" ht="15.6" x14ac:dyDescent="0.3">
      <c r="E34" s="85" t="s">
        <v>60</v>
      </c>
      <c r="F34" s="42">
        <v>8</v>
      </c>
      <c r="G34" s="44">
        <v>68</v>
      </c>
      <c r="H34" s="6">
        <f t="shared" si="0"/>
        <v>480</v>
      </c>
      <c r="I34" s="6">
        <f t="shared" si="1"/>
        <v>200</v>
      </c>
      <c r="J34" s="6">
        <f t="shared" si="2"/>
        <v>160</v>
      </c>
    </row>
    <row r="35" spans="5:10" ht="15.6" x14ac:dyDescent="0.3">
      <c r="E35" s="164" t="s">
        <v>55</v>
      </c>
      <c r="F35" s="165">
        <v>640</v>
      </c>
      <c r="G35" s="44">
        <v>2</v>
      </c>
      <c r="H35" s="166">
        <f t="shared" si="0"/>
        <v>38400</v>
      </c>
      <c r="I35" s="166">
        <f t="shared" si="1"/>
        <v>16000</v>
      </c>
      <c r="J35" s="166">
        <f t="shared" si="2"/>
        <v>12800</v>
      </c>
    </row>
    <row r="36" spans="5:10" x14ac:dyDescent="0.3">
      <c r="F36" s="50">
        <f>SUM(F22:F35)</f>
        <v>914</v>
      </c>
      <c r="G36" s="167"/>
      <c r="H36" s="50">
        <f>SUM(H22:H35)</f>
        <v>54840</v>
      </c>
      <c r="I36" s="155">
        <f>SUM(I22:I35)</f>
        <v>22850</v>
      </c>
      <c r="J36" s="50">
        <f>SUM(J22:J35)</f>
        <v>18280</v>
      </c>
    </row>
  </sheetData>
  <mergeCells count="2">
    <mergeCell ref="E3:J3"/>
    <mergeCell ref="E20:J2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51BF-1AF7-42FF-ADEC-F44D969221B0}">
  <dimension ref="C3:J31"/>
  <sheetViews>
    <sheetView workbookViewId="0">
      <selection activeCell="C18" sqref="C18:J31"/>
    </sheetView>
  </sheetViews>
  <sheetFormatPr baseColWidth="10" defaultRowHeight="14.4" x14ac:dyDescent="0.3"/>
  <cols>
    <col min="4" max="4" width="27.109375" bestFit="1" customWidth="1"/>
    <col min="5" max="5" width="16.88671875" customWidth="1"/>
    <col min="6" max="6" width="9.33203125" hidden="1" customWidth="1"/>
    <col min="7" max="7" width="10.6640625" hidden="1" customWidth="1"/>
    <col min="8" max="8" width="16.33203125" customWidth="1"/>
    <col min="9" max="9" width="18.109375" customWidth="1"/>
    <col min="10" max="10" width="17.44140625" customWidth="1"/>
  </cols>
  <sheetData>
    <row r="3" spans="3:10" ht="23.4" x14ac:dyDescent="0.45">
      <c r="D3" s="172" t="s">
        <v>709</v>
      </c>
      <c r="E3" s="173"/>
      <c r="F3" s="173"/>
      <c r="G3" s="173"/>
      <c r="H3" s="173"/>
      <c r="I3" s="173"/>
      <c r="J3" s="174"/>
    </row>
    <row r="4" spans="3:10" ht="62.4" x14ac:dyDescent="0.3">
      <c r="C4" s="1">
        <v>18</v>
      </c>
      <c r="D4" s="2" t="s">
        <v>0</v>
      </c>
      <c r="E4" s="3" t="s">
        <v>1</v>
      </c>
      <c r="F4" s="3" t="s">
        <v>2</v>
      </c>
      <c r="G4" s="3" t="s">
        <v>24</v>
      </c>
      <c r="H4" s="3" t="s">
        <v>580</v>
      </c>
      <c r="I4" s="3" t="s">
        <v>15</v>
      </c>
      <c r="J4" s="3" t="s">
        <v>46</v>
      </c>
    </row>
    <row r="5" spans="3:10" x14ac:dyDescent="0.3">
      <c r="D5" s="5" t="s">
        <v>16</v>
      </c>
      <c r="E5" s="6">
        <v>821</v>
      </c>
      <c r="F5" s="11">
        <v>0.6</v>
      </c>
      <c r="G5" s="8">
        <f t="shared" ref="G5:G13" si="0">(F5/1000)*E5</f>
        <v>0.49259999999999998</v>
      </c>
      <c r="H5" s="6">
        <f>(E5*10)</f>
        <v>8210</v>
      </c>
      <c r="I5" s="6">
        <f>(E5*15)</f>
        <v>12315</v>
      </c>
      <c r="J5" s="6">
        <f>(E5*20)</f>
        <v>16420</v>
      </c>
    </row>
    <row r="6" spans="3:10" x14ac:dyDescent="0.3">
      <c r="D6" s="5" t="s">
        <v>171</v>
      </c>
      <c r="E6" s="6">
        <v>70</v>
      </c>
      <c r="F6" s="11">
        <v>25</v>
      </c>
      <c r="G6" s="8">
        <f t="shared" si="0"/>
        <v>1.75</v>
      </c>
      <c r="H6" s="6">
        <f t="shared" ref="H6:H13" si="1">(E6*10)</f>
        <v>700</v>
      </c>
      <c r="I6" s="6">
        <f t="shared" ref="I6:I13" si="2">(E6*15)</f>
        <v>1050</v>
      </c>
      <c r="J6" s="6">
        <f t="shared" ref="J6:J13" si="3">(E6*20)</f>
        <v>1400</v>
      </c>
    </row>
    <row r="7" spans="3:10" x14ac:dyDescent="0.3">
      <c r="D7" s="5" t="s">
        <v>372</v>
      </c>
      <c r="E7" s="6">
        <v>70</v>
      </c>
      <c r="F7" s="11">
        <v>25</v>
      </c>
      <c r="G7" s="8">
        <f t="shared" si="0"/>
        <v>1.75</v>
      </c>
      <c r="H7" s="6">
        <f t="shared" si="1"/>
        <v>700</v>
      </c>
      <c r="I7" s="6">
        <f t="shared" si="2"/>
        <v>1050</v>
      </c>
      <c r="J7" s="6">
        <f t="shared" si="3"/>
        <v>1400</v>
      </c>
    </row>
    <row r="8" spans="3:10" x14ac:dyDescent="0.3">
      <c r="D8" s="5" t="s">
        <v>59</v>
      </c>
      <c r="E8" s="6">
        <v>10</v>
      </c>
      <c r="F8" s="11">
        <v>8</v>
      </c>
      <c r="G8" s="8">
        <f t="shared" si="0"/>
        <v>0.08</v>
      </c>
      <c r="H8" s="6">
        <f t="shared" si="1"/>
        <v>100</v>
      </c>
      <c r="I8" s="6">
        <f t="shared" si="2"/>
        <v>150</v>
      </c>
      <c r="J8" s="6">
        <f t="shared" si="3"/>
        <v>200</v>
      </c>
    </row>
    <row r="9" spans="3:10" x14ac:dyDescent="0.3">
      <c r="D9" s="5" t="s">
        <v>434</v>
      </c>
      <c r="E9" s="6">
        <v>10</v>
      </c>
      <c r="F9" s="11">
        <v>60</v>
      </c>
      <c r="G9" s="8">
        <f t="shared" si="0"/>
        <v>0.6</v>
      </c>
      <c r="H9" s="6">
        <f t="shared" si="1"/>
        <v>100</v>
      </c>
      <c r="I9" s="6">
        <f t="shared" si="2"/>
        <v>150</v>
      </c>
      <c r="J9" s="6">
        <f t="shared" si="3"/>
        <v>200</v>
      </c>
    </row>
    <row r="10" spans="3:10" x14ac:dyDescent="0.3">
      <c r="D10" s="5" t="s">
        <v>425</v>
      </c>
      <c r="E10" s="6">
        <v>10</v>
      </c>
      <c r="F10" s="11">
        <v>45</v>
      </c>
      <c r="G10" s="8">
        <f t="shared" si="0"/>
        <v>0.44999999999999996</v>
      </c>
      <c r="H10" s="6">
        <f t="shared" si="1"/>
        <v>100</v>
      </c>
      <c r="I10" s="6">
        <f t="shared" si="2"/>
        <v>150</v>
      </c>
      <c r="J10" s="6">
        <f t="shared" si="3"/>
        <v>200</v>
      </c>
    </row>
    <row r="11" spans="3:10" x14ac:dyDescent="0.3">
      <c r="D11" s="5" t="s">
        <v>567</v>
      </c>
      <c r="E11" s="6">
        <v>5</v>
      </c>
      <c r="F11" s="11">
        <v>60</v>
      </c>
      <c r="G11" s="8">
        <f t="shared" si="0"/>
        <v>0.3</v>
      </c>
      <c r="H11" s="6">
        <f t="shared" si="1"/>
        <v>50</v>
      </c>
      <c r="I11" s="6">
        <f t="shared" si="2"/>
        <v>75</v>
      </c>
      <c r="J11" s="6">
        <f t="shared" si="3"/>
        <v>100</v>
      </c>
    </row>
    <row r="12" spans="3:10" x14ac:dyDescent="0.3">
      <c r="D12" s="5" t="s">
        <v>416</v>
      </c>
      <c r="E12" s="11">
        <v>2.5</v>
      </c>
      <c r="F12" s="6">
        <v>20</v>
      </c>
      <c r="G12" s="8">
        <f t="shared" si="0"/>
        <v>0.05</v>
      </c>
      <c r="H12" s="6">
        <f t="shared" si="1"/>
        <v>25</v>
      </c>
      <c r="I12" s="6">
        <f t="shared" si="2"/>
        <v>37.5</v>
      </c>
      <c r="J12" s="6">
        <f t="shared" si="3"/>
        <v>50</v>
      </c>
    </row>
    <row r="13" spans="3:10" x14ac:dyDescent="0.3">
      <c r="D13" s="5" t="s">
        <v>174</v>
      </c>
      <c r="E13" s="6">
        <v>1</v>
      </c>
      <c r="F13" s="6">
        <v>124</v>
      </c>
      <c r="G13" s="8">
        <f t="shared" si="0"/>
        <v>0.124</v>
      </c>
      <c r="H13" s="6">
        <f t="shared" si="1"/>
        <v>10</v>
      </c>
      <c r="I13" s="6">
        <f t="shared" si="2"/>
        <v>15</v>
      </c>
      <c r="J13" s="6">
        <f t="shared" si="3"/>
        <v>20</v>
      </c>
    </row>
    <row r="14" spans="3:10" x14ac:dyDescent="0.3">
      <c r="D14" s="27"/>
      <c r="E14" s="13">
        <f>SUM(E5:E13)</f>
        <v>999.5</v>
      </c>
      <c r="F14" s="14"/>
      <c r="G14" s="15">
        <f>SUM(G5:G13)</f>
        <v>5.5965999999999987</v>
      </c>
      <c r="H14" s="13">
        <f>SUM(H5:H13)</f>
        <v>9995</v>
      </c>
      <c r="I14" s="160">
        <f>SUM(I5:I13)</f>
        <v>14992.5</v>
      </c>
      <c r="J14" s="84">
        <f>SUM(J5:J13)</f>
        <v>19990</v>
      </c>
    </row>
    <row r="18" spans="3:10" ht="23.4" x14ac:dyDescent="0.45">
      <c r="D18" s="172" t="s">
        <v>816</v>
      </c>
      <c r="E18" s="173"/>
      <c r="F18" s="173"/>
      <c r="G18" s="173"/>
      <c r="H18" s="173"/>
      <c r="I18" s="173"/>
      <c r="J18" s="174"/>
    </row>
    <row r="19" spans="3:10" ht="62.4" x14ac:dyDescent="0.3">
      <c r="C19" s="1">
        <v>18</v>
      </c>
      <c r="D19" s="2" t="s">
        <v>0</v>
      </c>
      <c r="E19" s="3" t="s">
        <v>1</v>
      </c>
      <c r="F19" s="3" t="s">
        <v>2</v>
      </c>
      <c r="G19" s="3" t="s">
        <v>24</v>
      </c>
      <c r="H19" s="3" t="s">
        <v>580</v>
      </c>
      <c r="I19" s="3" t="s">
        <v>15</v>
      </c>
      <c r="J19" s="3" t="s">
        <v>46</v>
      </c>
    </row>
    <row r="20" spans="3:10" x14ac:dyDescent="0.3">
      <c r="D20" s="5" t="s">
        <v>16</v>
      </c>
      <c r="E20" s="6">
        <v>820</v>
      </c>
      <c r="F20" s="11">
        <v>0.6</v>
      </c>
      <c r="G20" s="8">
        <f t="shared" ref="G20:G30" si="4">(F20/1000)*E20</f>
        <v>0.49199999999999994</v>
      </c>
      <c r="H20" s="6">
        <f>(E20*10)</f>
        <v>8200</v>
      </c>
      <c r="I20" s="6">
        <f>(E20*15)</f>
        <v>12300</v>
      </c>
      <c r="J20" s="6">
        <f>(E20*20)</f>
        <v>16400</v>
      </c>
    </row>
    <row r="21" spans="3:10" x14ac:dyDescent="0.3">
      <c r="D21" s="5" t="s">
        <v>171</v>
      </c>
      <c r="E21" s="6">
        <v>70</v>
      </c>
      <c r="F21" s="11">
        <v>25</v>
      </c>
      <c r="G21" s="8">
        <f t="shared" si="4"/>
        <v>1.75</v>
      </c>
      <c r="H21" s="6">
        <f t="shared" ref="H21:H30" si="5">(E21*10)</f>
        <v>700</v>
      </c>
      <c r="I21" s="6">
        <f t="shared" ref="I21:I30" si="6">(E21*15)</f>
        <v>1050</v>
      </c>
      <c r="J21" s="6">
        <f t="shared" ref="J21:J30" si="7">(E21*20)</f>
        <v>1400</v>
      </c>
    </row>
    <row r="22" spans="3:10" x14ac:dyDescent="0.3">
      <c r="D22" s="5" t="s">
        <v>372</v>
      </c>
      <c r="E22" s="6">
        <v>70</v>
      </c>
      <c r="F22" s="11">
        <v>25</v>
      </c>
      <c r="G22" s="8">
        <f t="shared" si="4"/>
        <v>1.75</v>
      </c>
      <c r="H22" s="6">
        <f t="shared" si="5"/>
        <v>700</v>
      </c>
      <c r="I22" s="6">
        <f t="shared" si="6"/>
        <v>1050</v>
      </c>
      <c r="J22" s="6">
        <f t="shared" si="7"/>
        <v>1400</v>
      </c>
    </row>
    <row r="23" spans="3:10" x14ac:dyDescent="0.3">
      <c r="D23" s="5" t="s">
        <v>59</v>
      </c>
      <c r="E23" s="6">
        <v>10</v>
      </c>
      <c r="F23" s="11">
        <v>8</v>
      </c>
      <c r="G23" s="8">
        <f t="shared" si="4"/>
        <v>0.08</v>
      </c>
      <c r="H23" s="6">
        <f t="shared" si="5"/>
        <v>100</v>
      </c>
      <c r="I23" s="6">
        <f t="shared" si="6"/>
        <v>150</v>
      </c>
      <c r="J23" s="6">
        <f t="shared" si="7"/>
        <v>200</v>
      </c>
    </row>
    <row r="24" spans="3:10" x14ac:dyDescent="0.3">
      <c r="D24" s="5" t="s">
        <v>434</v>
      </c>
      <c r="E24" s="6">
        <v>10</v>
      </c>
      <c r="F24" s="11">
        <v>60</v>
      </c>
      <c r="G24" s="8">
        <f t="shared" si="4"/>
        <v>0.6</v>
      </c>
      <c r="H24" s="6">
        <f t="shared" si="5"/>
        <v>100</v>
      </c>
      <c r="I24" s="6">
        <f t="shared" si="6"/>
        <v>150</v>
      </c>
      <c r="J24" s="6">
        <f t="shared" si="7"/>
        <v>200</v>
      </c>
    </row>
    <row r="25" spans="3:10" x14ac:dyDescent="0.3">
      <c r="D25" s="5" t="s">
        <v>425</v>
      </c>
      <c r="E25" s="6">
        <v>10</v>
      </c>
      <c r="F25" s="11">
        <v>45</v>
      </c>
      <c r="G25" s="8">
        <f t="shared" si="4"/>
        <v>0.44999999999999996</v>
      </c>
      <c r="H25" s="6">
        <f t="shared" si="5"/>
        <v>100</v>
      </c>
      <c r="I25" s="6">
        <f t="shared" si="6"/>
        <v>150</v>
      </c>
      <c r="J25" s="6">
        <f t="shared" si="7"/>
        <v>200</v>
      </c>
    </row>
    <row r="26" spans="3:10" x14ac:dyDescent="0.3">
      <c r="D26" s="5" t="s">
        <v>567</v>
      </c>
      <c r="E26" s="6">
        <v>5</v>
      </c>
      <c r="F26" s="11">
        <v>60</v>
      </c>
      <c r="G26" s="8">
        <f t="shared" si="4"/>
        <v>0.3</v>
      </c>
      <c r="H26" s="6">
        <f t="shared" si="5"/>
        <v>50</v>
      </c>
      <c r="I26" s="6">
        <f t="shared" si="6"/>
        <v>75</v>
      </c>
      <c r="J26" s="6">
        <f t="shared" si="7"/>
        <v>100</v>
      </c>
    </row>
    <row r="27" spans="3:10" x14ac:dyDescent="0.3">
      <c r="D27" s="5" t="s">
        <v>176</v>
      </c>
      <c r="E27" s="6">
        <v>10</v>
      </c>
      <c r="F27" s="11"/>
      <c r="G27" s="8"/>
      <c r="H27" s="6">
        <f t="shared" si="5"/>
        <v>100</v>
      </c>
      <c r="I27" s="6">
        <f t="shared" si="6"/>
        <v>150</v>
      </c>
      <c r="J27" s="6">
        <f t="shared" si="7"/>
        <v>200</v>
      </c>
    </row>
    <row r="28" spans="3:10" x14ac:dyDescent="0.3">
      <c r="D28" s="5" t="s">
        <v>35</v>
      </c>
      <c r="E28" s="6">
        <v>10</v>
      </c>
      <c r="F28" s="11"/>
      <c r="G28" s="8"/>
      <c r="H28" s="6">
        <f t="shared" si="5"/>
        <v>100</v>
      </c>
      <c r="I28" s="6">
        <f t="shared" si="6"/>
        <v>150</v>
      </c>
      <c r="J28" s="6">
        <f t="shared" si="7"/>
        <v>200</v>
      </c>
    </row>
    <row r="29" spans="3:10" x14ac:dyDescent="0.3">
      <c r="D29" s="5" t="s">
        <v>416</v>
      </c>
      <c r="E29" s="11">
        <v>2.5</v>
      </c>
      <c r="F29" s="6">
        <v>20</v>
      </c>
      <c r="G29" s="8">
        <f t="shared" si="4"/>
        <v>0.05</v>
      </c>
      <c r="H29" s="6">
        <f t="shared" si="5"/>
        <v>25</v>
      </c>
      <c r="I29" s="6">
        <f t="shared" si="6"/>
        <v>37.5</v>
      </c>
      <c r="J29" s="6">
        <f t="shared" si="7"/>
        <v>50</v>
      </c>
    </row>
    <row r="30" spans="3:10" x14ac:dyDescent="0.3">
      <c r="D30" s="5" t="s">
        <v>174</v>
      </c>
      <c r="E30" s="6">
        <v>1</v>
      </c>
      <c r="F30" s="6">
        <v>124</v>
      </c>
      <c r="G30" s="8">
        <f t="shared" si="4"/>
        <v>0.124</v>
      </c>
      <c r="H30" s="6">
        <f t="shared" si="5"/>
        <v>10</v>
      </c>
      <c r="I30" s="6">
        <f t="shared" si="6"/>
        <v>15</v>
      </c>
      <c r="J30" s="6">
        <f t="shared" si="7"/>
        <v>20</v>
      </c>
    </row>
    <row r="31" spans="3:10" x14ac:dyDescent="0.3">
      <c r="D31" s="27"/>
      <c r="E31" s="13">
        <f>SUM(E20:E30)</f>
        <v>1018.5</v>
      </c>
      <c r="F31" s="14"/>
      <c r="G31" s="15">
        <f>SUM(G20:G30)</f>
        <v>5.5959999999999992</v>
      </c>
      <c r="H31" s="13">
        <f>SUM(H20:H30)</f>
        <v>10185</v>
      </c>
      <c r="I31" s="160">
        <f>SUM(I20:I30)</f>
        <v>15277.5</v>
      </c>
      <c r="J31" s="84">
        <f>SUM(J20:J30)</f>
        <v>20370</v>
      </c>
    </row>
  </sheetData>
  <mergeCells count="2">
    <mergeCell ref="D3:J3"/>
    <mergeCell ref="D18:J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7EBB-8210-4784-8449-5C10585E5F7F}">
  <dimension ref="B3:J46"/>
  <sheetViews>
    <sheetView workbookViewId="0">
      <selection activeCell="L38" sqref="L38"/>
    </sheetView>
  </sheetViews>
  <sheetFormatPr baseColWidth="10" defaultRowHeight="14.4" x14ac:dyDescent="0.3"/>
  <cols>
    <col min="3" max="3" width="26.109375" bestFit="1" customWidth="1"/>
    <col min="5" max="6" width="0" hidden="1" customWidth="1"/>
  </cols>
  <sheetData>
    <row r="3" spans="2:9" ht="23.4" x14ac:dyDescent="0.45">
      <c r="C3" s="172" t="s">
        <v>722</v>
      </c>
      <c r="D3" s="173"/>
      <c r="E3" s="173"/>
      <c r="F3" s="173"/>
      <c r="G3" s="173"/>
      <c r="H3" s="173"/>
      <c r="I3" s="174"/>
    </row>
    <row r="4" spans="2:9" ht="62.4" x14ac:dyDescent="0.3">
      <c r="B4" s="1">
        <v>4</v>
      </c>
      <c r="C4" s="2" t="s">
        <v>0</v>
      </c>
      <c r="D4" s="3" t="s">
        <v>1</v>
      </c>
      <c r="E4" s="3" t="s">
        <v>2</v>
      </c>
      <c r="F4" s="3" t="s">
        <v>24</v>
      </c>
      <c r="G4" s="3" t="s">
        <v>723</v>
      </c>
      <c r="H4" s="3" t="s">
        <v>724</v>
      </c>
      <c r="I4" s="4"/>
    </row>
    <row r="5" spans="2:9" x14ac:dyDescent="0.3">
      <c r="C5" s="5" t="s">
        <v>268</v>
      </c>
      <c r="D5" s="11">
        <v>754.5</v>
      </c>
      <c r="E5" s="11">
        <v>0.6</v>
      </c>
      <c r="F5" s="8">
        <f t="shared" ref="F5:F15" si="0">(E5/1000)*D5</f>
        <v>0.45269999999999994</v>
      </c>
      <c r="G5" s="6">
        <f>(D5*3)</f>
        <v>2263.5</v>
      </c>
      <c r="H5" s="6">
        <f>(D5*7)</f>
        <v>5281.5</v>
      </c>
      <c r="I5" s="10" t="s">
        <v>7</v>
      </c>
    </row>
    <row r="6" spans="2:9" x14ac:dyDescent="0.3">
      <c r="C6" s="24" t="s">
        <v>171</v>
      </c>
      <c r="D6" s="11">
        <v>70</v>
      </c>
      <c r="E6" s="11">
        <v>20</v>
      </c>
      <c r="F6" s="8">
        <f t="shared" si="0"/>
        <v>1.4000000000000001</v>
      </c>
      <c r="G6" s="6">
        <f t="shared" ref="G6:G15" si="1">(D6*3)</f>
        <v>210</v>
      </c>
      <c r="H6" s="6">
        <f t="shared" ref="H6:H15" si="2">(D6*7)</f>
        <v>490</v>
      </c>
      <c r="I6" s="10"/>
    </row>
    <row r="7" spans="2:9" x14ac:dyDescent="0.3">
      <c r="C7" s="5" t="s">
        <v>368</v>
      </c>
      <c r="D7" s="6">
        <v>70</v>
      </c>
      <c r="E7" s="6">
        <v>30</v>
      </c>
      <c r="F7" s="8">
        <f t="shared" si="0"/>
        <v>2.1</v>
      </c>
      <c r="G7" s="6">
        <f t="shared" si="1"/>
        <v>210</v>
      </c>
      <c r="H7" s="6">
        <f t="shared" si="2"/>
        <v>490</v>
      </c>
      <c r="I7" s="10" t="s">
        <v>7</v>
      </c>
    </row>
    <row r="8" spans="2:9" x14ac:dyDescent="0.3">
      <c r="C8" s="5" t="s">
        <v>442</v>
      </c>
      <c r="D8" s="6">
        <v>30</v>
      </c>
      <c r="E8" s="6">
        <v>8</v>
      </c>
      <c r="F8" s="8">
        <f t="shared" si="0"/>
        <v>0.24</v>
      </c>
      <c r="G8" s="6">
        <f t="shared" si="1"/>
        <v>90</v>
      </c>
      <c r="H8" s="6">
        <f t="shared" si="2"/>
        <v>210</v>
      </c>
      <c r="I8" s="10"/>
    </row>
    <row r="9" spans="2:9" x14ac:dyDescent="0.3">
      <c r="C9" s="5" t="s">
        <v>496</v>
      </c>
      <c r="D9" s="6">
        <v>20</v>
      </c>
      <c r="E9" s="6">
        <v>170</v>
      </c>
      <c r="F9" s="8">
        <f t="shared" si="0"/>
        <v>3.4000000000000004</v>
      </c>
      <c r="G9" s="6">
        <f t="shared" si="1"/>
        <v>60</v>
      </c>
      <c r="H9" s="6">
        <f t="shared" si="2"/>
        <v>140</v>
      </c>
      <c r="I9" s="10"/>
    </row>
    <row r="10" spans="2:9" x14ac:dyDescent="0.3">
      <c r="C10" s="5" t="s">
        <v>390</v>
      </c>
      <c r="D10" s="6">
        <v>10</v>
      </c>
      <c r="E10" s="6">
        <v>254</v>
      </c>
      <c r="F10" s="8">
        <f t="shared" si="0"/>
        <v>2.54</v>
      </c>
      <c r="G10" s="6">
        <f t="shared" si="1"/>
        <v>30</v>
      </c>
      <c r="H10" s="6">
        <f t="shared" si="2"/>
        <v>70</v>
      </c>
      <c r="I10" s="10" t="s">
        <v>7</v>
      </c>
    </row>
    <row r="11" spans="2:9" x14ac:dyDescent="0.3">
      <c r="C11" s="5" t="s">
        <v>241</v>
      </c>
      <c r="D11" s="6">
        <v>10</v>
      </c>
      <c r="E11" s="6">
        <v>250</v>
      </c>
      <c r="F11" s="8">
        <f t="shared" si="0"/>
        <v>2.5</v>
      </c>
      <c r="G11" s="6">
        <f t="shared" si="1"/>
        <v>30</v>
      </c>
      <c r="H11" s="6">
        <f t="shared" si="2"/>
        <v>70</v>
      </c>
      <c r="I11" s="5" t="s">
        <v>7</v>
      </c>
    </row>
    <row r="12" spans="2:9" x14ac:dyDescent="0.3">
      <c r="C12" s="24" t="s">
        <v>434</v>
      </c>
      <c r="D12" s="25">
        <v>20</v>
      </c>
      <c r="E12" s="6">
        <v>124</v>
      </c>
      <c r="F12" s="8">
        <f t="shared" si="0"/>
        <v>2.48</v>
      </c>
      <c r="G12" s="6">
        <f t="shared" si="1"/>
        <v>60</v>
      </c>
      <c r="H12" s="6">
        <f t="shared" si="2"/>
        <v>140</v>
      </c>
      <c r="I12" s="5"/>
    </row>
    <row r="13" spans="2:9" x14ac:dyDescent="0.3">
      <c r="C13" s="24" t="s">
        <v>497</v>
      </c>
      <c r="D13" s="11">
        <v>10</v>
      </c>
      <c r="E13" s="6">
        <v>124</v>
      </c>
      <c r="F13" s="8">
        <f t="shared" si="0"/>
        <v>1.24</v>
      </c>
      <c r="G13" s="6">
        <f t="shared" si="1"/>
        <v>30</v>
      </c>
      <c r="H13" s="6">
        <f t="shared" si="2"/>
        <v>70</v>
      </c>
      <c r="I13" s="5" t="s">
        <v>7</v>
      </c>
    </row>
    <row r="14" spans="2:9" x14ac:dyDescent="0.3">
      <c r="C14" s="24" t="s">
        <v>646</v>
      </c>
      <c r="D14" s="11">
        <v>2.5</v>
      </c>
      <c r="E14" s="6">
        <v>60</v>
      </c>
      <c r="F14" s="8">
        <f t="shared" si="0"/>
        <v>0.15</v>
      </c>
      <c r="G14" s="6">
        <f t="shared" si="1"/>
        <v>7.5</v>
      </c>
      <c r="H14" s="6">
        <f t="shared" si="2"/>
        <v>17.5</v>
      </c>
      <c r="I14" s="5"/>
    </row>
    <row r="15" spans="2:9" x14ac:dyDescent="0.3">
      <c r="C15" s="27" t="s">
        <v>380</v>
      </c>
      <c r="D15" s="11">
        <v>3</v>
      </c>
      <c r="E15" s="6">
        <v>20</v>
      </c>
      <c r="F15" s="8">
        <f t="shared" si="0"/>
        <v>0.06</v>
      </c>
      <c r="G15" s="6">
        <f t="shared" si="1"/>
        <v>9</v>
      </c>
      <c r="H15" s="6">
        <f t="shared" si="2"/>
        <v>21</v>
      </c>
      <c r="I15" s="5"/>
    </row>
    <row r="16" spans="2:9" x14ac:dyDescent="0.3">
      <c r="C16" s="27"/>
      <c r="D16" s="13">
        <f>SUM(D5:D15)</f>
        <v>1000</v>
      </c>
      <c r="E16" s="14"/>
      <c r="F16" s="15">
        <f>SUM(F5:F15)</f>
        <v>16.562699999999996</v>
      </c>
      <c r="G16" s="128">
        <f>SUM(G5:G15)</f>
        <v>3000</v>
      </c>
      <c r="H16" s="84">
        <f>SUM(H5:H15)</f>
        <v>7000</v>
      </c>
      <c r="I16" s="17"/>
    </row>
    <row r="19" spans="2:10" ht="23.4" x14ac:dyDescent="0.45">
      <c r="C19" s="221" t="s">
        <v>828</v>
      </c>
      <c r="D19" s="222"/>
      <c r="E19" s="222"/>
      <c r="F19" s="222"/>
      <c r="G19" s="222"/>
      <c r="H19" s="222"/>
      <c r="I19" s="222"/>
      <c r="J19" s="223"/>
    </row>
    <row r="20" spans="2:10" ht="46.8" x14ac:dyDescent="0.3">
      <c r="B20" s="224">
        <v>3</v>
      </c>
      <c r="C20" s="225" t="s">
        <v>0</v>
      </c>
      <c r="D20" s="226" t="s">
        <v>1</v>
      </c>
      <c r="E20" s="226" t="s">
        <v>2</v>
      </c>
      <c r="F20" s="226" t="s">
        <v>819</v>
      </c>
      <c r="G20" s="226" t="s">
        <v>407</v>
      </c>
      <c r="H20" s="226" t="s">
        <v>126</v>
      </c>
      <c r="I20" s="226" t="s">
        <v>408</v>
      </c>
      <c r="J20" s="227"/>
    </row>
    <row r="21" spans="2:10" x14ac:dyDescent="0.3">
      <c r="C21" s="228" t="s">
        <v>55</v>
      </c>
      <c r="D21" s="229">
        <v>894</v>
      </c>
      <c r="E21" s="230"/>
      <c r="F21" s="231">
        <f t="shared" ref="F21:F29" si="3">(E21/1000)*D21</f>
        <v>0</v>
      </c>
      <c r="G21" s="229"/>
      <c r="H21" s="229"/>
      <c r="I21" s="229"/>
      <c r="J21" s="232" t="s">
        <v>7</v>
      </c>
    </row>
    <row r="22" spans="2:10" x14ac:dyDescent="0.3">
      <c r="C22" s="233" t="s">
        <v>167</v>
      </c>
      <c r="D22" s="229">
        <v>8</v>
      </c>
      <c r="E22" s="230"/>
      <c r="F22" s="231">
        <f t="shared" si="3"/>
        <v>0</v>
      </c>
      <c r="G22" s="229"/>
      <c r="H22" s="229"/>
      <c r="I22" s="229"/>
      <c r="J22" s="232"/>
    </row>
    <row r="23" spans="2:10" x14ac:dyDescent="0.3">
      <c r="C23" s="228" t="s">
        <v>9</v>
      </c>
      <c r="D23" s="229">
        <v>50</v>
      </c>
      <c r="E23" s="229"/>
      <c r="F23" s="231">
        <f t="shared" si="3"/>
        <v>0</v>
      </c>
      <c r="G23" s="229"/>
      <c r="H23" s="229"/>
      <c r="I23" s="229"/>
      <c r="J23" s="232" t="s">
        <v>7</v>
      </c>
    </row>
    <row r="24" spans="2:10" x14ac:dyDescent="0.3">
      <c r="C24" s="228" t="s">
        <v>244</v>
      </c>
      <c r="D24" s="229">
        <v>30</v>
      </c>
      <c r="E24" s="229"/>
      <c r="F24" s="231">
        <f t="shared" si="3"/>
        <v>0</v>
      </c>
      <c r="G24" s="229"/>
      <c r="H24" s="229"/>
      <c r="I24" s="229"/>
      <c r="J24" s="232"/>
    </row>
    <row r="25" spans="2:10" x14ac:dyDescent="0.3">
      <c r="C25" s="228" t="s">
        <v>379</v>
      </c>
      <c r="D25" s="229">
        <v>10</v>
      </c>
      <c r="E25" s="229"/>
      <c r="F25" s="231">
        <f t="shared" si="3"/>
        <v>0</v>
      </c>
      <c r="G25" s="229"/>
      <c r="H25" s="229"/>
      <c r="I25" s="229"/>
      <c r="J25" s="232"/>
    </row>
    <row r="26" spans="2:10" x14ac:dyDescent="0.3">
      <c r="C26" s="228" t="s">
        <v>829</v>
      </c>
      <c r="D26" s="229">
        <v>5</v>
      </c>
      <c r="E26" s="229"/>
      <c r="F26" s="231">
        <f t="shared" si="3"/>
        <v>0</v>
      </c>
      <c r="G26" s="229"/>
      <c r="H26" s="229"/>
      <c r="I26" s="229"/>
      <c r="J26" s="232" t="s">
        <v>7</v>
      </c>
    </row>
    <row r="27" spans="2:10" x14ac:dyDescent="0.3">
      <c r="C27" s="228" t="s">
        <v>830</v>
      </c>
      <c r="D27" s="229">
        <v>1</v>
      </c>
      <c r="E27" s="229"/>
      <c r="F27" s="231">
        <f t="shared" si="3"/>
        <v>0</v>
      </c>
      <c r="G27" s="229"/>
      <c r="H27" s="229"/>
      <c r="I27" s="229"/>
      <c r="J27" s="232" t="s">
        <v>7</v>
      </c>
    </row>
    <row r="28" spans="2:10" x14ac:dyDescent="0.3">
      <c r="C28" s="228" t="s">
        <v>56</v>
      </c>
      <c r="D28" s="234">
        <v>1</v>
      </c>
      <c r="E28" s="229"/>
      <c r="F28" s="231">
        <f t="shared" si="3"/>
        <v>0</v>
      </c>
      <c r="G28" s="229"/>
      <c r="H28" s="229"/>
      <c r="I28" s="229"/>
      <c r="J28" s="228"/>
    </row>
    <row r="29" spans="2:10" x14ac:dyDescent="0.3">
      <c r="C29" s="228" t="s">
        <v>231</v>
      </c>
      <c r="D29" s="242">
        <v>0.5</v>
      </c>
      <c r="E29" s="229"/>
      <c r="F29" s="231">
        <f t="shared" si="3"/>
        <v>0</v>
      </c>
      <c r="G29" s="229"/>
      <c r="H29" s="229"/>
      <c r="I29" s="229"/>
      <c r="J29" s="228"/>
    </row>
    <row r="30" spans="2:10" x14ac:dyDescent="0.3">
      <c r="C30" s="235"/>
      <c r="D30" s="236">
        <f>SUM(D21:D29)</f>
        <v>999.5</v>
      </c>
      <c r="E30" s="237"/>
      <c r="F30" s="238">
        <f t="shared" ref="F30:I30" si="4">SUM(F21:F29)</f>
        <v>0</v>
      </c>
      <c r="G30" s="236">
        <f t="shared" si="4"/>
        <v>0</v>
      </c>
      <c r="H30" s="239">
        <f t="shared" si="4"/>
        <v>0</v>
      </c>
      <c r="I30" s="239">
        <f t="shared" si="4"/>
        <v>0</v>
      </c>
      <c r="J30" s="240"/>
    </row>
    <row r="33" spans="2:10" ht="23.4" x14ac:dyDescent="0.45">
      <c r="C33" s="221" t="s">
        <v>985</v>
      </c>
      <c r="D33" s="222"/>
      <c r="E33" s="222"/>
      <c r="F33" s="222"/>
      <c r="G33" s="222"/>
      <c r="H33" s="222"/>
      <c r="I33" s="222"/>
      <c r="J33" s="223"/>
    </row>
    <row r="34" spans="2:10" ht="46.8" x14ac:dyDescent="0.3">
      <c r="B34" s="224">
        <v>7</v>
      </c>
      <c r="C34" s="225" t="s">
        <v>0</v>
      </c>
      <c r="D34" s="226" t="s">
        <v>135</v>
      </c>
      <c r="E34" s="226" t="s">
        <v>926</v>
      </c>
      <c r="F34" s="226" t="s">
        <v>819</v>
      </c>
      <c r="G34" s="226"/>
      <c r="H34" s="226" t="s">
        <v>126</v>
      </c>
      <c r="I34" s="226" t="s">
        <v>408</v>
      </c>
      <c r="J34" s="227"/>
    </row>
    <row r="35" spans="2:10" x14ac:dyDescent="0.3">
      <c r="C35" s="228" t="s">
        <v>55</v>
      </c>
      <c r="D35" s="230">
        <v>920</v>
      </c>
      <c r="E35" s="230"/>
      <c r="F35" s="231">
        <f>(E35/1000)*D35</f>
        <v>0</v>
      </c>
      <c r="G35" s="229"/>
      <c r="H35" s="229"/>
      <c r="I35" s="229"/>
      <c r="J35" s="232" t="s">
        <v>7</v>
      </c>
    </row>
    <row r="36" spans="2:10" x14ac:dyDescent="0.3">
      <c r="C36" s="228" t="s">
        <v>634</v>
      </c>
      <c r="D36" s="230">
        <v>40</v>
      </c>
      <c r="E36" s="230"/>
      <c r="F36" s="231"/>
      <c r="G36" s="229"/>
      <c r="H36" s="229"/>
      <c r="I36" s="229"/>
      <c r="J36" s="232"/>
    </row>
    <row r="37" spans="2:10" x14ac:dyDescent="0.3">
      <c r="C37" s="228" t="s">
        <v>642</v>
      </c>
      <c r="D37" s="230">
        <v>10</v>
      </c>
      <c r="E37" s="230"/>
      <c r="F37" s="231"/>
      <c r="G37" s="229"/>
      <c r="H37" s="229"/>
      <c r="I37" s="229"/>
      <c r="J37" s="232"/>
    </row>
    <row r="38" spans="2:10" x14ac:dyDescent="0.3">
      <c r="C38" s="228" t="s">
        <v>9</v>
      </c>
      <c r="D38" s="230">
        <v>25</v>
      </c>
      <c r="E38" s="230"/>
      <c r="F38" s="231"/>
      <c r="G38" s="229"/>
      <c r="H38" s="229"/>
      <c r="I38" s="229"/>
      <c r="J38" s="232"/>
    </row>
    <row r="39" spans="2:10" x14ac:dyDescent="0.3">
      <c r="C39" s="228" t="s">
        <v>343</v>
      </c>
      <c r="D39" s="230">
        <v>5</v>
      </c>
      <c r="E39" s="230"/>
      <c r="F39" s="231"/>
      <c r="G39" s="229"/>
      <c r="H39" s="229"/>
      <c r="I39" s="229"/>
      <c r="J39" s="232"/>
    </row>
    <row r="40" spans="2:10" x14ac:dyDescent="0.3">
      <c r="C40" s="228" t="s">
        <v>374</v>
      </c>
      <c r="D40" s="230">
        <v>15</v>
      </c>
      <c r="E40" s="230"/>
      <c r="F40" s="231"/>
      <c r="G40" s="229"/>
      <c r="H40" s="229"/>
      <c r="I40" s="229"/>
      <c r="J40" s="232"/>
    </row>
    <row r="41" spans="2:10" x14ac:dyDescent="0.3">
      <c r="C41" s="233" t="s">
        <v>12</v>
      </c>
      <c r="D41" s="230">
        <v>5</v>
      </c>
      <c r="E41" s="230"/>
      <c r="F41" s="231"/>
      <c r="G41" s="229"/>
      <c r="H41" s="229"/>
      <c r="I41" s="229"/>
      <c r="J41" s="232"/>
    </row>
    <row r="42" spans="2:10" x14ac:dyDescent="0.3">
      <c r="C42" s="233" t="s">
        <v>504</v>
      </c>
      <c r="D42" s="230">
        <v>3</v>
      </c>
      <c r="E42" s="230"/>
      <c r="F42" s="231"/>
      <c r="G42" s="229"/>
      <c r="H42" s="229"/>
      <c r="I42" s="229"/>
      <c r="J42" s="232"/>
    </row>
    <row r="43" spans="2:10" x14ac:dyDescent="0.3">
      <c r="C43" s="228" t="s">
        <v>168</v>
      </c>
      <c r="D43" s="229">
        <v>2</v>
      </c>
      <c r="E43" s="230"/>
      <c r="F43" s="231"/>
      <c r="G43" s="229"/>
      <c r="H43" s="229"/>
      <c r="I43" s="229"/>
      <c r="J43" s="232"/>
    </row>
    <row r="44" spans="2:10" x14ac:dyDescent="0.3">
      <c r="C44" s="228" t="s">
        <v>56</v>
      </c>
      <c r="D44" s="229">
        <v>2</v>
      </c>
      <c r="E44" s="230"/>
      <c r="F44" s="231"/>
      <c r="G44" s="229"/>
      <c r="H44" s="229"/>
      <c r="I44" s="229"/>
      <c r="J44" s="232"/>
    </row>
    <row r="45" spans="2:10" x14ac:dyDescent="0.3">
      <c r="C45" s="241" t="s">
        <v>29</v>
      </c>
      <c r="D45" s="262">
        <v>1</v>
      </c>
      <c r="E45" s="230"/>
      <c r="F45" s="231"/>
      <c r="G45" s="229"/>
      <c r="H45" s="229"/>
      <c r="I45" s="229"/>
      <c r="J45" s="232"/>
    </row>
    <row r="46" spans="2:10" x14ac:dyDescent="0.3">
      <c r="C46" s="235"/>
      <c r="D46" s="253">
        <f>SUM(D35:D45)</f>
        <v>1028</v>
      </c>
      <c r="E46" s="254"/>
      <c r="F46" s="255">
        <f>SUM(F35:F45)</f>
        <v>0</v>
      </c>
      <c r="G46" s="253">
        <f>SUM(G35:G45)</f>
        <v>0</v>
      </c>
      <c r="H46" s="258">
        <f>SUM(H35:H45)</f>
        <v>0</v>
      </c>
      <c r="I46" s="258">
        <f>SUM(I35:I45)</f>
        <v>0</v>
      </c>
      <c r="J46" s="257"/>
    </row>
  </sheetData>
  <mergeCells count="3">
    <mergeCell ref="C3:I3"/>
    <mergeCell ref="C19:J19"/>
    <mergeCell ref="C33:J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C862-5137-487C-9CF6-F89CE2A99367}">
  <dimension ref="B5:J66"/>
  <sheetViews>
    <sheetView topLeftCell="A48" workbookViewId="0">
      <selection activeCell="B52" sqref="B52:J66"/>
    </sheetView>
  </sheetViews>
  <sheetFormatPr baseColWidth="10" defaultRowHeight="14.4" x14ac:dyDescent="0.3"/>
  <cols>
    <col min="3" max="3" width="32.5546875" bestFit="1" customWidth="1"/>
    <col min="5" max="6" width="0" hidden="1" customWidth="1"/>
  </cols>
  <sheetData>
    <row r="5" spans="2:9" ht="23.4" x14ac:dyDescent="0.45">
      <c r="C5" s="266" t="s">
        <v>897</v>
      </c>
      <c r="D5" s="222"/>
      <c r="E5" s="222"/>
      <c r="F5" s="222"/>
      <c r="G5" s="222"/>
      <c r="H5" s="222"/>
      <c r="I5" s="222"/>
    </row>
    <row r="6" spans="2:9" ht="46.8" x14ac:dyDescent="0.3">
      <c r="B6" s="224">
        <v>11</v>
      </c>
      <c r="C6" s="225" t="s">
        <v>0</v>
      </c>
      <c r="D6" s="226" t="s">
        <v>1</v>
      </c>
      <c r="E6" s="226" t="s">
        <v>2</v>
      </c>
      <c r="F6" s="226" t="s">
        <v>819</v>
      </c>
      <c r="G6" s="226" t="s">
        <v>407</v>
      </c>
      <c r="H6" s="226" t="s">
        <v>126</v>
      </c>
      <c r="I6" s="226" t="s">
        <v>408</v>
      </c>
    </row>
    <row r="7" spans="2:9" ht="15.6" x14ac:dyDescent="0.3">
      <c r="C7" s="289" t="s">
        <v>16</v>
      </c>
      <c r="D7" s="229">
        <v>733</v>
      </c>
      <c r="E7" s="230"/>
      <c r="F7" s="231">
        <f>(E7/1000)*D7</f>
        <v>0</v>
      </c>
      <c r="G7" s="229"/>
      <c r="H7" s="229"/>
      <c r="I7" s="229"/>
    </row>
    <row r="8" spans="2:9" ht="15.6" x14ac:dyDescent="0.3">
      <c r="C8" s="289" t="s">
        <v>9</v>
      </c>
      <c r="D8" s="229">
        <v>40</v>
      </c>
      <c r="E8" s="230"/>
      <c r="F8" s="231"/>
      <c r="G8" s="229"/>
      <c r="H8" s="229"/>
      <c r="I8" s="229"/>
    </row>
    <row r="9" spans="2:9" x14ac:dyDescent="0.3">
      <c r="C9" s="289" t="s">
        <v>19</v>
      </c>
      <c r="D9" s="229">
        <v>20</v>
      </c>
      <c r="E9" s="230"/>
      <c r="F9" s="231"/>
      <c r="G9" s="229"/>
      <c r="H9" s="229"/>
      <c r="I9" s="229"/>
    </row>
    <row r="10" spans="2:9" ht="15.6" x14ac:dyDescent="0.3">
      <c r="C10" s="289" t="s">
        <v>389</v>
      </c>
      <c r="D10" s="230">
        <v>20</v>
      </c>
      <c r="E10" s="230"/>
      <c r="F10" s="231"/>
      <c r="G10" s="229"/>
      <c r="H10" s="229"/>
      <c r="I10" s="229"/>
    </row>
    <row r="11" spans="2:9" ht="15.6" x14ac:dyDescent="0.3">
      <c r="C11" s="289" t="s">
        <v>521</v>
      </c>
      <c r="D11" s="229">
        <v>5</v>
      </c>
      <c r="E11" s="230"/>
      <c r="F11" s="231"/>
      <c r="G11" s="229"/>
      <c r="H11" s="229"/>
      <c r="I11" s="229"/>
    </row>
    <row r="12" spans="2:9" ht="15.6" x14ac:dyDescent="0.3">
      <c r="C12" s="289" t="s">
        <v>898</v>
      </c>
      <c r="D12" s="229">
        <v>30</v>
      </c>
      <c r="E12" s="230"/>
      <c r="F12" s="231"/>
      <c r="G12" s="229"/>
      <c r="H12" s="229"/>
      <c r="I12" s="229"/>
    </row>
    <row r="13" spans="2:9" ht="15.6" x14ac:dyDescent="0.3">
      <c r="C13" s="289" t="s">
        <v>701</v>
      </c>
      <c r="D13" s="229">
        <v>10</v>
      </c>
      <c r="E13" s="230"/>
      <c r="F13" s="231"/>
      <c r="G13" s="229"/>
      <c r="H13" s="229"/>
      <c r="I13" s="229"/>
    </row>
    <row r="14" spans="2:9" ht="15.6" x14ac:dyDescent="0.3">
      <c r="C14" s="289" t="s">
        <v>72</v>
      </c>
      <c r="D14" s="229">
        <v>2</v>
      </c>
      <c r="E14" s="230"/>
      <c r="F14" s="231"/>
      <c r="G14" s="229"/>
      <c r="H14" s="229"/>
      <c r="I14" s="229"/>
    </row>
    <row r="15" spans="2:9" ht="15.6" x14ac:dyDescent="0.3">
      <c r="C15" s="289" t="s">
        <v>67</v>
      </c>
      <c r="D15" s="230">
        <v>70</v>
      </c>
      <c r="E15" s="230"/>
      <c r="F15" s="231"/>
      <c r="G15" s="229"/>
      <c r="H15" s="229"/>
      <c r="I15" s="229"/>
    </row>
    <row r="16" spans="2:9" ht="15.6" x14ac:dyDescent="0.3">
      <c r="C16" s="289" t="s">
        <v>372</v>
      </c>
      <c r="D16" s="296">
        <v>70</v>
      </c>
      <c r="E16" s="297"/>
      <c r="F16" s="298"/>
      <c r="G16" s="296"/>
      <c r="H16" s="299"/>
      <c r="I16" s="299"/>
    </row>
    <row r="17" spans="2:10" x14ac:dyDescent="0.3">
      <c r="C17" s="235"/>
      <c r="D17" s="253">
        <f>SUM(D7:D16)</f>
        <v>1000</v>
      </c>
      <c r="E17" s="254"/>
      <c r="F17" s="255">
        <f t="shared" ref="F17:I17" si="0">SUM(F7:F15)</f>
        <v>0</v>
      </c>
      <c r="G17" s="253">
        <f t="shared" si="0"/>
        <v>0</v>
      </c>
      <c r="H17" s="258">
        <f t="shared" si="0"/>
        <v>0</v>
      </c>
      <c r="I17" s="258">
        <f t="shared" si="0"/>
        <v>0</v>
      </c>
    </row>
    <row r="20" spans="2:10" ht="23.4" x14ac:dyDescent="0.45">
      <c r="C20" s="221" t="s">
        <v>980</v>
      </c>
      <c r="D20" s="222"/>
      <c r="E20" s="222"/>
      <c r="F20" s="222"/>
      <c r="G20" s="222"/>
      <c r="H20" s="222"/>
      <c r="I20" s="222"/>
      <c r="J20" s="223"/>
    </row>
    <row r="21" spans="2:10" ht="46.8" x14ac:dyDescent="0.3">
      <c r="B21" s="224">
        <v>12</v>
      </c>
      <c r="C21" s="225" t="s">
        <v>0</v>
      </c>
      <c r="D21" s="226" t="s">
        <v>135</v>
      </c>
      <c r="E21" s="226" t="s">
        <v>926</v>
      </c>
      <c r="F21" s="226" t="s">
        <v>819</v>
      </c>
      <c r="G21" s="226" t="s">
        <v>126</v>
      </c>
      <c r="H21" s="226" t="s">
        <v>126</v>
      </c>
      <c r="I21" s="226" t="s">
        <v>408</v>
      </c>
      <c r="J21" s="227"/>
    </row>
    <row r="22" spans="2:10" x14ac:dyDescent="0.3">
      <c r="C22" s="228" t="s">
        <v>232</v>
      </c>
      <c r="D22" s="229">
        <v>810</v>
      </c>
      <c r="E22" s="230"/>
      <c r="F22" s="231">
        <f>(E22/1000)*D22</f>
        <v>0</v>
      </c>
      <c r="G22" s="229">
        <f>+D22*8</f>
        <v>6480</v>
      </c>
      <c r="H22" s="229"/>
      <c r="I22" s="229"/>
      <c r="J22" s="232" t="s">
        <v>7</v>
      </c>
    </row>
    <row r="23" spans="2:10" x14ac:dyDescent="0.3">
      <c r="C23" s="228" t="s">
        <v>981</v>
      </c>
      <c r="D23" s="229">
        <v>50</v>
      </c>
      <c r="E23" s="230"/>
      <c r="F23" s="231"/>
      <c r="G23" s="229">
        <f>+D23*8</f>
        <v>400</v>
      </c>
      <c r="H23" s="229"/>
      <c r="I23" s="229"/>
      <c r="J23" s="232"/>
    </row>
    <row r="24" spans="2:10" x14ac:dyDescent="0.3">
      <c r="C24" s="228" t="s">
        <v>163</v>
      </c>
      <c r="D24" s="229">
        <v>40</v>
      </c>
      <c r="E24" s="230"/>
      <c r="F24" s="231"/>
      <c r="G24" s="229">
        <f>+D24*8</f>
        <v>320</v>
      </c>
      <c r="H24" s="229"/>
      <c r="I24" s="229"/>
      <c r="J24" s="232"/>
    </row>
    <row r="25" spans="2:10" x14ac:dyDescent="0.3">
      <c r="C25" s="233" t="s">
        <v>59</v>
      </c>
      <c r="D25" s="229">
        <v>20</v>
      </c>
      <c r="E25" s="230"/>
      <c r="F25" s="231"/>
      <c r="G25" s="229">
        <f>+D25*8</f>
        <v>160</v>
      </c>
      <c r="H25" s="229"/>
      <c r="I25" s="229"/>
      <c r="J25" s="232"/>
    </row>
    <row r="26" spans="2:10" x14ac:dyDescent="0.3">
      <c r="C26" s="228" t="s">
        <v>166</v>
      </c>
      <c r="D26" s="229">
        <v>20</v>
      </c>
      <c r="E26" s="230"/>
      <c r="F26" s="231"/>
      <c r="G26" s="229">
        <f>+D26*8</f>
        <v>160</v>
      </c>
      <c r="H26" s="229"/>
      <c r="I26" s="229"/>
      <c r="J26" s="232"/>
    </row>
    <row r="27" spans="2:10" x14ac:dyDescent="0.3">
      <c r="C27" s="228" t="s">
        <v>241</v>
      </c>
      <c r="D27" s="229">
        <v>5</v>
      </c>
      <c r="E27" s="230"/>
      <c r="F27" s="231"/>
      <c r="G27" s="229">
        <f>+D27*8</f>
        <v>40</v>
      </c>
      <c r="H27" s="229"/>
      <c r="I27" s="229"/>
      <c r="J27" s="232"/>
    </row>
    <row r="28" spans="2:10" x14ac:dyDescent="0.3">
      <c r="C28" s="228" t="s">
        <v>898</v>
      </c>
      <c r="D28" s="229">
        <v>5</v>
      </c>
      <c r="E28" s="230"/>
      <c r="F28" s="231"/>
      <c r="G28" s="229">
        <f>+D28*8</f>
        <v>40</v>
      </c>
      <c r="H28" s="229"/>
      <c r="I28" s="229"/>
      <c r="J28" s="232"/>
    </row>
    <row r="29" spans="2:10" x14ac:dyDescent="0.3">
      <c r="C29" s="228" t="s">
        <v>732</v>
      </c>
      <c r="D29" s="229">
        <v>30</v>
      </c>
      <c r="E29" s="230"/>
      <c r="F29" s="231"/>
      <c r="G29" s="229">
        <f>+D29*8</f>
        <v>240</v>
      </c>
      <c r="H29" s="229"/>
      <c r="I29" s="229"/>
      <c r="J29" s="232"/>
    </row>
    <row r="30" spans="2:10" x14ac:dyDescent="0.3">
      <c r="C30" s="228" t="s">
        <v>646</v>
      </c>
      <c r="D30" s="229">
        <v>10</v>
      </c>
      <c r="E30" s="230"/>
      <c r="F30" s="231"/>
      <c r="G30" s="229">
        <f>+D30*8</f>
        <v>80</v>
      </c>
      <c r="H30" s="229"/>
      <c r="I30" s="229"/>
      <c r="J30" s="232"/>
    </row>
    <row r="31" spans="2:10" x14ac:dyDescent="0.3">
      <c r="C31" s="228" t="s">
        <v>174</v>
      </c>
      <c r="D31" s="229">
        <v>2</v>
      </c>
      <c r="E31" s="230"/>
      <c r="F31" s="231"/>
      <c r="G31" s="229">
        <f>+D31*8</f>
        <v>16</v>
      </c>
      <c r="H31" s="229"/>
      <c r="I31" s="229"/>
      <c r="J31" s="232"/>
    </row>
    <row r="32" spans="2:10" x14ac:dyDescent="0.3">
      <c r="C32" s="228" t="s">
        <v>982</v>
      </c>
      <c r="D32" s="262">
        <v>6</v>
      </c>
      <c r="E32" s="259"/>
      <c r="F32" s="261"/>
      <c r="G32" s="229">
        <f>+D32*8</f>
        <v>48</v>
      </c>
      <c r="H32" s="262"/>
      <c r="I32" s="262"/>
      <c r="J32" s="263"/>
    </row>
    <row r="33" spans="2:10" x14ac:dyDescent="0.3">
      <c r="C33" s="235"/>
      <c r="D33" s="253">
        <f>SUM(D22:D32)</f>
        <v>998</v>
      </c>
      <c r="E33" s="254"/>
      <c r="F33" s="255">
        <f>SUM(F22:F31)</f>
        <v>0</v>
      </c>
      <c r="G33" s="253">
        <f>SUM(G22:G32)</f>
        <v>7984</v>
      </c>
      <c r="H33" s="258">
        <f>SUM(H22:H31)</f>
        <v>0</v>
      </c>
      <c r="I33" s="258">
        <f>SUM(I22:I31)</f>
        <v>0</v>
      </c>
      <c r="J33" s="257"/>
    </row>
    <row r="36" spans="2:10" ht="23.4" x14ac:dyDescent="0.45">
      <c r="C36" s="221" t="s">
        <v>983</v>
      </c>
      <c r="D36" s="222"/>
      <c r="E36" s="222"/>
      <c r="F36" s="222"/>
      <c r="G36" s="222"/>
      <c r="H36" s="222"/>
      <c r="I36" s="222"/>
      <c r="J36" s="223"/>
    </row>
    <row r="37" spans="2:10" ht="46.8" x14ac:dyDescent="0.3">
      <c r="B37" s="224">
        <v>11</v>
      </c>
      <c r="C37" s="225" t="s">
        <v>0</v>
      </c>
      <c r="D37" s="226" t="s">
        <v>135</v>
      </c>
      <c r="E37" s="226" t="s">
        <v>926</v>
      </c>
      <c r="F37" s="226" t="s">
        <v>819</v>
      </c>
      <c r="G37" s="226"/>
      <c r="H37" s="226" t="s">
        <v>126</v>
      </c>
      <c r="I37" s="226" t="s">
        <v>408</v>
      </c>
      <c r="J37" s="227"/>
    </row>
    <row r="38" spans="2:10" x14ac:dyDescent="0.3">
      <c r="C38" s="228" t="s">
        <v>232</v>
      </c>
      <c r="D38" s="229">
        <v>835</v>
      </c>
      <c r="E38" s="230"/>
      <c r="F38" s="231">
        <f>(E38/1000)*D38</f>
        <v>0</v>
      </c>
      <c r="G38" s="229">
        <f>+D38*120</f>
        <v>100200</v>
      </c>
      <c r="H38" s="229"/>
      <c r="I38" s="229"/>
      <c r="J38" s="232" t="s">
        <v>7</v>
      </c>
    </row>
    <row r="39" spans="2:10" x14ac:dyDescent="0.3">
      <c r="C39" s="228" t="s">
        <v>981</v>
      </c>
      <c r="D39" s="229">
        <v>25</v>
      </c>
      <c r="E39" s="230"/>
      <c r="F39" s="231"/>
      <c r="G39" s="229">
        <f>+D39*120</f>
        <v>3000</v>
      </c>
      <c r="H39" s="229"/>
      <c r="I39" s="229"/>
      <c r="J39" s="232"/>
    </row>
    <row r="40" spans="2:10" x14ac:dyDescent="0.3">
      <c r="C40" s="228" t="s">
        <v>163</v>
      </c>
      <c r="D40" s="229">
        <v>35</v>
      </c>
      <c r="E40" s="230"/>
      <c r="F40" s="231"/>
      <c r="G40" s="229">
        <f>+D40*120</f>
        <v>4200</v>
      </c>
      <c r="H40" s="229"/>
      <c r="I40" s="229"/>
      <c r="J40" s="232"/>
    </row>
    <row r="41" spans="2:10" x14ac:dyDescent="0.3">
      <c r="C41" s="233" t="s">
        <v>59</v>
      </c>
      <c r="D41" s="229">
        <v>20</v>
      </c>
      <c r="E41" s="230"/>
      <c r="F41" s="231"/>
      <c r="G41" s="229">
        <f>+D41*120</f>
        <v>2400</v>
      </c>
      <c r="H41" s="229"/>
      <c r="I41" s="229"/>
      <c r="J41" s="232"/>
    </row>
    <row r="42" spans="2:10" x14ac:dyDescent="0.3">
      <c r="C42" s="228" t="s">
        <v>166</v>
      </c>
      <c r="D42" s="229">
        <v>25</v>
      </c>
      <c r="E42" s="230"/>
      <c r="F42" s="231"/>
      <c r="G42" s="229">
        <f>+D42*120</f>
        <v>3000</v>
      </c>
      <c r="H42" s="229"/>
      <c r="I42" s="229"/>
      <c r="J42" s="232"/>
    </row>
    <row r="43" spans="2:10" x14ac:dyDescent="0.3">
      <c r="C43" s="228" t="s">
        <v>241</v>
      </c>
      <c r="D43" s="229">
        <v>10</v>
      </c>
      <c r="E43" s="230"/>
      <c r="F43" s="231"/>
      <c r="G43" s="229">
        <f>+D43*120</f>
        <v>1200</v>
      </c>
      <c r="H43" s="229"/>
      <c r="I43" s="229"/>
      <c r="J43" s="232"/>
    </row>
    <row r="44" spans="2:10" x14ac:dyDescent="0.3">
      <c r="C44" s="228" t="s">
        <v>898</v>
      </c>
      <c r="D44" s="229">
        <v>5</v>
      </c>
      <c r="E44" s="230"/>
      <c r="F44" s="231"/>
      <c r="G44" s="229">
        <f>+D44*120</f>
        <v>600</v>
      </c>
      <c r="H44" s="229"/>
      <c r="I44" s="229"/>
      <c r="J44" s="232"/>
    </row>
    <row r="45" spans="2:10" x14ac:dyDescent="0.3">
      <c r="C45" s="228" t="s">
        <v>732</v>
      </c>
      <c r="D45" s="230">
        <v>25</v>
      </c>
      <c r="E45" s="230"/>
      <c r="F45" s="231"/>
      <c r="G45" s="229">
        <f>+D45*120</f>
        <v>3000</v>
      </c>
      <c r="H45" s="229"/>
      <c r="I45" s="229"/>
      <c r="J45" s="232"/>
    </row>
    <row r="46" spans="2:10" x14ac:dyDescent="0.3">
      <c r="C46" s="228" t="s">
        <v>646</v>
      </c>
      <c r="D46" s="229">
        <v>10</v>
      </c>
      <c r="E46" s="230"/>
      <c r="F46" s="231"/>
      <c r="G46" s="229">
        <f>+D46*120</f>
        <v>1200</v>
      </c>
      <c r="H46" s="229"/>
      <c r="I46" s="229"/>
      <c r="J46" s="232"/>
    </row>
    <row r="47" spans="2:10" x14ac:dyDescent="0.3">
      <c r="C47" s="228" t="s">
        <v>174</v>
      </c>
      <c r="D47" s="229">
        <v>2</v>
      </c>
      <c r="E47" s="230"/>
      <c r="F47" s="231"/>
      <c r="G47" s="229">
        <f>+D47*120</f>
        <v>240</v>
      </c>
      <c r="H47" s="229"/>
      <c r="I47" s="229"/>
      <c r="J47" s="232"/>
    </row>
    <row r="48" spans="2:10" x14ac:dyDescent="0.3">
      <c r="C48" s="228" t="s">
        <v>982</v>
      </c>
      <c r="D48" s="262">
        <v>7</v>
      </c>
      <c r="E48" s="259"/>
      <c r="F48" s="261"/>
      <c r="G48" s="229">
        <f>+D48*120</f>
        <v>840</v>
      </c>
      <c r="H48" s="262"/>
      <c r="I48" s="262"/>
      <c r="J48" s="263"/>
    </row>
    <row r="49" spans="2:10" x14ac:dyDescent="0.3">
      <c r="C49" s="235"/>
      <c r="D49" s="253">
        <f>SUM(D38:D48)</f>
        <v>999</v>
      </c>
      <c r="E49" s="254"/>
      <c r="F49" s="255">
        <f>SUM(F38:F47)</f>
        <v>0</v>
      </c>
      <c r="G49" s="253">
        <f>SUM(G38:G47)</f>
        <v>119040</v>
      </c>
      <c r="H49" s="258">
        <f>SUM(H38:H47)</f>
        <v>0</v>
      </c>
      <c r="I49" s="258">
        <f>SUM(I38:I47)</f>
        <v>0</v>
      </c>
      <c r="J49" s="257"/>
    </row>
    <row r="52" spans="2:10" ht="23.4" x14ac:dyDescent="0.45">
      <c r="C52" s="221" t="s">
        <v>995</v>
      </c>
      <c r="D52" s="222"/>
      <c r="E52" s="222"/>
      <c r="F52" s="222"/>
      <c r="G52" s="222"/>
      <c r="H52" s="222"/>
      <c r="I52" s="222"/>
      <c r="J52" s="223"/>
    </row>
    <row r="53" spans="2:10" ht="62.4" x14ac:dyDescent="0.3">
      <c r="B53" s="224">
        <v>4</v>
      </c>
      <c r="C53" s="225" t="s">
        <v>0</v>
      </c>
      <c r="D53" s="226" t="s">
        <v>1</v>
      </c>
      <c r="E53" s="226" t="s">
        <v>2</v>
      </c>
      <c r="F53" s="226" t="s">
        <v>24</v>
      </c>
      <c r="G53" s="226" t="s">
        <v>545</v>
      </c>
      <c r="H53" s="226" t="s">
        <v>548</v>
      </c>
      <c r="I53" s="226" t="s">
        <v>87</v>
      </c>
      <c r="J53" s="227"/>
    </row>
    <row r="54" spans="2:10" x14ac:dyDescent="0.3">
      <c r="C54" s="228" t="s">
        <v>481</v>
      </c>
      <c r="D54" s="230">
        <v>100</v>
      </c>
      <c r="E54" s="230"/>
      <c r="F54" s="231">
        <f t="shared" ref="F54:F65" si="1">(E54/1000)*D54</f>
        <v>0</v>
      </c>
      <c r="G54" s="229"/>
      <c r="H54" s="229"/>
      <c r="I54" s="229"/>
      <c r="J54" s="232" t="s">
        <v>7</v>
      </c>
    </row>
    <row r="55" spans="2:10" x14ac:dyDescent="0.3">
      <c r="C55" s="228" t="s">
        <v>542</v>
      </c>
      <c r="D55" s="230">
        <v>1</v>
      </c>
      <c r="E55" s="230"/>
      <c r="F55" s="231">
        <f t="shared" si="1"/>
        <v>0</v>
      </c>
      <c r="G55" s="229"/>
      <c r="H55" s="229"/>
      <c r="I55" s="229"/>
      <c r="J55" s="232"/>
    </row>
    <row r="56" spans="2:10" x14ac:dyDescent="0.3">
      <c r="C56" s="228" t="s">
        <v>543</v>
      </c>
      <c r="D56" s="230">
        <v>10</v>
      </c>
      <c r="E56" s="230"/>
      <c r="F56" s="231">
        <f t="shared" si="1"/>
        <v>0</v>
      </c>
      <c r="G56" s="229"/>
      <c r="H56" s="229"/>
      <c r="I56" s="229"/>
      <c r="J56" s="232"/>
    </row>
    <row r="57" spans="2:10" x14ac:dyDescent="0.3">
      <c r="C57" s="233" t="s">
        <v>203</v>
      </c>
      <c r="D57" s="230">
        <v>50</v>
      </c>
      <c r="E57" s="230"/>
      <c r="F57" s="231">
        <f t="shared" si="1"/>
        <v>0</v>
      </c>
      <c r="G57" s="229"/>
      <c r="H57" s="229"/>
      <c r="I57" s="229"/>
      <c r="J57" s="232"/>
    </row>
    <row r="58" spans="2:10" x14ac:dyDescent="0.3">
      <c r="C58" s="233" t="s">
        <v>12</v>
      </c>
      <c r="D58" s="230">
        <v>0.5</v>
      </c>
      <c r="E58" s="230"/>
      <c r="F58" s="231">
        <f t="shared" si="1"/>
        <v>0</v>
      </c>
      <c r="G58" s="229"/>
      <c r="H58" s="229"/>
      <c r="I58" s="229"/>
      <c r="J58" s="232"/>
    </row>
    <row r="59" spans="2:10" x14ac:dyDescent="0.3">
      <c r="C59" s="228" t="s">
        <v>544</v>
      </c>
      <c r="D59" s="229">
        <v>20</v>
      </c>
      <c r="E59" s="229"/>
      <c r="F59" s="231">
        <f t="shared" si="1"/>
        <v>0</v>
      </c>
      <c r="G59" s="229"/>
      <c r="H59" s="229"/>
      <c r="I59" s="229"/>
      <c r="J59" s="232" t="s">
        <v>7</v>
      </c>
    </row>
    <row r="60" spans="2:10" x14ac:dyDescent="0.3">
      <c r="C60" s="228" t="s">
        <v>174</v>
      </c>
      <c r="D60" s="229">
        <v>1</v>
      </c>
      <c r="E60" s="229"/>
      <c r="F60" s="231">
        <f t="shared" si="1"/>
        <v>0</v>
      </c>
      <c r="G60" s="229"/>
      <c r="H60" s="229"/>
      <c r="I60" s="229"/>
      <c r="J60" s="232"/>
    </row>
    <row r="61" spans="2:10" x14ac:dyDescent="0.3">
      <c r="C61" s="228" t="s">
        <v>521</v>
      </c>
      <c r="D61" s="229">
        <v>5</v>
      </c>
      <c r="E61" s="229"/>
      <c r="F61" s="231">
        <f t="shared" si="1"/>
        <v>0</v>
      </c>
      <c r="G61" s="229"/>
      <c r="H61" s="229"/>
      <c r="I61" s="229"/>
      <c r="J61" s="232"/>
    </row>
    <row r="62" spans="2:10" x14ac:dyDescent="0.3">
      <c r="C62" s="228" t="s">
        <v>996</v>
      </c>
      <c r="D62" s="229">
        <v>5</v>
      </c>
      <c r="E62" s="229"/>
      <c r="F62" s="231">
        <f t="shared" si="1"/>
        <v>0</v>
      </c>
      <c r="G62" s="229"/>
      <c r="H62" s="229"/>
      <c r="I62" s="229"/>
      <c r="J62" s="232"/>
    </row>
    <row r="63" spans="2:10" x14ac:dyDescent="0.3">
      <c r="C63" s="228" t="s">
        <v>630</v>
      </c>
      <c r="D63" s="229">
        <v>5</v>
      </c>
      <c r="E63" s="229"/>
      <c r="F63" s="231">
        <f t="shared" si="1"/>
        <v>0</v>
      </c>
      <c r="G63" s="229"/>
      <c r="H63" s="229"/>
      <c r="I63" s="229"/>
      <c r="J63" s="232" t="s">
        <v>7</v>
      </c>
    </row>
    <row r="64" spans="2:10" x14ac:dyDescent="0.3">
      <c r="C64" s="233" t="s">
        <v>372</v>
      </c>
      <c r="D64" s="229">
        <v>5</v>
      </c>
      <c r="E64" s="229"/>
      <c r="F64" s="231">
        <f t="shared" si="1"/>
        <v>0</v>
      </c>
      <c r="G64" s="229"/>
      <c r="H64" s="229"/>
      <c r="I64" s="229"/>
      <c r="J64" s="228"/>
    </row>
    <row r="65" spans="3:10" x14ac:dyDescent="0.3">
      <c r="C65" s="233" t="s">
        <v>173</v>
      </c>
      <c r="D65" s="229">
        <v>797</v>
      </c>
      <c r="E65" s="229"/>
      <c r="F65" s="231">
        <f t="shared" si="1"/>
        <v>0</v>
      </c>
      <c r="G65" s="229"/>
      <c r="H65" s="229"/>
      <c r="I65" s="229"/>
      <c r="J65" s="228"/>
    </row>
    <row r="66" spans="3:10" x14ac:dyDescent="0.3">
      <c r="C66" s="235"/>
      <c r="D66" s="253">
        <f>SUM(D54:D65)</f>
        <v>999.5</v>
      </c>
      <c r="E66" s="254"/>
      <c r="F66" s="255">
        <f t="shared" ref="F66:I66" si="2">SUM(F54:F65)</f>
        <v>0</v>
      </c>
      <c r="G66" s="253">
        <f t="shared" si="2"/>
        <v>0</v>
      </c>
      <c r="H66" s="258">
        <f t="shared" si="2"/>
        <v>0</v>
      </c>
      <c r="I66" s="258">
        <f t="shared" si="2"/>
        <v>0</v>
      </c>
      <c r="J66" s="240"/>
    </row>
  </sheetData>
  <mergeCells count="4">
    <mergeCell ref="C5:I5"/>
    <mergeCell ref="C20:J20"/>
    <mergeCell ref="C36:J36"/>
    <mergeCell ref="C52:J5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2DE3-2B6D-421E-B68F-40725D26D52D}">
  <dimension ref="B3:J15"/>
  <sheetViews>
    <sheetView workbookViewId="0">
      <selection activeCell="K16" sqref="K16"/>
    </sheetView>
  </sheetViews>
  <sheetFormatPr baseColWidth="10" defaultRowHeight="14.4" x14ac:dyDescent="0.3"/>
  <cols>
    <col min="3" max="3" width="19.6640625" bestFit="1" customWidth="1"/>
  </cols>
  <sheetData>
    <row r="3" spans="2:10" ht="23.4" x14ac:dyDescent="0.45">
      <c r="C3" s="221" t="s">
        <v>823</v>
      </c>
      <c r="D3" s="222"/>
      <c r="E3" s="222"/>
      <c r="F3" s="222"/>
      <c r="G3" s="222"/>
      <c r="H3" s="222"/>
      <c r="I3" s="222"/>
      <c r="J3" s="223"/>
    </row>
    <row r="4" spans="2:10" ht="46.8" x14ac:dyDescent="0.3">
      <c r="B4" s="224">
        <v>2</v>
      </c>
      <c r="C4" s="225" t="s">
        <v>0</v>
      </c>
      <c r="D4" s="226" t="s">
        <v>1</v>
      </c>
      <c r="E4" s="226" t="s">
        <v>824</v>
      </c>
      <c r="F4" s="226" t="s">
        <v>825</v>
      </c>
      <c r="G4" s="226" t="s">
        <v>826</v>
      </c>
      <c r="H4" s="226" t="s">
        <v>126</v>
      </c>
      <c r="I4" s="226" t="s">
        <v>408</v>
      </c>
      <c r="J4" s="227"/>
    </row>
    <row r="5" spans="2:10" x14ac:dyDescent="0.3">
      <c r="C5" s="228" t="s">
        <v>55</v>
      </c>
      <c r="D5" s="229">
        <v>889</v>
      </c>
      <c r="E5" s="230"/>
      <c r="F5" s="231">
        <f t="shared" ref="F5:F14" si="0">(E5/1000)*D5</f>
        <v>0</v>
      </c>
      <c r="G5" s="229">
        <f t="shared" ref="G5:G14" si="1">D5*6</f>
        <v>5334</v>
      </c>
      <c r="H5" s="229"/>
      <c r="I5" s="229"/>
      <c r="J5" s="232" t="s">
        <v>7</v>
      </c>
    </row>
    <row r="6" spans="2:10" x14ac:dyDescent="0.3">
      <c r="C6" s="233" t="s">
        <v>442</v>
      </c>
      <c r="D6" s="229">
        <v>50</v>
      </c>
      <c r="E6" s="230"/>
      <c r="F6" s="231">
        <f t="shared" si="0"/>
        <v>0</v>
      </c>
      <c r="G6" s="229">
        <f t="shared" si="1"/>
        <v>300</v>
      </c>
      <c r="H6" s="229"/>
      <c r="I6" s="229"/>
      <c r="J6" s="232"/>
    </row>
    <row r="7" spans="2:10" x14ac:dyDescent="0.3">
      <c r="C7" s="228" t="s">
        <v>9</v>
      </c>
      <c r="D7" s="229">
        <v>30</v>
      </c>
      <c r="E7" s="229"/>
      <c r="F7" s="231">
        <f t="shared" si="0"/>
        <v>0</v>
      </c>
      <c r="G7" s="229">
        <f t="shared" si="1"/>
        <v>180</v>
      </c>
      <c r="H7" s="229"/>
      <c r="I7" s="229"/>
      <c r="J7" s="232" t="s">
        <v>7</v>
      </c>
    </row>
    <row r="8" spans="2:10" x14ac:dyDescent="0.3">
      <c r="C8" s="228" t="s">
        <v>827</v>
      </c>
      <c r="D8" s="229">
        <v>1</v>
      </c>
      <c r="E8" s="229"/>
      <c r="F8" s="231">
        <f t="shared" si="0"/>
        <v>0</v>
      </c>
      <c r="G8" s="229">
        <f t="shared" si="1"/>
        <v>6</v>
      </c>
      <c r="H8" s="229"/>
      <c r="I8" s="229"/>
      <c r="J8" s="232"/>
    </row>
    <row r="9" spans="2:10" x14ac:dyDescent="0.3">
      <c r="C9" s="228" t="s">
        <v>166</v>
      </c>
      <c r="D9" s="229">
        <v>10</v>
      </c>
      <c r="E9" s="229"/>
      <c r="F9" s="231">
        <f t="shared" si="0"/>
        <v>0</v>
      </c>
      <c r="G9" s="229">
        <f t="shared" si="1"/>
        <v>60</v>
      </c>
      <c r="H9" s="229"/>
      <c r="I9" s="229"/>
      <c r="J9" s="232"/>
    </row>
    <row r="10" spans="2:10" x14ac:dyDescent="0.3">
      <c r="C10" s="228" t="s">
        <v>642</v>
      </c>
      <c r="D10" s="229">
        <v>1</v>
      </c>
      <c r="E10" s="229"/>
      <c r="F10" s="231">
        <f t="shared" si="0"/>
        <v>0</v>
      </c>
      <c r="G10" s="229">
        <f t="shared" si="1"/>
        <v>6</v>
      </c>
      <c r="H10" s="229"/>
      <c r="I10" s="229"/>
      <c r="J10" s="232" t="s">
        <v>7</v>
      </c>
    </row>
    <row r="11" spans="2:10" x14ac:dyDescent="0.3">
      <c r="C11" s="228" t="s">
        <v>167</v>
      </c>
      <c r="D11" s="229">
        <v>11</v>
      </c>
      <c r="E11" s="229"/>
      <c r="F11" s="231">
        <f t="shared" si="0"/>
        <v>0</v>
      </c>
      <c r="G11" s="229">
        <f t="shared" si="1"/>
        <v>66</v>
      </c>
      <c r="H11" s="229"/>
      <c r="I11" s="229"/>
      <c r="J11" s="232" t="s">
        <v>7</v>
      </c>
    </row>
    <row r="12" spans="2:10" x14ac:dyDescent="0.3">
      <c r="C12" s="228" t="s">
        <v>168</v>
      </c>
      <c r="D12" s="229">
        <v>11</v>
      </c>
      <c r="E12" s="229"/>
      <c r="F12" s="231">
        <f t="shared" si="0"/>
        <v>0</v>
      </c>
      <c r="G12" s="229">
        <f t="shared" si="1"/>
        <v>66</v>
      </c>
      <c r="H12" s="229"/>
      <c r="I12" s="229"/>
      <c r="J12" s="228" t="s">
        <v>7</v>
      </c>
    </row>
    <row r="13" spans="2:10" x14ac:dyDescent="0.3">
      <c r="C13" s="228" t="s">
        <v>56</v>
      </c>
      <c r="D13" s="234">
        <v>1</v>
      </c>
      <c r="E13" s="229"/>
      <c r="F13" s="231">
        <f t="shared" si="0"/>
        <v>0</v>
      </c>
      <c r="G13" s="229">
        <f t="shared" si="1"/>
        <v>6</v>
      </c>
      <c r="H13" s="229"/>
      <c r="I13" s="229"/>
      <c r="J13" s="228"/>
    </row>
    <row r="14" spans="2:10" x14ac:dyDescent="0.3">
      <c r="C14" s="228" t="s">
        <v>231</v>
      </c>
      <c r="D14" s="242">
        <v>0.5</v>
      </c>
      <c r="E14" s="229"/>
      <c r="F14" s="231">
        <f t="shared" si="0"/>
        <v>0</v>
      </c>
      <c r="G14" s="229">
        <f t="shared" si="1"/>
        <v>3</v>
      </c>
      <c r="H14" s="229"/>
      <c r="I14" s="229"/>
      <c r="J14" s="228"/>
    </row>
    <row r="15" spans="2:10" x14ac:dyDescent="0.3">
      <c r="C15" s="235"/>
      <c r="D15" s="236">
        <f>SUM(D5:D14)</f>
        <v>1004.5</v>
      </c>
      <c r="E15" s="237"/>
      <c r="F15" s="238">
        <f>SUM(F5:F14)</f>
        <v>0</v>
      </c>
      <c r="G15" s="236">
        <f>SUM(G5:G14)</f>
        <v>6027</v>
      </c>
      <c r="H15" s="243"/>
      <c r="I15" s="239">
        <f>SUM(I5:I14)</f>
        <v>0</v>
      </c>
      <c r="J15" s="240"/>
    </row>
  </sheetData>
  <mergeCells count="1">
    <mergeCell ref="C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83E9-2FD9-4837-A9FB-EF171CBB7953}">
  <dimension ref="B2:J29"/>
  <sheetViews>
    <sheetView topLeftCell="A10" workbookViewId="0">
      <selection activeCell="L9" sqref="L9"/>
    </sheetView>
  </sheetViews>
  <sheetFormatPr baseColWidth="10" defaultRowHeight="14.4" x14ac:dyDescent="0.3"/>
  <cols>
    <col min="3" max="3" width="18.6640625" bestFit="1" customWidth="1"/>
  </cols>
  <sheetData>
    <row r="2" spans="2:10" ht="23.4" x14ac:dyDescent="0.45">
      <c r="C2" s="221" t="s">
        <v>836</v>
      </c>
      <c r="D2" s="222"/>
      <c r="E2" s="222"/>
      <c r="F2" s="222"/>
      <c r="G2" s="222"/>
      <c r="H2" s="222"/>
      <c r="I2" s="222"/>
      <c r="J2" s="223"/>
    </row>
    <row r="3" spans="2:10" ht="46.8" x14ac:dyDescent="0.3">
      <c r="B3" s="224">
        <v>4</v>
      </c>
      <c r="C3" s="225" t="s">
        <v>0</v>
      </c>
      <c r="D3" s="226" t="s">
        <v>1</v>
      </c>
      <c r="E3" s="226" t="s">
        <v>2</v>
      </c>
      <c r="F3" s="226" t="s">
        <v>819</v>
      </c>
      <c r="G3" s="226" t="s">
        <v>407</v>
      </c>
      <c r="H3" s="226" t="s">
        <v>126</v>
      </c>
      <c r="I3" s="226" t="s">
        <v>408</v>
      </c>
      <c r="J3" s="227"/>
    </row>
    <row r="4" spans="2:10" x14ac:dyDescent="0.3">
      <c r="C4" s="228" t="s">
        <v>16</v>
      </c>
      <c r="D4" s="229">
        <v>911</v>
      </c>
      <c r="E4" s="230"/>
      <c r="F4" s="231">
        <f>(E4/1000)*D4</f>
        <v>0</v>
      </c>
      <c r="G4" s="229"/>
      <c r="H4" s="229"/>
      <c r="I4" s="229"/>
      <c r="J4" s="232" t="s">
        <v>7</v>
      </c>
    </row>
    <row r="5" spans="2:10" x14ac:dyDescent="0.3">
      <c r="C5" s="228" t="s">
        <v>17</v>
      </c>
      <c r="D5" s="229">
        <v>8</v>
      </c>
      <c r="E5" s="230"/>
      <c r="F5" s="231"/>
      <c r="G5" s="229"/>
      <c r="H5" s="229"/>
      <c r="I5" s="229"/>
      <c r="J5" s="232"/>
    </row>
    <row r="6" spans="2:10" x14ac:dyDescent="0.3">
      <c r="C6" s="228" t="s">
        <v>18</v>
      </c>
      <c r="D6" s="229">
        <v>20</v>
      </c>
      <c r="E6" s="230"/>
      <c r="F6" s="231"/>
      <c r="G6" s="229"/>
      <c r="H6" s="229"/>
      <c r="I6" s="229"/>
      <c r="J6" s="232"/>
    </row>
    <row r="7" spans="2:10" x14ac:dyDescent="0.3">
      <c r="C7" s="228" t="s">
        <v>19</v>
      </c>
      <c r="D7" s="229">
        <v>50</v>
      </c>
      <c r="E7" s="230"/>
      <c r="F7" s="231"/>
      <c r="G7" s="229"/>
      <c r="H7" s="229"/>
      <c r="I7" s="229"/>
      <c r="J7" s="232"/>
    </row>
    <row r="8" spans="2:10" x14ac:dyDescent="0.3">
      <c r="C8" s="228" t="s">
        <v>20</v>
      </c>
      <c r="D8" s="229">
        <v>8</v>
      </c>
      <c r="E8" s="230"/>
      <c r="F8" s="231"/>
      <c r="G8" s="229"/>
      <c r="H8" s="229"/>
      <c r="I8" s="229"/>
      <c r="J8" s="232"/>
    </row>
    <row r="9" spans="2:10" x14ac:dyDescent="0.3">
      <c r="C9" s="228" t="s">
        <v>28</v>
      </c>
      <c r="D9" s="229">
        <v>1</v>
      </c>
      <c r="E9" s="230"/>
      <c r="F9" s="231"/>
      <c r="G9" s="229"/>
      <c r="H9" s="229"/>
      <c r="I9" s="229"/>
      <c r="J9" s="232"/>
    </row>
    <row r="10" spans="2:10" x14ac:dyDescent="0.3">
      <c r="C10" s="228" t="s">
        <v>29</v>
      </c>
      <c r="D10" s="230">
        <v>0.5</v>
      </c>
      <c r="E10" s="230"/>
      <c r="F10" s="231"/>
      <c r="G10" s="229"/>
      <c r="H10" s="229"/>
      <c r="I10" s="229"/>
      <c r="J10" s="232"/>
    </row>
    <row r="11" spans="2:10" x14ac:dyDescent="0.3">
      <c r="C11" s="228" t="s">
        <v>22</v>
      </c>
      <c r="D11" s="229">
        <v>1</v>
      </c>
      <c r="E11" s="230"/>
      <c r="F11" s="231"/>
      <c r="G11" s="229"/>
      <c r="H11" s="229"/>
      <c r="I11" s="229"/>
      <c r="J11" s="232"/>
    </row>
    <row r="12" spans="2:10" x14ac:dyDescent="0.3">
      <c r="C12" s="235"/>
      <c r="D12" s="253">
        <f>SUM(D4:D11)</f>
        <v>999.5</v>
      </c>
      <c r="E12" s="254"/>
      <c r="F12" s="255">
        <f>SUM(F4:F11)</f>
        <v>0</v>
      </c>
      <c r="G12" s="253">
        <f>SUM(G4:G11)</f>
        <v>0</v>
      </c>
      <c r="H12" s="258">
        <f>SUM(H4:H11)</f>
        <v>0</v>
      </c>
      <c r="I12" s="258">
        <f>SUM(I4:I11)</f>
        <v>0</v>
      </c>
      <c r="J12" s="257"/>
    </row>
    <row r="15" spans="2:10" ht="23.4" x14ac:dyDescent="0.45">
      <c r="C15" s="221" t="s">
        <v>874</v>
      </c>
      <c r="D15" s="222"/>
      <c r="E15" s="222"/>
      <c r="F15" s="222"/>
      <c r="G15" s="222"/>
      <c r="H15" s="222"/>
      <c r="I15" s="222"/>
    </row>
    <row r="16" spans="2:10" ht="46.8" x14ac:dyDescent="0.3">
      <c r="B16" s="224">
        <v>11</v>
      </c>
      <c r="C16" s="225" t="s">
        <v>0</v>
      </c>
      <c r="D16" s="226" t="s">
        <v>1</v>
      </c>
      <c r="E16" s="226" t="s">
        <v>2</v>
      </c>
      <c r="F16" s="226" t="s">
        <v>819</v>
      </c>
      <c r="G16" s="226" t="s">
        <v>407</v>
      </c>
      <c r="H16" s="226" t="s">
        <v>126</v>
      </c>
      <c r="I16" s="226" t="s">
        <v>408</v>
      </c>
    </row>
    <row r="17" spans="3:9" x14ac:dyDescent="0.3">
      <c r="C17" s="233" t="s">
        <v>27</v>
      </c>
      <c r="D17" s="229">
        <v>716</v>
      </c>
      <c r="E17" s="230"/>
      <c r="F17" s="231">
        <f>(E17/1000)*D17</f>
        <v>0</v>
      </c>
      <c r="G17" s="229"/>
      <c r="H17" s="229"/>
      <c r="I17" s="229"/>
    </row>
    <row r="18" spans="3:9" x14ac:dyDescent="0.3">
      <c r="C18" s="233" t="s">
        <v>19</v>
      </c>
      <c r="D18" s="229">
        <v>40</v>
      </c>
      <c r="E18" s="230"/>
      <c r="F18" s="231"/>
      <c r="G18" s="229"/>
      <c r="H18" s="229"/>
      <c r="I18" s="229"/>
    </row>
    <row r="19" spans="3:9" x14ac:dyDescent="0.3">
      <c r="C19" s="233" t="s">
        <v>9</v>
      </c>
      <c r="D19" s="229">
        <v>30</v>
      </c>
      <c r="E19" s="230"/>
      <c r="F19" s="231"/>
      <c r="G19" s="229"/>
      <c r="H19" s="229"/>
      <c r="I19" s="229"/>
    </row>
    <row r="20" spans="3:9" x14ac:dyDescent="0.3">
      <c r="C20" s="233" t="s">
        <v>166</v>
      </c>
      <c r="D20" s="229">
        <v>50</v>
      </c>
      <c r="E20" s="230"/>
      <c r="F20" s="231"/>
      <c r="G20" s="229"/>
      <c r="H20" s="229"/>
      <c r="I20" s="229"/>
    </row>
    <row r="21" spans="3:9" x14ac:dyDescent="0.3">
      <c r="C21" s="233" t="s">
        <v>521</v>
      </c>
      <c r="D21" s="229">
        <v>20</v>
      </c>
      <c r="E21" s="230"/>
      <c r="F21" s="231"/>
      <c r="G21" s="229"/>
      <c r="H21" s="229"/>
      <c r="I21" s="229"/>
    </row>
    <row r="22" spans="3:9" x14ac:dyDescent="0.3">
      <c r="C22" s="233" t="s">
        <v>875</v>
      </c>
      <c r="D22" s="229">
        <v>5</v>
      </c>
      <c r="E22" s="230"/>
      <c r="F22" s="231"/>
      <c r="G22" s="229"/>
      <c r="H22" s="229"/>
      <c r="I22" s="229"/>
    </row>
    <row r="23" spans="3:9" x14ac:dyDescent="0.3">
      <c r="C23" s="233" t="s">
        <v>368</v>
      </c>
      <c r="D23" s="229">
        <v>60</v>
      </c>
      <c r="E23" s="230"/>
      <c r="F23" s="231"/>
      <c r="G23" s="229"/>
      <c r="H23" s="229"/>
      <c r="I23" s="229"/>
    </row>
    <row r="24" spans="3:9" x14ac:dyDescent="0.3">
      <c r="C24" s="233" t="s">
        <v>667</v>
      </c>
      <c r="D24" s="229">
        <v>50</v>
      </c>
      <c r="E24" s="230"/>
      <c r="F24" s="231"/>
      <c r="G24" s="229"/>
      <c r="H24" s="229"/>
      <c r="I24" s="229"/>
    </row>
    <row r="25" spans="3:9" x14ac:dyDescent="0.3">
      <c r="C25" s="233" t="s">
        <v>784</v>
      </c>
      <c r="D25" s="229">
        <v>20</v>
      </c>
      <c r="E25" s="230"/>
      <c r="F25" s="231"/>
      <c r="G25" s="229"/>
      <c r="H25" s="229"/>
      <c r="I25" s="229"/>
    </row>
    <row r="26" spans="3:9" x14ac:dyDescent="0.3">
      <c r="C26" s="233" t="s">
        <v>240</v>
      </c>
      <c r="D26" s="229">
        <v>3</v>
      </c>
      <c r="E26" s="230"/>
      <c r="F26" s="231"/>
      <c r="G26" s="229"/>
      <c r="H26" s="229"/>
      <c r="I26" s="229"/>
    </row>
    <row r="27" spans="3:9" x14ac:dyDescent="0.3">
      <c r="C27" s="233" t="s">
        <v>60</v>
      </c>
      <c r="D27" s="230">
        <v>2.5</v>
      </c>
      <c r="E27" s="230"/>
      <c r="F27" s="231"/>
      <c r="G27" s="229"/>
      <c r="H27" s="229"/>
      <c r="I27" s="229"/>
    </row>
    <row r="28" spans="3:9" x14ac:dyDescent="0.3">
      <c r="C28" s="233" t="s">
        <v>51</v>
      </c>
      <c r="D28" s="229">
        <v>2</v>
      </c>
      <c r="E28" s="230"/>
      <c r="F28" s="231"/>
      <c r="G28" s="229"/>
      <c r="H28" s="229"/>
      <c r="I28" s="229"/>
    </row>
    <row r="29" spans="3:9" x14ac:dyDescent="0.3">
      <c r="C29" s="235"/>
      <c r="D29" s="253">
        <f>SUM(D17:D28)</f>
        <v>998.5</v>
      </c>
      <c r="E29" s="254"/>
      <c r="F29" s="255">
        <f>SUM(F17:F28)</f>
        <v>0</v>
      </c>
      <c r="G29" s="253">
        <f>SUM(G17:G28)</f>
        <v>0</v>
      </c>
      <c r="H29" s="258">
        <f>SUM(H17:H28)</f>
        <v>0</v>
      </c>
      <c r="I29" s="258">
        <f>SUM(I17:I28)</f>
        <v>0</v>
      </c>
    </row>
  </sheetData>
  <mergeCells count="2">
    <mergeCell ref="C2:J2"/>
    <mergeCell ref="C15:I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9F80-16B9-4701-B87D-C0CA65375E3B}">
  <dimension ref="B3:J14"/>
  <sheetViews>
    <sheetView workbookViewId="0">
      <selection activeCell="D6" sqref="D6"/>
    </sheetView>
  </sheetViews>
  <sheetFormatPr baseColWidth="10" defaultRowHeight="14.4" x14ac:dyDescent="0.3"/>
  <cols>
    <col min="3" max="3" width="17" bestFit="1" customWidth="1"/>
  </cols>
  <sheetData>
    <row r="3" spans="2:10" ht="23.4" x14ac:dyDescent="0.45">
      <c r="C3" s="266" t="s">
        <v>973</v>
      </c>
      <c r="D3" s="222"/>
      <c r="E3" s="222"/>
      <c r="F3" s="222"/>
      <c r="G3" s="222"/>
      <c r="H3" s="222"/>
      <c r="I3" s="222"/>
      <c r="J3" s="223"/>
    </row>
    <row r="4" spans="2:10" ht="46.8" x14ac:dyDescent="0.3">
      <c r="B4" s="224">
        <v>16</v>
      </c>
      <c r="C4" s="225" t="s">
        <v>0</v>
      </c>
      <c r="D4" s="226" t="s">
        <v>135</v>
      </c>
      <c r="E4" s="226" t="s">
        <v>926</v>
      </c>
      <c r="F4" s="226" t="s">
        <v>819</v>
      </c>
      <c r="G4" s="226"/>
      <c r="H4" s="226" t="s">
        <v>126</v>
      </c>
      <c r="I4" s="226" t="s">
        <v>408</v>
      </c>
      <c r="J4" s="227"/>
    </row>
    <row r="5" spans="2:10" x14ac:dyDescent="0.3">
      <c r="C5" s="228" t="s">
        <v>16</v>
      </c>
      <c r="D5" s="229">
        <v>894</v>
      </c>
      <c r="E5" s="230"/>
      <c r="F5" s="231">
        <f>(E5/1000)*D5</f>
        <v>0</v>
      </c>
      <c r="G5" s="229"/>
      <c r="H5" s="229"/>
      <c r="I5" s="229"/>
      <c r="J5" s="232" t="s">
        <v>7</v>
      </c>
    </row>
    <row r="6" spans="2:10" x14ac:dyDescent="0.3">
      <c r="C6" s="228" t="s">
        <v>974</v>
      </c>
      <c r="D6" s="229">
        <v>10</v>
      </c>
      <c r="E6" s="230"/>
      <c r="F6" s="231"/>
      <c r="G6" s="229"/>
      <c r="H6" s="229"/>
      <c r="I6" s="229"/>
      <c r="J6" s="232"/>
    </row>
    <row r="7" spans="2:10" x14ac:dyDescent="0.3">
      <c r="C7" s="228" t="s">
        <v>846</v>
      </c>
      <c r="D7" s="229">
        <v>2</v>
      </c>
      <c r="E7" s="230"/>
      <c r="F7" s="231"/>
      <c r="G7" s="229"/>
      <c r="H7" s="229"/>
      <c r="I7" s="229"/>
      <c r="J7" s="232"/>
    </row>
    <row r="8" spans="2:10" x14ac:dyDescent="0.3">
      <c r="C8" s="228" t="s">
        <v>28</v>
      </c>
      <c r="D8" s="229">
        <v>1</v>
      </c>
      <c r="E8" s="230"/>
      <c r="F8" s="231"/>
      <c r="G8" s="229"/>
      <c r="H8" s="229"/>
      <c r="I8" s="229"/>
      <c r="J8" s="232"/>
    </row>
    <row r="9" spans="2:10" x14ac:dyDescent="0.3">
      <c r="C9" s="228" t="s">
        <v>231</v>
      </c>
      <c r="D9" s="230">
        <v>0.5</v>
      </c>
      <c r="E9" s="230"/>
      <c r="F9" s="231"/>
      <c r="G9" s="229"/>
      <c r="H9" s="229"/>
      <c r="I9" s="229"/>
      <c r="J9" s="232"/>
    </row>
    <row r="10" spans="2:10" x14ac:dyDescent="0.3">
      <c r="C10" s="228" t="s">
        <v>751</v>
      </c>
      <c r="D10" s="230">
        <v>0.5</v>
      </c>
      <c r="E10" s="230"/>
      <c r="F10" s="231"/>
      <c r="G10" s="229"/>
      <c r="H10" s="229"/>
      <c r="I10" s="229"/>
      <c r="J10" s="232"/>
    </row>
    <row r="11" spans="2:10" x14ac:dyDescent="0.3">
      <c r="C11" s="228" t="s">
        <v>19</v>
      </c>
      <c r="D11" s="229">
        <v>50</v>
      </c>
      <c r="E11" s="230"/>
      <c r="F11" s="231"/>
      <c r="G11" s="229"/>
      <c r="H11" s="229"/>
      <c r="I11" s="229"/>
      <c r="J11" s="232"/>
    </row>
    <row r="12" spans="2:10" x14ac:dyDescent="0.3">
      <c r="C12" s="228" t="s">
        <v>174</v>
      </c>
      <c r="D12" s="229">
        <v>3</v>
      </c>
      <c r="E12" s="230"/>
      <c r="F12" s="231"/>
      <c r="G12" s="229"/>
      <c r="H12" s="229"/>
      <c r="I12" s="229"/>
      <c r="J12" s="232"/>
    </row>
    <row r="13" spans="2:10" x14ac:dyDescent="0.3">
      <c r="C13" s="228" t="s">
        <v>52</v>
      </c>
      <c r="D13" s="229">
        <v>40</v>
      </c>
      <c r="E13" s="230"/>
      <c r="F13" s="231"/>
      <c r="G13" s="229"/>
      <c r="H13" s="229"/>
      <c r="I13" s="229"/>
      <c r="J13" s="232"/>
    </row>
    <row r="14" spans="2:10" x14ac:dyDescent="0.3">
      <c r="C14" s="235"/>
      <c r="D14" s="253">
        <f>SUM(D5:D13)</f>
        <v>1001</v>
      </c>
      <c r="E14" s="254"/>
      <c r="F14" s="255">
        <f>SUM(F5:F13)</f>
        <v>0</v>
      </c>
      <c r="G14" s="253">
        <f>SUM(G5:G13)</f>
        <v>0</v>
      </c>
      <c r="H14" s="258">
        <f>SUM(H5:H13)</f>
        <v>0</v>
      </c>
      <c r="I14" s="258">
        <f>SUM(I5:I13)</f>
        <v>0</v>
      </c>
      <c r="J14" s="257"/>
    </row>
  </sheetData>
  <mergeCells count="1">
    <mergeCell ref="C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C74B-B7F9-4455-806F-C9AFC8EF04CD}">
  <dimension ref="B2:J15"/>
  <sheetViews>
    <sheetView workbookViewId="0">
      <selection activeCell="G9" sqref="G9"/>
    </sheetView>
  </sheetViews>
  <sheetFormatPr baseColWidth="10" defaultRowHeight="14.4" x14ac:dyDescent="0.3"/>
  <cols>
    <col min="3" max="3" width="18.77734375" bestFit="1" customWidth="1"/>
  </cols>
  <sheetData>
    <row r="2" spans="2:10" ht="23.4" x14ac:dyDescent="0.45">
      <c r="C2" s="221" t="s">
        <v>831</v>
      </c>
      <c r="D2" s="222"/>
      <c r="E2" s="222"/>
      <c r="F2" s="222"/>
      <c r="G2" s="222"/>
      <c r="H2" s="222"/>
      <c r="I2" s="222"/>
      <c r="J2" s="223"/>
    </row>
    <row r="3" spans="2:10" ht="46.8" x14ac:dyDescent="0.3">
      <c r="B3" s="224">
        <v>4</v>
      </c>
      <c r="C3" s="225" t="s">
        <v>0</v>
      </c>
      <c r="D3" s="226" t="s">
        <v>1</v>
      </c>
      <c r="E3" s="226" t="s">
        <v>2</v>
      </c>
      <c r="F3" s="226" t="s">
        <v>819</v>
      </c>
      <c r="G3" s="226" t="s">
        <v>407</v>
      </c>
      <c r="H3" s="226" t="s">
        <v>126</v>
      </c>
      <c r="I3" s="226" t="s">
        <v>408</v>
      </c>
      <c r="J3" s="227"/>
    </row>
    <row r="4" spans="2:10" x14ac:dyDescent="0.3">
      <c r="C4" s="228" t="s">
        <v>55</v>
      </c>
      <c r="D4" s="230">
        <v>903</v>
      </c>
      <c r="E4" s="230"/>
      <c r="F4" s="231">
        <f>(E4/1000)*D4</f>
        <v>0</v>
      </c>
      <c r="G4" s="229"/>
      <c r="H4" s="229"/>
      <c r="I4" s="229"/>
      <c r="J4" s="232" t="s">
        <v>7</v>
      </c>
    </row>
    <row r="5" spans="2:10" x14ac:dyDescent="0.3">
      <c r="C5" s="228" t="s">
        <v>59</v>
      </c>
      <c r="D5" s="229">
        <v>30</v>
      </c>
      <c r="E5" s="230"/>
      <c r="F5" s="231"/>
      <c r="G5" s="229"/>
      <c r="H5" s="229"/>
      <c r="I5" s="229"/>
      <c r="J5" s="232"/>
    </row>
    <row r="6" spans="2:10" x14ac:dyDescent="0.3">
      <c r="C6" s="228" t="s">
        <v>832</v>
      </c>
      <c r="D6" s="229">
        <v>5</v>
      </c>
      <c r="E6" s="230"/>
      <c r="F6" s="231"/>
      <c r="G6" s="229"/>
      <c r="H6" s="229"/>
      <c r="I6" s="229"/>
      <c r="J6" s="232"/>
    </row>
    <row r="7" spans="2:10" x14ac:dyDescent="0.3">
      <c r="C7" s="228" t="s">
        <v>804</v>
      </c>
      <c r="D7" s="229">
        <v>1</v>
      </c>
      <c r="E7" s="230"/>
      <c r="F7" s="231"/>
      <c r="G7" s="229"/>
      <c r="H7" s="229"/>
      <c r="I7" s="229"/>
      <c r="J7" s="232"/>
    </row>
    <row r="8" spans="2:10" x14ac:dyDescent="0.3">
      <c r="C8" s="228" t="s">
        <v>384</v>
      </c>
      <c r="D8" s="230">
        <v>1.5</v>
      </c>
      <c r="E8" s="230"/>
      <c r="F8" s="231"/>
      <c r="G8" s="229"/>
      <c r="H8" s="229"/>
      <c r="I8" s="229"/>
      <c r="J8" s="232"/>
    </row>
    <row r="9" spans="2:10" x14ac:dyDescent="0.3">
      <c r="C9" s="228" t="s">
        <v>479</v>
      </c>
      <c r="D9" s="229">
        <v>20</v>
      </c>
      <c r="E9" s="230"/>
      <c r="F9" s="231"/>
      <c r="G9" s="229"/>
      <c r="H9" s="229"/>
      <c r="I9" s="229"/>
      <c r="J9" s="232"/>
    </row>
    <row r="10" spans="2:10" x14ac:dyDescent="0.3">
      <c r="C10" s="233" t="s">
        <v>166</v>
      </c>
      <c r="D10" s="229">
        <v>20</v>
      </c>
      <c r="E10" s="230"/>
      <c r="F10" s="231">
        <f t="shared" ref="F10:F11" si="0">(E10/1000)*D10</f>
        <v>0</v>
      </c>
      <c r="G10" s="229"/>
      <c r="H10" s="229"/>
      <c r="I10" s="229"/>
      <c r="J10" s="232"/>
    </row>
    <row r="11" spans="2:10" x14ac:dyDescent="0.3">
      <c r="C11" s="228" t="s">
        <v>504</v>
      </c>
      <c r="D11" s="229">
        <v>2</v>
      </c>
      <c r="E11" s="229"/>
      <c r="F11" s="231">
        <f t="shared" si="0"/>
        <v>0</v>
      </c>
      <c r="G11" s="229"/>
      <c r="H11" s="229"/>
      <c r="I11" s="229"/>
      <c r="J11" s="232" t="s">
        <v>7</v>
      </c>
    </row>
    <row r="12" spans="2:10" x14ac:dyDescent="0.3">
      <c r="C12" s="228" t="s">
        <v>411</v>
      </c>
      <c r="D12" s="229">
        <v>9</v>
      </c>
      <c r="E12" s="229"/>
      <c r="F12" s="231"/>
      <c r="G12" s="229"/>
      <c r="H12" s="229"/>
      <c r="I12" s="229"/>
      <c r="J12" s="232"/>
    </row>
    <row r="13" spans="2:10" x14ac:dyDescent="0.3">
      <c r="C13" s="228" t="s">
        <v>60</v>
      </c>
      <c r="D13" s="229">
        <v>2</v>
      </c>
      <c r="E13" s="229"/>
      <c r="F13" s="231"/>
      <c r="G13" s="229"/>
      <c r="H13" s="229"/>
      <c r="I13" s="229"/>
      <c r="J13" s="232"/>
    </row>
    <row r="14" spans="2:10" x14ac:dyDescent="0.3">
      <c r="C14" s="228" t="s">
        <v>225</v>
      </c>
      <c r="D14" s="229">
        <v>6</v>
      </c>
      <c r="E14" s="229"/>
      <c r="F14" s="231">
        <f>(E14/1000)*D14</f>
        <v>0</v>
      </c>
      <c r="G14" s="229"/>
      <c r="H14" s="229"/>
      <c r="I14" s="229"/>
      <c r="J14" s="232"/>
    </row>
    <row r="15" spans="2:10" x14ac:dyDescent="0.3">
      <c r="C15" s="235"/>
      <c r="D15" s="236">
        <f>SUM(D4:D14)</f>
        <v>999.5</v>
      </c>
      <c r="E15" s="237"/>
      <c r="F15" s="238">
        <f>SUM(F4:F14)</f>
        <v>0</v>
      </c>
      <c r="G15" s="236">
        <f>SUM(G4:G14)</f>
        <v>0</v>
      </c>
      <c r="H15" s="239">
        <f>SUM(H4:H14)</f>
        <v>0</v>
      </c>
      <c r="I15" s="239">
        <f>SUM(I4:I14)</f>
        <v>0</v>
      </c>
      <c r="J15" s="240"/>
    </row>
  </sheetData>
  <mergeCells count="1">
    <mergeCell ref="C2:J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1F43-33D9-4DF8-B777-113DAA2F2229}">
  <dimension ref="B3:J15"/>
  <sheetViews>
    <sheetView workbookViewId="0">
      <selection activeCell="B3" sqref="B3:J15"/>
    </sheetView>
  </sheetViews>
  <sheetFormatPr baseColWidth="10" defaultRowHeight="14.4" x14ac:dyDescent="0.3"/>
  <cols>
    <col min="3" max="3" width="18.77734375" bestFit="1" customWidth="1"/>
  </cols>
  <sheetData>
    <row r="3" spans="2:10" ht="23.4" x14ac:dyDescent="0.45">
      <c r="C3" s="221" t="s">
        <v>833</v>
      </c>
      <c r="D3" s="222"/>
      <c r="E3" s="222"/>
      <c r="F3" s="222"/>
      <c r="G3" s="222"/>
      <c r="H3" s="222"/>
      <c r="I3" s="222"/>
      <c r="J3" s="223"/>
    </row>
    <row r="4" spans="2:10" ht="46.8" x14ac:dyDescent="0.3">
      <c r="B4" s="224">
        <v>4</v>
      </c>
      <c r="C4" s="225" t="s">
        <v>0</v>
      </c>
      <c r="D4" s="226" t="s">
        <v>1</v>
      </c>
      <c r="E4" s="226" t="s">
        <v>2</v>
      </c>
      <c r="F4" s="226" t="s">
        <v>819</v>
      </c>
      <c r="G4" s="226" t="s">
        <v>407</v>
      </c>
      <c r="H4" s="226" t="s">
        <v>126</v>
      </c>
      <c r="I4" s="226" t="s">
        <v>408</v>
      </c>
      <c r="J4" s="227"/>
    </row>
    <row r="5" spans="2:10" x14ac:dyDescent="0.3">
      <c r="C5" s="228" t="s">
        <v>12</v>
      </c>
      <c r="D5" s="230">
        <v>2.5</v>
      </c>
      <c r="E5" s="230"/>
      <c r="F5" s="231">
        <f>(E5/1000)*D5</f>
        <v>0</v>
      </c>
      <c r="G5" s="229"/>
      <c r="H5" s="229"/>
      <c r="I5" s="229"/>
      <c r="J5" s="232" t="s">
        <v>7</v>
      </c>
    </row>
    <row r="6" spans="2:10" x14ac:dyDescent="0.3">
      <c r="C6" s="228" t="s">
        <v>642</v>
      </c>
      <c r="D6" s="229">
        <v>5</v>
      </c>
      <c r="E6" s="230"/>
      <c r="F6" s="231"/>
      <c r="G6" s="229"/>
      <c r="H6" s="229"/>
      <c r="I6" s="229"/>
      <c r="J6" s="232"/>
    </row>
    <row r="7" spans="2:10" x14ac:dyDescent="0.3">
      <c r="C7" s="228" t="s">
        <v>166</v>
      </c>
      <c r="D7" s="229">
        <v>50</v>
      </c>
      <c r="E7" s="230"/>
      <c r="F7" s="231"/>
      <c r="G7" s="229"/>
      <c r="H7" s="229"/>
      <c r="I7" s="229"/>
      <c r="J7" s="232"/>
    </row>
    <row r="8" spans="2:10" x14ac:dyDescent="0.3">
      <c r="C8" s="228" t="s">
        <v>163</v>
      </c>
      <c r="D8" s="229">
        <v>30</v>
      </c>
      <c r="E8" s="230"/>
      <c r="F8" s="231"/>
      <c r="G8" s="229"/>
      <c r="H8" s="229"/>
      <c r="I8" s="229"/>
      <c r="J8" s="232"/>
    </row>
    <row r="9" spans="2:10" x14ac:dyDescent="0.3">
      <c r="C9" s="228" t="s">
        <v>286</v>
      </c>
      <c r="D9" s="229">
        <v>8</v>
      </c>
      <c r="E9" s="230"/>
      <c r="F9" s="231"/>
      <c r="G9" s="229"/>
      <c r="H9" s="229"/>
      <c r="I9" s="229"/>
      <c r="J9" s="232"/>
    </row>
    <row r="10" spans="2:10" x14ac:dyDescent="0.3">
      <c r="C10" s="228" t="s">
        <v>168</v>
      </c>
      <c r="D10" s="229">
        <v>8</v>
      </c>
      <c r="E10" s="230"/>
      <c r="F10" s="231"/>
      <c r="G10" s="229"/>
      <c r="H10" s="229"/>
      <c r="I10" s="229"/>
      <c r="J10" s="232"/>
    </row>
    <row r="11" spans="2:10" x14ac:dyDescent="0.3">
      <c r="C11" s="228" t="s">
        <v>174</v>
      </c>
      <c r="D11" s="229">
        <v>3</v>
      </c>
      <c r="E11" s="230"/>
      <c r="F11" s="231"/>
      <c r="G11" s="229"/>
      <c r="H11" s="229"/>
      <c r="I11" s="229"/>
      <c r="J11" s="232"/>
    </row>
    <row r="12" spans="2:10" x14ac:dyDescent="0.3">
      <c r="C12" s="228" t="s">
        <v>56</v>
      </c>
      <c r="D12" s="230">
        <v>1</v>
      </c>
      <c r="E12" s="230"/>
      <c r="F12" s="231"/>
      <c r="G12" s="229"/>
      <c r="H12" s="229"/>
      <c r="I12" s="229"/>
      <c r="J12" s="232"/>
    </row>
    <row r="13" spans="2:10" x14ac:dyDescent="0.3">
      <c r="C13" s="228" t="s">
        <v>231</v>
      </c>
      <c r="D13" s="229">
        <v>0.5</v>
      </c>
      <c r="E13" s="230"/>
      <c r="F13" s="231"/>
      <c r="G13" s="229"/>
      <c r="H13" s="229"/>
      <c r="I13" s="229"/>
      <c r="J13" s="232"/>
    </row>
    <row r="14" spans="2:10" x14ac:dyDescent="0.3">
      <c r="C14" s="228" t="s">
        <v>55</v>
      </c>
      <c r="D14" s="229">
        <v>892</v>
      </c>
      <c r="E14" s="230"/>
      <c r="F14" s="231"/>
      <c r="G14" s="229"/>
      <c r="H14" s="229"/>
      <c r="I14" s="229"/>
      <c r="J14" s="232"/>
    </row>
    <row r="15" spans="2:10" x14ac:dyDescent="0.3">
      <c r="C15" s="235"/>
      <c r="D15" s="253">
        <f>SUM(D5:D14)</f>
        <v>1000</v>
      </c>
      <c r="E15" s="254"/>
      <c r="F15" s="255">
        <f t="shared" ref="F15:I15" si="0">SUM(F5:F13)</f>
        <v>0</v>
      </c>
      <c r="G15" s="253">
        <f t="shared" si="0"/>
        <v>0</v>
      </c>
      <c r="H15" s="258">
        <f t="shared" si="0"/>
        <v>0</v>
      </c>
      <c r="I15" s="258">
        <f t="shared" si="0"/>
        <v>0</v>
      </c>
      <c r="J15" s="257"/>
    </row>
  </sheetData>
  <mergeCells count="1">
    <mergeCell ref="C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9501-CC73-4C6D-8215-106791CAA2C8}">
  <dimension ref="B3:H82"/>
  <sheetViews>
    <sheetView topLeftCell="A59" zoomScale="83" zoomScaleNormal="83" workbookViewId="0">
      <selection activeCell="A79" sqref="A79:XFD79"/>
    </sheetView>
  </sheetViews>
  <sheetFormatPr baseColWidth="10" defaultRowHeight="14.4" x14ac:dyDescent="0.3"/>
  <cols>
    <col min="4" max="4" width="34" customWidth="1"/>
    <col min="5" max="6" width="20" customWidth="1"/>
    <col min="7" max="7" width="15.88671875" customWidth="1"/>
  </cols>
  <sheetData>
    <row r="3" spans="3:8" ht="23.4" x14ac:dyDescent="0.45">
      <c r="D3" s="172" t="s">
        <v>62</v>
      </c>
      <c r="E3" s="173"/>
      <c r="F3" s="173"/>
      <c r="G3" s="173"/>
      <c r="H3" s="174"/>
    </row>
    <row r="4" spans="3:8" ht="46.8" x14ac:dyDescent="0.3">
      <c r="C4" s="1">
        <v>1</v>
      </c>
      <c r="D4" s="2" t="s">
        <v>0</v>
      </c>
      <c r="E4" s="3" t="s">
        <v>1</v>
      </c>
      <c r="F4" s="3" t="s">
        <v>46</v>
      </c>
      <c r="G4" s="3" t="s">
        <v>15</v>
      </c>
      <c r="H4" s="4"/>
    </row>
    <row r="5" spans="3:8" x14ac:dyDescent="0.3">
      <c r="C5" s="14">
        <v>1</v>
      </c>
      <c r="D5" s="5" t="s">
        <v>55</v>
      </c>
      <c r="E5" s="6">
        <v>918</v>
      </c>
      <c r="F5" s="6">
        <f>(E5*20)</f>
        <v>18360</v>
      </c>
      <c r="G5" s="6">
        <f>(E5*15)</f>
        <v>13770</v>
      </c>
      <c r="H5" s="10" t="s">
        <v>7</v>
      </c>
    </row>
    <row r="6" spans="3:8" x14ac:dyDescent="0.3">
      <c r="C6" s="14">
        <v>2</v>
      </c>
      <c r="D6" s="5" t="s">
        <v>58</v>
      </c>
      <c r="E6" s="6">
        <v>12</v>
      </c>
      <c r="F6" s="6">
        <f t="shared" ref="F6:F12" si="0">(E6*20)</f>
        <v>240</v>
      </c>
      <c r="G6" s="6">
        <f t="shared" ref="G6:G12" si="1">(E6*15)</f>
        <v>180</v>
      </c>
      <c r="H6" s="10" t="s">
        <v>7</v>
      </c>
    </row>
    <row r="7" spans="3:8" x14ac:dyDescent="0.3">
      <c r="C7" s="14">
        <v>3</v>
      </c>
      <c r="D7" s="5" t="s">
        <v>56</v>
      </c>
      <c r="E7" s="6">
        <v>2</v>
      </c>
      <c r="F7" s="6">
        <f t="shared" si="0"/>
        <v>40</v>
      </c>
      <c r="G7" s="6">
        <f t="shared" si="1"/>
        <v>30</v>
      </c>
      <c r="H7" s="10" t="s">
        <v>7</v>
      </c>
    </row>
    <row r="8" spans="3:8" x14ac:dyDescent="0.3">
      <c r="C8" s="14">
        <v>4</v>
      </c>
      <c r="D8" s="5" t="s">
        <v>57</v>
      </c>
      <c r="E8" s="6">
        <v>2</v>
      </c>
      <c r="F8" s="6">
        <f t="shared" si="0"/>
        <v>40</v>
      </c>
      <c r="G8" s="6">
        <f t="shared" si="1"/>
        <v>30</v>
      </c>
      <c r="H8" s="10" t="s">
        <v>7</v>
      </c>
    </row>
    <row r="9" spans="3:8" x14ac:dyDescent="0.3">
      <c r="C9" s="14">
        <v>6</v>
      </c>
      <c r="D9" s="5" t="s">
        <v>20</v>
      </c>
      <c r="E9" s="6">
        <v>12</v>
      </c>
      <c r="F9" s="6">
        <f t="shared" si="0"/>
        <v>240</v>
      </c>
      <c r="G9" s="6">
        <f t="shared" si="1"/>
        <v>180</v>
      </c>
      <c r="H9" s="10" t="s">
        <v>7</v>
      </c>
    </row>
    <row r="10" spans="3:8" x14ac:dyDescent="0.3">
      <c r="C10" s="14">
        <v>7</v>
      </c>
      <c r="D10" s="5" t="s">
        <v>59</v>
      </c>
      <c r="E10" s="6">
        <v>50</v>
      </c>
      <c r="F10" s="6">
        <f t="shared" si="0"/>
        <v>1000</v>
      </c>
      <c r="G10" s="6">
        <f t="shared" si="1"/>
        <v>750</v>
      </c>
      <c r="H10" s="5" t="s">
        <v>7</v>
      </c>
    </row>
    <row r="11" spans="3:8" x14ac:dyDescent="0.3">
      <c r="C11" s="14">
        <v>5</v>
      </c>
      <c r="D11" s="5" t="s">
        <v>60</v>
      </c>
      <c r="E11" s="6">
        <v>2</v>
      </c>
      <c r="F11" s="6">
        <f t="shared" si="0"/>
        <v>40</v>
      </c>
      <c r="G11" s="6">
        <f t="shared" si="1"/>
        <v>30</v>
      </c>
      <c r="H11" s="5" t="s">
        <v>7</v>
      </c>
    </row>
    <row r="12" spans="3:8" x14ac:dyDescent="0.3">
      <c r="C12" s="14">
        <v>9</v>
      </c>
      <c r="D12" s="34" t="s">
        <v>61</v>
      </c>
      <c r="E12" s="6">
        <v>250</v>
      </c>
      <c r="F12" s="6">
        <f t="shared" si="0"/>
        <v>5000</v>
      </c>
      <c r="G12" s="6">
        <f t="shared" si="1"/>
        <v>3750</v>
      </c>
      <c r="H12" s="5" t="s">
        <v>7</v>
      </c>
    </row>
    <row r="13" spans="3:8" x14ac:dyDescent="0.3">
      <c r="E13" s="19">
        <f>SUM(E5:E11)</f>
        <v>998</v>
      </c>
      <c r="F13" s="19">
        <f>SUM(F5:F11)</f>
        <v>19960</v>
      </c>
      <c r="G13" s="19">
        <f>SUM(G5:G11)</f>
        <v>14970</v>
      </c>
      <c r="H13" s="23"/>
    </row>
    <row r="16" spans="3:8" ht="23.4" x14ac:dyDescent="0.45">
      <c r="D16" s="172" t="s">
        <v>234</v>
      </c>
      <c r="E16" s="173"/>
      <c r="F16" s="173"/>
      <c r="G16" s="173"/>
      <c r="H16" s="174"/>
    </row>
    <row r="17" spans="2:8" ht="46.8" x14ac:dyDescent="0.3">
      <c r="C17" s="1">
        <v>2</v>
      </c>
      <c r="D17" s="2" t="s">
        <v>0</v>
      </c>
      <c r="E17" s="3" t="s">
        <v>1</v>
      </c>
      <c r="F17" s="3" t="s">
        <v>46</v>
      </c>
      <c r="G17" s="3" t="s">
        <v>15</v>
      </c>
      <c r="H17" s="3" t="s">
        <v>235</v>
      </c>
    </row>
    <row r="18" spans="2:8" ht="15" customHeight="1" x14ac:dyDescent="0.3">
      <c r="B18" s="74"/>
      <c r="C18" s="35">
        <v>1</v>
      </c>
      <c r="D18" s="10" t="s">
        <v>55</v>
      </c>
      <c r="E18" s="6">
        <v>889</v>
      </c>
      <c r="F18" s="6">
        <f>(E18*20)</f>
        <v>17780</v>
      </c>
      <c r="G18" s="6">
        <f>(E18*15)</f>
        <v>13335</v>
      </c>
      <c r="H18" s="6">
        <f>(E18*5)</f>
        <v>4445</v>
      </c>
    </row>
    <row r="19" spans="2:8" ht="15" customHeight="1" x14ac:dyDescent="0.3">
      <c r="B19" s="74"/>
      <c r="C19" s="35">
        <v>2</v>
      </c>
      <c r="D19" s="10" t="s">
        <v>59</v>
      </c>
      <c r="E19" s="6">
        <v>50</v>
      </c>
      <c r="F19" s="6">
        <f t="shared" ref="F19:F27" si="2">(E19*20)</f>
        <v>1000</v>
      </c>
      <c r="G19" s="6">
        <f t="shared" ref="G19:G27" si="3">(E19*15)</f>
        <v>750</v>
      </c>
      <c r="H19" s="6">
        <f t="shared" ref="H19:H27" si="4">(E19*5)</f>
        <v>250</v>
      </c>
    </row>
    <row r="20" spans="2:8" ht="15" customHeight="1" x14ac:dyDescent="0.3">
      <c r="B20" s="74"/>
      <c r="C20" s="35">
        <v>3</v>
      </c>
      <c r="D20" s="10" t="s">
        <v>163</v>
      </c>
      <c r="E20" s="6">
        <v>30</v>
      </c>
      <c r="F20" s="6">
        <f t="shared" si="2"/>
        <v>600</v>
      </c>
      <c r="G20" s="6">
        <f t="shared" si="3"/>
        <v>450</v>
      </c>
      <c r="H20" s="6">
        <f t="shared" si="4"/>
        <v>150</v>
      </c>
    </row>
    <row r="21" spans="2:8" ht="15" customHeight="1" x14ac:dyDescent="0.3">
      <c r="B21" s="74"/>
      <c r="C21" s="35">
        <v>4</v>
      </c>
      <c r="D21" s="10" t="s">
        <v>164</v>
      </c>
      <c r="E21" s="6">
        <v>1</v>
      </c>
      <c r="F21" s="6">
        <f t="shared" si="2"/>
        <v>20</v>
      </c>
      <c r="G21" s="6">
        <f t="shared" si="3"/>
        <v>15</v>
      </c>
      <c r="H21" s="6">
        <f t="shared" si="4"/>
        <v>5</v>
      </c>
    </row>
    <row r="22" spans="2:8" ht="15" customHeight="1" x14ac:dyDescent="0.3">
      <c r="B22" s="74"/>
      <c r="C22" s="35">
        <v>5</v>
      </c>
      <c r="D22" s="10" t="s">
        <v>166</v>
      </c>
      <c r="E22" s="6">
        <v>10</v>
      </c>
      <c r="F22" s="6">
        <f t="shared" si="2"/>
        <v>200</v>
      </c>
      <c r="G22" s="6">
        <f t="shared" si="3"/>
        <v>150</v>
      </c>
      <c r="H22" s="6">
        <f t="shared" si="4"/>
        <v>50</v>
      </c>
    </row>
    <row r="23" spans="2:8" ht="15" customHeight="1" x14ac:dyDescent="0.3">
      <c r="B23" s="74"/>
      <c r="C23" s="35">
        <v>6</v>
      </c>
      <c r="D23" s="10" t="s">
        <v>165</v>
      </c>
      <c r="E23" s="6">
        <v>1</v>
      </c>
      <c r="F23" s="6">
        <f t="shared" si="2"/>
        <v>20</v>
      </c>
      <c r="G23" s="6">
        <f t="shared" si="3"/>
        <v>15</v>
      </c>
      <c r="H23" s="6">
        <f t="shared" si="4"/>
        <v>5</v>
      </c>
    </row>
    <row r="24" spans="2:8" ht="15" customHeight="1" x14ac:dyDescent="0.3">
      <c r="B24" s="74"/>
      <c r="C24" s="14">
        <v>7</v>
      </c>
      <c r="D24" s="10" t="s">
        <v>167</v>
      </c>
      <c r="E24" s="6">
        <v>9</v>
      </c>
      <c r="F24" s="6">
        <f t="shared" si="2"/>
        <v>180</v>
      </c>
      <c r="G24" s="6">
        <f t="shared" si="3"/>
        <v>135</v>
      </c>
      <c r="H24" s="6">
        <f t="shared" si="4"/>
        <v>45</v>
      </c>
    </row>
    <row r="25" spans="2:8" ht="15" customHeight="1" x14ac:dyDescent="0.3">
      <c r="B25" s="74"/>
      <c r="C25" s="14">
        <v>8</v>
      </c>
      <c r="D25" s="10" t="s">
        <v>168</v>
      </c>
      <c r="E25" s="6">
        <v>10</v>
      </c>
      <c r="F25" s="6">
        <f t="shared" si="2"/>
        <v>200</v>
      </c>
      <c r="G25" s="6">
        <f t="shared" si="3"/>
        <v>150</v>
      </c>
      <c r="H25" s="6">
        <f t="shared" si="4"/>
        <v>50</v>
      </c>
    </row>
    <row r="26" spans="2:8" x14ac:dyDescent="0.3">
      <c r="C26" s="14">
        <v>9</v>
      </c>
      <c r="D26" s="75" t="s">
        <v>169</v>
      </c>
      <c r="E26" s="6">
        <v>1</v>
      </c>
      <c r="F26" s="6">
        <f t="shared" si="2"/>
        <v>20</v>
      </c>
      <c r="G26" s="6">
        <f t="shared" si="3"/>
        <v>15</v>
      </c>
      <c r="H26" s="6">
        <f t="shared" si="4"/>
        <v>5</v>
      </c>
    </row>
    <row r="27" spans="2:8" x14ac:dyDescent="0.3">
      <c r="C27" s="14">
        <v>10</v>
      </c>
      <c r="D27" s="75" t="s">
        <v>170</v>
      </c>
      <c r="E27" s="11">
        <v>0.5</v>
      </c>
      <c r="F27" s="6">
        <f t="shared" si="2"/>
        <v>10</v>
      </c>
      <c r="G27" s="6">
        <f t="shared" si="3"/>
        <v>7.5</v>
      </c>
      <c r="H27" s="6">
        <f t="shared" si="4"/>
        <v>2.5</v>
      </c>
    </row>
    <row r="28" spans="2:8" x14ac:dyDescent="0.3">
      <c r="E28" s="19">
        <f>SUM(E18:E27)</f>
        <v>1001.5</v>
      </c>
      <c r="F28" s="19">
        <f>SUM(F18:F25)</f>
        <v>20000</v>
      </c>
      <c r="G28" s="19">
        <f>SUM(G18:G25)</f>
        <v>15000</v>
      </c>
      <c r="H28" s="19">
        <f>SUM(H18:H25)</f>
        <v>5000</v>
      </c>
    </row>
    <row r="32" spans="2:8" ht="23.4" x14ac:dyDescent="0.45">
      <c r="D32" s="172" t="s">
        <v>216</v>
      </c>
      <c r="E32" s="173"/>
      <c r="F32" s="173"/>
      <c r="G32" s="173"/>
      <c r="H32" s="174"/>
    </row>
    <row r="33" spans="3:8" ht="46.8" x14ac:dyDescent="0.3">
      <c r="C33" s="1">
        <v>3</v>
      </c>
      <c r="D33" s="2" t="s">
        <v>0</v>
      </c>
      <c r="E33" s="3" t="s">
        <v>1</v>
      </c>
      <c r="F33" s="3" t="s">
        <v>46</v>
      </c>
      <c r="G33" s="3" t="s">
        <v>15</v>
      </c>
      <c r="H33" s="4"/>
    </row>
    <row r="34" spans="3:8" x14ac:dyDescent="0.3">
      <c r="C34" s="35">
        <v>2</v>
      </c>
      <c r="D34" s="10" t="s">
        <v>171</v>
      </c>
      <c r="E34" s="6">
        <v>50</v>
      </c>
      <c r="F34" s="6">
        <f>(E34*20)</f>
        <v>1000</v>
      </c>
      <c r="G34" s="6">
        <f>(E34*15)</f>
        <v>750</v>
      </c>
      <c r="H34" s="10" t="s">
        <v>7</v>
      </c>
    </row>
    <row r="35" spans="3:8" x14ac:dyDescent="0.3">
      <c r="C35" s="35">
        <v>3</v>
      </c>
      <c r="D35" s="10" t="s">
        <v>172</v>
      </c>
      <c r="E35" s="6">
        <v>50</v>
      </c>
      <c r="F35" s="6">
        <f t="shared" ref="F35:F41" si="5">(E35*20)</f>
        <v>1000</v>
      </c>
      <c r="G35" s="6">
        <f t="shared" ref="G35:G41" si="6">(E35*15)</f>
        <v>750</v>
      </c>
      <c r="H35" s="10" t="s">
        <v>7</v>
      </c>
    </row>
    <row r="36" spans="3:8" x14ac:dyDescent="0.3">
      <c r="C36" s="35">
        <v>7</v>
      </c>
      <c r="D36" s="10" t="s">
        <v>217</v>
      </c>
      <c r="E36" s="6">
        <v>8</v>
      </c>
      <c r="F36" s="6">
        <f t="shared" si="5"/>
        <v>160</v>
      </c>
      <c r="G36" s="6">
        <f t="shared" si="6"/>
        <v>120</v>
      </c>
      <c r="H36" s="10" t="s">
        <v>7</v>
      </c>
    </row>
    <row r="37" spans="3:8" x14ac:dyDescent="0.3">
      <c r="C37" s="35">
        <v>9</v>
      </c>
      <c r="D37" s="10" t="s">
        <v>61</v>
      </c>
      <c r="E37" s="6">
        <v>10</v>
      </c>
      <c r="F37" s="6">
        <f t="shared" si="5"/>
        <v>200</v>
      </c>
      <c r="G37" s="6">
        <f t="shared" si="6"/>
        <v>150</v>
      </c>
      <c r="H37" s="10" t="s">
        <v>7</v>
      </c>
    </row>
    <row r="38" spans="3:8" x14ac:dyDescent="0.3">
      <c r="C38" s="35">
        <v>1</v>
      </c>
      <c r="D38" s="10" t="s">
        <v>173</v>
      </c>
      <c r="E38" s="6">
        <v>875</v>
      </c>
      <c r="F38" s="6">
        <f t="shared" si="5"/>
        <v>17500</v>
      </c>
      <c r="G38" s="6">
        <f t="shared" si="6"/>
        <v>13125</v>
      </c>
      <c r="H38" s="10"/>
    </row>
    <row r="39" spans="3:8" x14ac:dyDescent="0.3">
      <c r="C39" s="14">
        <v>5</v>
      </c>
      <c r="D39" s="10" t="s">
        <v>169</v>
      </c>
      <c r="E39" s="6">
        <v>1</v>
      </c>
      <c r="F39" s="6">
        <f t="shared" si="5"/>
        <v>20</v>
      </c>
      <c r="G39" s="6">
        <f t="shared" si="6"/>
        <v>15</v>
      </c>
      <c r="H39" s="5" t="s">
        <v>7</v>
      </c>
    </row>
    <row r="40" spans="3:8" x14ac:dyDescent="0.3">
      <c r="C40" s="14">
        <v>6</v>
      </c>
      <c r="D40" s="10" t="s">
        <v>174</v>
      </c>
      <c r="E40" s="6">
        <v>2</v>
      </c>
      <c r="F40" s="6">
        <f t="shared" si="5"/>
        <v>40</v>
      </c>
      <c r="G40" s="6">
        <f t="shared" si="6"/>
        <v>30</v>
      </c>
      <c r="H40" s="5" t="s">
        <v>7</v>
      </c>
    </row>
    <row r="41" spans="3:8" x14ac:dyDescent="0.3">
      <c r="C41" s="14">
        <v>4</v>
      </c>
      <c r="D41" s="75" t="s">
        <v>170</v>
      </c>
      <c r="E41" s="6">
        <v>1</v>
      </c>
      <c r="F41" s="6">
        <f t="shared" si="5"/>
        <v>20</v>
      </c>
      <c r="G41" s="6">
        <f t="shared" si="6"/>
        <v>15</v>
      </c>
      <c r="H41" s="5"/>
    </row>
    <row r="42" spans="3:8" x14ac:dyDescent="0.3">
      <c r="E42" s="19">
        <f>SUM(E34:E41)</f>
        <v>997</v>
      </c>
      <c r="F42" s="19">
        <f>SUM(F34:F40)</f>
        <v>19920</v>
      </c>
      <c r="G42" s="19">
        <f>SUM(G34:G40)</f>
        <v>14940</v>
      </c>
      <c r="H42" s="23"/>
    </row>
    <row r="45" spans="3:8" ht="23.4" x14ac:dyDescent="0.45">
      <c r="D45" s="172" t="s">
        <v>63</v>
      </c>
      <c r="E45" s="173"/>
      <c r="F45" s="173"/>
      <c r="G45" s="173"/>
      <c r="H45" s="174"/>
    </row>
    <row r="46" spans="3:8" ht="46.8" x14ac:dyDescent="0.3">
      <c r="C46" s="1">
        <v>4</v>
      </c>
      <c r="D46" s="36" t="s">
        <v>0</v>
      </c>
      <c r="E46" s="4" t="s">
        <v>1</v>
      </c>
      <c r="F46" s="4" t="s">
        <v>87</v>
      </c>
      <c r="G46" s="4" t="s">
        <v>66</v>
      </c>
      <c r="H46" s="4"/>
    </row>
    <row r="47" spans="3:8" x14ac:dyDescent="0.3">
      <c r="C47" s="35">
        <v>2</v>
      </c>
      <c r="D47" s="5" t="s">
        <v>67</v>
      </c>
      <c r="E47" s="6">
        <v>70</v>
      </c>
      <c r="F47" s="6">
        <f t="shared" ref="F47:F53" si="7">(E47*100)</f>
        <v>7000</v>
      </c>
      <c r="G47" s="6">
        <f t="shared" ref="G47:G53" si="8">(E47*110)</f>
        <v>7700</v>
      </c>
      <c r="H47" s="5" t="s">
        <v>7</v>
      </c>
    </row>
    <row r="48" spans="3:8" x14ac:dyDescent="0.3">
      <c r="C48" s="35">
        <v>3</v>
      </c>
      <c r="D48" s="5" t="s">
        <v>68</v>
      </c>
      <c r="E48" s="6">
        <v>70</v>
      </c>
      <c r="F48" s="6">
        <f t="shared" si="7"/>
        <v>7000</v>
      </c>
      <c r="G48" s="6">
        <f t="shared" si="8"/>
        <v>7700</v>
      </c>
      <c r="H48" s="5" t="s">
        <v>7</v>
      </c>
    </row>
    <row r="49" spans="3:8" x14ac:dyDescent="0.3">
      <c r="C49" s="35">
        <v>8</v>
      </c>
      <c r="D49" s="5" t="s">
        <v>69</v>
      </c>
      <c r="E49" s="6">
        <v>15</v>
      </c>
      <c r="F49" s="6">
        <f t="shared" si="7"/>
        <v>1500</v>
      </c>
      <c r="G49" s="6">
        <f t="shared" si="8"/>
        <v>1650</v>
      </c>
      <c r="H49" s="5" t="s">
        <v>7</v>
      </c>
    </row>
    <row r="50" spans="3:8" x14ac:dyDescent="0.3">
      <c r="C50" s="35">
        <v>7</v>
      </c>
      <c r="D50" s="5" t="s">
        <v>70</v>
      </c>
      <c r="E50" s="6">
        <v>10</v>
      </c>
      <c r="F50" s="6">
        <f t="shared" si="7"/>
        <v>1000</v>
      </c>
      <c r="G50" s="6">
        <f t="shared" si="8"/>
        <v>1100</v>
      </c>
      <c r="H50" s="5" t="s">
        <v>7</v>
      </c>
    </row>
    <row r="51" spans="3:8" x14ac:dyDescent="0.3">
      <c r="C51" s="35">
        <v>1</v>
      </c>
      <c r="D51" s="5" t="s">
        <v>16</v>
      </c>
      <c r="E51" s="6">
        <v>826.98</v>
      </c>
      <c r="F51" s="6">
        <f t="shared" si="7"/>
        <v>82698</v>
      </c>
      <c r="G51" s="6">
        <f t="shared" si="8"/>
        <v>90967.8</v>
      </c>
      <c r="H51" s="5" t="s">
        <v>7</v>
      </c>
    </row>
    <row r="52" spans="3:8" x14ac:dyDescent="0.3">
      <c r="C52" s="35">
        <v>4</v>
      </c>
      <c r="D52" s="5" t="s">
        <v>72</v>
      </c>
      <c r="E52" s="6">
        <v>2</v>
      </c>
      <c r="F52" s="6">
        <f t="shared" si="7"/>
        <v>200</v>
      </c>
      <c r="G52" s="6">
        <f t="shared" si="8"/>
        <v>220</v>
      </c>
      <c r="H52" s="5" t="s">
        <v>7</v>
      </c>
    </row>
    <row r="53" spans="3:8" x14ac:dyDescent="0.3">
      <c r="C53" s="35">
        <v>5</v>
      </c>
      <c r="D53" s="5" t="s">
        <v>73</v>
      </c>
      <c r="E53" s="6">
        <v>1</v>
      </c>
      <c r="F53" s="6">
        <f t="shared" si="7"/>
        <v>100</v>
      </c>
      <c r="G53" s="6">
        <f t="shared" si="8"/>
        <v>110</v>
      </c>
      <c r="H53" s="5" t="s">
        <v>7</v>
      </c>
    </row>
    <row r="54" spans="3:8" x14ac:dyDescent="0.3">
      <c r="E54" s="13">
        <f>SUM(E47:E53)</f>
        <v>994.98</v>
      </c>
      <c r="F54" s="13">
        <f>SUM(F47:F53)</f>
        <v>99498</v>
      </c>
      <c r="G54" s="13">
        <f>SUM(G47:G53)</f>
        <v>109447.8</v>
      </c>
      <c r="H54" s="17"/>
    </row>
    <row r="56" spans="3:8" ht="23.4" x14ac:dyDescent="0.45">
      <c r="D56" s="172" t="s">
        <v>354</v>
      </c>
      <c r="E56" s="173"/>
      <c r="F56" s="173"/>
      <c r="G56" s="173"/>
      <c r="H56" s="174"/>
    </row>
    <row r="57" spans="3:8" ht="46.8" x14ac:dyDescent="0.3">
      <c r="C57" s="1">
        <v>4</v>
      </c>
      <c r="D57" s="2" t="s">
        <v>0</v>
      </c>
      <c r="E57" s="3" t="s">
        <v>1</v>
      </c>
      <c r="F57" s="3" t="s">
        <v>353</v>
      </c>
      <c r="G57" s="3" t="s">
        <v>87</v>
      </c>
      <c r="H57" s="4"/>
    </row>
    <row r="58" spans="3:8" x14ac:dyDescent="0.3">
      <c r="C58">
        <v>1</v>
      </c>
      <c r="D58" s="5" t="s">
        <v>16</v>
      </c>
      <c r="E58" s="6">
        <v>809</v>
      </c>
      <c r="F58" s="6">
        <f t="shared" ref="F58:F65" si="9">(E58*70)</f>
        <v>56630</v>
      </c>
      <c r="G58" s="6">
        <f>(E58*100)</f>
        <v>80900</v>
      </c>
      <c r="H58" s="10" t="s">
        <v>7</v>
      </c>
    </row>
    <row r="59" spans="3:8" x14ac:dyDescent="0.3">
      <c r="C59">
        <v>4</v>
      </c>
      <c r="D59" s="5" t="s">
        <v>67</v>
      </c>
      <c r="E59" s="6">
        <v>70</v>
      </c>
      <c r="F59" s="6">
        <f t="shared" si="9"/>
        <v>4900</v>
      </c>
      <c r="G59" s="6">
        <f t="shared" ref="G59:G65" si="10">(E59*100)</f>
        <v>7000</v>
      </c>
      <c r="H59" s="10" t="s">
        <v>7</v>
      </c>
    </row>
    <row r="60" spans="3:8" x14ac:dyDescent="0.3">
      <c r="C60">
        <v>5</v>
      </c>
      <c r="D60" s="5" t="s">
        <v>68</v>
      </c>
      <c r="E60" s="6">
        <v>70</v>
      </c>
      <c r="F60" s="6">
        <f t="shared" si="9"/>
        <v>4900</v>
      </c>
      <c r="G60" s="6">
        <f t="shared" si="10"/>
        <v>7000</v>
      </c>
      <c r="H60" s="10" t="s">
        <v>7</v>
      </c>
    </row>
    <row r="61" spans="3:8" x14ac:dyDescent="0.3">
      <c r="C61">
        <v>6</v>
      </c>
      <c r="D61" s="5" t="s">
        <v>124</v>
      </c>
      <c r="E61" s="6">
        <v>30</v>
      </c>
      <c r="F61" s="6">
        <f t="shared" si="9"/>
        <v>2100</v>
      </c>
      <c r="G61" s="6">
        <f t="shared" si="10"/>
        <v>3000</v>
      </c>
      <c r="H61" s="10" t="s">
        <v>7</v>
      </c>
    </row>
    <row r="62" spans="3:8" x14ac:dyDescent="0.3">
      <c r="C62">
        <v>7</v>
      </c>
      <c r="D62" s="5" t="s">
        <v>125</v>
      </c>
      <c r="E62" s="6">
        <v>10</v>
      </c>
      <c r="F62" s="6">
        <f t="shared" si="9"/>
        <v>700</v>
      </c>
      <c r="G62" s="6">
        <f t="shared" si="10"/>
        <v>1000</v>
      </c>
      <c r="H62" s="10" t="s">
        <v>7</v>
      </c>
    </row>
    <row r="63" spans="3:8" x14ac:dyDescent="0.3">
      <c r="C63">
        <v>8</v>
      </c>
      <c r="D63" s="5" t="s">
        <v>19</v>
      </c>
      <c r="E63" s="6">
        <v>10</v>
      </c>
      <c r="F63" s="6">
        <f t="shared" si="9"/>
        <v>700</v>
      </c>
      <c r="G63" s="6">
        <f t="shared" si="10"/>
        <v>1000</v>
      </c>
      <c r="H63" s="5" t="s">
        <v>7</v>
      </c>
    </row>
    <row r="64" spans="3:8" x14ac:dyDescent="0.3">
      <c r="C64">
        <v>2</v>
      </c>
      <c r="D64" s="24" t="s">
        <v>28</v>
      </c>
      <c r="E64" s="25">
        <v>1</v>
      </c>
      <c r="F64" s="6">
        <f t="shared" si="9"/>
        <v>70</v>
      </c>
      <c r="G64" s="6">
        <f t="shared" si="10"/>
        <v>100</v>
      </c>
      <c r="H64" s="5" t="s">
        <v>7</v>
      </c>
    </row>
    <row r="65" spans="3:8" x14ac:dyDescent="0.3">
      <c r="C65">
        <v>3</v>
      </c>
      <c r="D65" s="24" t="s">
        <v>29</v>
      </c>
      <c r="E65" s="11">
        <v>0.5</v>
      </c>
      <c r="F65" s="6">
        <f t="shared" si="9"/>
        <v>35</v>
      </c>
      <c r="G65" s="6">
        <f t="shared" si="10"/>
        <v>50</v>
      </c>
      <c r="H65" s="5" t="s">
        <v>7</v>
      </c>
    </row>
    <row r="66" spans="3:8" x14ac:dyDescent="0.3">
      <c r="D66" s="27"/>
      <c r="E66" s="13">
        <f>SUM(E58:E65)</f>
        <v>1000.5</v>
      </c>
      <c r="F66" s="13">
        <f>SUM(F58:F65)</f>
        <v>70035</v>
      </c>
      <c r="G66" s="17"/>
      <c r="H66" s="17"/>
    </row>
    <row r="69" spans="3:8" ht="23.4" x14ac:dyDescent="0.45">
      <c r="D69" s="172" t="s">
        <v>238</v>
      </c>
      <c r="E69" s="173"/>
      <c r="F69" s="173"/>
      <c r="G69" s="173"/>
      <c r="H69" s="174"/>
    </row>
    <row r="70" spans="3:8" ht="46.8" x14ac:dyDescent="0.3">
      <c r="C70" s="1">
        <v>4</v>
      </c>
      <c r="D70" s="36" t="s">
        <v>0</v>
      </c>
      <c r="E70" s="4" t="s">
        <v>1</v>
      </c>
      <c r="F70" s="4" t="s">
        <v>87</v>
      </c>
      <c r="G70" s="4" t="s">
        <v>242</v>
      </c>
      <c r="H70" s="4"/>
    </row>
    <row r="71" spans="3:8" x14ac:dyDescent="0.3">
      <c r="C71" s="35"/>
      <c r="D71" s="5" t="s">
        <v>67</v>
      </c>
      <c r="E71" s="6">
        <v>70</v>
      </c>
      <c r="F71" s="6">
        <f>(E71*10)</f>
        <v>700</v>
      </c>
      <c r="G71" s="6">
        <f>(E71*20)</f>
        <v>1400</v>
      </c>
      <c r="H71" s="5" t="s">
        <v>7</v>
      </c>
    </row>
    <row r="72" spans="3:8" x14ac:dyDescent="0.3">
      <c r="C72" s="35"/>
      <c r="D72" s="5" t="s">
        <v>68</v>
      </c>
      <c r="E72" s="6">
        <v>70</v>
      </c>
      <c r="F72" s="6">
        <f t="shared" ref="F72:F81" si="11">(E72*10)</f>
        <v>700</v>
      </c>
      <c r="G72" s="6">
        <f t="shared" ref="G72:G81" si="12">(E72*20)</f>
        <v>1400</v>
      </c>
      <c r="H72" s="5" t="s">
        <v>7</v>
      </c>
    </row>
    <row r="73" spans="3:8" x14ac:dyDescent="0.3">
      <c r="C73" s="35"/>
      <c r="D73" s="5" t="s">
        <v>70</v>
      </c>
      <c r="E73" s="6">
        <v>10</v>
      </c>
      <c r="F73" s="6">
        <f t="shared" si="11"/>
        <v>100</v>
      </c>
      <c r="G73" s="6">
        <f t="shared" si="12"/>
        <v>200</v>
      </c>
      <c r="H73" s="5"/>
    </row>
    <row r="74" spans="3:8" x14ac:dyDescent="0.3">
      <c r="C74" s="35"/>
      <c r="D74" s="5" t="s">
        <v>43</v>
      </c>
      <c r="E74" s="6">
        <v>10</v>
      </c>
      <c r="F74" s="6">
        <f t="shared" si="11"/>
        <v>100</v>
      </c>
      <c r="G74" s="6">
        <f t="shared" si="12"/>
        <v>200</v>
      </c>
      <c r="H74" s="5" t="s">
        <v>7</v>
      </c>
    </row>
    <row r="75" spans="3:8" x14ac:dyDescent="0.3">
      <c r="C75" s="35"/>
      <c r="D75" s="5" t="s">
        <v>239</v>
      </c>
      <c r="E75" s="6">
        <v>15</v>
      </c>
      <c r="F75" s="6">
        <f t="shared" si="11"/>
        <v>150</v>
      </c>
      <c r="G75" s="6">
        <f t="shared" si="12"/>
        <v>300</v>
      </c>
      <c r="H75" s="5" t="s">
        <v>7</v>
      </c>
    </row>
    <row r="76" spans="3:8" x14ac:dyDescent="0.3">
      <c r="C76" s="35"/>
      <c r="D76" s="5" t="s">
        <v>240</v>
      </c>
      <c r="E76" s="6">
        <v>1</v>
      </c>
      <c r="F76" s="6">
        <f t="shared" si="11"/>
        <v>10</v>
      </c>
      <c r="G76" s="6">
        <f t="shared" si="12"/>
        <v>20</v>
      </c>
      <c r="H76" s="5" t="s">
        <v>7</v>
      </c>
    </row>
    <row r="77" spans="3:8" x14ac:dyDescent="0.3">
      <c r="C77" s="35"/>
      <c r="D77" s="5" t="s">
        <v>241</v>
      </c>
      <c r="E77" s="6">
        <v>1</v>
      </c>
      <c r="F77" s="6">
        <f t="shared" si="11"/>
        <v>10</v>
      </c>
      <c r="G77" s="6">
        <f t="shared" si="12"/>
        <v>20</v>
      </c>
      <c r="H77" s="5" t="s">
        <v>7</v>
      </c>
    </row>
    <row r="78" spans="3:8" x14ac:dyDescent="0.3">
      <c r="C78" s="35"/>
      <c r="D78" s="5" t="s">
        <v>72</v>
      </c>
      <c r="E78" s="26">
        <v>2</v>
      </c>
      <c r="F78" s="6">
        <f t="shared" si="11"/>
        <v>20</v>
      </c>
      <c r="G78" s="6">
        <f t="shared" si="12"/>
        <v>40</v>
      </c>
      <c r="H78" s="5" t="s">
        <v>7</v>
      </c>
    </row>
    <row r="79" spans="3:8" x14ac:dyDescent="0.3">
      <c r="C79" s="35"/>
      <c r="D79" s="5" t="s">
        <v>56</v>
      </c>
      <c r="E79" s="6">
        <v>2</v>
      </c>
      <c r="F79" s="6">
        <f t="shared" si="11"/>
        <v>20</v>
      </c>
      <c r="G79" s="6">
        <f t="shared" si="12"/>
        <v>40</v>
      </c>
      <c r="H79" s="5"/>
    </row>
    <row r="80" spans="3:8" x14ac:dyDescent="0.3">
      <c r="C80" s="35"/>
      <c r="D80" s="5" t="s">
        <v>231</v>
      </c>
      <c r="E80" s="6">
        <v>2</v>
      </c>
      <c r="F80" s="6">
        <f t="shared" si="11"/>
        <v>20</v>
      </c>
      <c r="G80" s="6">
        <f t="shared" si="12"/>
        <v>40</v>
      </c>
      <c r="H80" s="5"/>
    </row>
    <row r="81" spans="3:8" x14ac:dyDescent="0.3">
      <c r="C81" s="35"/>
      <c r="D81" s="5" t="s">
        <v>232</v>
      </c>
      <c r="E81" s="6">
        <v>812</v>
      </c>
      <c r="F81" s="6">
        <f t="shared" si="11"/>
        <v>8120</v>
      </c>
      <c r="G81" s="6">
        <f t="shared" si="12"/>
        <v>16240</v>
      </c>
      <c r="H81" s="5" t="s">
        <v>7</v>
      </c>
    </row>
    <row r="82" spans="3:8" x14ac:dyDescent="0.3">
      <c r="E82" s="13">
        <f>SUM(E71:E81)</f>
        <v>995</v>
      </c>
      <c r="F82" s="13">
        <f>SUM(F71:F81)</f>
        <v>9950</v>
      </c>
      <c r="G82" s="13">
        <f>SUM(G71:G81)</f>
        <v>19900</v>
      </c>
      <c r="H82" s="17"/>
    </row>
  </sheetData>
  <mergeCells count="6">
    <mergeCell ref="D69:H69"/>
    <mergeCell ref="D45:H45"/>
    <mergeCell ref="D3:H3"/>
    <mergeCell ref="D16:H16"/>
    <mergeCell ref="D32:H32"/>
    <mergeCell ref="D56:H5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6269-92F6-43A3-AFD4-2B91BBCBEE14}">
  <dimension ref="C3:N14"/>
  <sheetViews>
    <sheetView workbookViewId="0">
      <selection activeCell="G24" sqref="G24"/>
    </sheetView>
  </sheetViews>
  <sheetFormatPr baseColWidth="10" defaultRowHeight="14.4" x14ac:dyDescent="0.3"/>
  <cols>
    <col min="4" max="4" width="26.109375" customWidth="1"/>
    <col min="5" max="10" width="12.88671875" customWidth="1"/>
  </cols>
  <sheetData>
    <row r="3" spans="3:14" ht="23.4" x14ac:dyDescent="0.45">
      <c r="D3" s="172" t="s">
        <v>523</v>
      </c>
      <c r="E3" s="173"/>
      <c r="F3" s="173"/>
      <c r="G3" s="173"/>
      <c r="H3" s="173"/>
      <c r="I3" s="173"/>
      <c r="J3" s="173"/>
      <c r="K3" s="174"/>
    </row>
    <row r="4" spans="3:14" ht="62.4" x14ac:dyDescent="0.3">
      <c r="C4" s="1">
        <v>4</v>
      </c>
      <c r="D4" s="36" t="s">
        <v>0</v>
      </c>
      <c r="E4" s="4" t="s">
        <v>1</v>
      </c>
      <c r="F4" s="4" t="s">
        <v>2</v>
      </c>
      <c r="G4" s="4" t="s">
        <v>14</v>
      </c>
      <c r="H4" s="4" t="s">
        <v>64</v>
      </c>
      <c r="I4" s="4" t="s">
        <v>75</v>
      </c>
      <c r="J4" s="4" t="s">
        <v>269</v>
      </c>
      <c r="K4" s="4"/>
    </row>
    <row r="5" spans="3:14" x14ac:dyDescent="0.3">
      <c r="C5" s="35">
        <v>1</v>
      </c>
      <c r="D5" s="5" t="s">
        <v>78</v>
      </c>
      <c r="E5" s="6">
        <v>30</v>
      </c>
      <c r="F5" s="37">
        <v>85</v>
      </c>
      <c r="G5" s="8">
        <f>(F5/1000)*E5</f>
        <v>2.5500000000000003</v>
      </c>
      <c r="H5" s="6">
        <f>(E5*100)</f>
        <v>3000</v>
      </c>
      <c r="I5" s="38">
        <f>(F5/1000)*H5</f>
        <v>255.00000000000003</v>
      </c>
      <c r="J5" s="6">
        <f>(E5*22)</f>
        <v>660</v>
      </c>
      <c r="K5" s="5" t="s">
        <v>7</v>
      </c>
    </row>
    <row r="6" spans="3:14" x14ac:dyDescent="0.3">
      <c r="C6" s="35">
        <v>2</v>
      </c>
      <c r="D6" s="5" t="s">
        <v>79</v>
      </c>
      <c r="E6" s="6">
        <v>50</v>
      </c>
      <c r="F6" s="37">
        <v>56</v>
      </c>
      <c r="G6" s="8">
        <f>(F6/1000)*E6</f>
        <v>2.8000000000000003</v>
      </c>
      <c r="H6" s="6">
        <f>(E6*100)</f>
        <v>5000</v>
      </c>
      <c r="I6" s="38">
        <f>(F6/1000)*H6</f>
        <v>280</v>
      </c>
      <c r="J6" s="6">
        <f>(E6*22)</f>
        <v>1100</v>
      </c>
      <c r="K6" s="5" t="s">
        <v>7</v>
      </c>
    </row>
    <row r="7" spans="3:14" x14ac:dyDescent="0.3">
      <c r="C7" s="35">
        <v>4</v>
      </c>
      <c r="D7" s="5" t="s">
        <v>522</v>
      </c>
      <c r="E7" s="11">
        <v>5</v>
      </c>
      <c r="F7" s="37">
        <v>440</v>
      </c>
      <c r="G7" s="8">
        <f>(F7/1000)*E7</f>
        <v>2.2000000000000002</v>
      </c>
      <c r="H7" s="6">
        <f>(E7*100)</f>
        <v>500</v>
      </c>
      <c r="I7" s="38">
        <f>(F7/1000)*H7</f>
        <v>220</v>
      </c>
      <c r="J7" s="6">
        <f>(E7*22)</f>
        <v>110</v>
      </c>
      <c r="K7" s="5" t="s">
        <v>7</v>
      </c>
    </row>
    <row r="8" spans="3:14" x14ac:dyDescent="0.3">
      <c r="C8" s="35"/>
      <c r="D8" s="5" t="s">
        <v>519</v>
      </c>
      <c r="E8" s="11">
        <v>5</v>
      </c>
      <c r="F8" s="37">
        <v>412</v>
      </c>
      <c r="G8" s="8">
        <f>(F8/1000)*E8</f>
        <v>2.06</v>
      </c>
      <c r="H8" s="6">
        <f>(E8*100)</f>
        <v>500</v>
      </c>
      <c r="I8" s="38">
        <f>(F8/1000)*H8</f>
        <v>206</v>
      </c>
      <c r="J8" s="6">
        <f>(E8*22)</f>
        <v>110</v>
      </c>
      <c r="K8" s="5"/>
    </row>
    <row r="9" spans="3:14" x14ac:dyDescent="0.3">
      <c r="C9" s="35">
        <v>3</v>
      </c>
      <c r="D9" s="5" t="s">
        <v>80</v>
      </c>
      <c r="E9" s="11">
        <v>917.5</v>
      </c>
      <c r="F9" s="37">
        <v>8</v>
      </c>
      <c r="G9" s="8">
        <f>(F9/1000)*E9</f>
        <v>7.34</v>
      </c>
      <c r="H9" s="6">
        <f>(E9*100)</f>
        <v>91750</v>
      </c>
      <c r="I9" s="38">
        <f>(F9/1000)*H9</f>
        <v>734</v>
      </c>
      <c r="J9" s="6">
        <f>(E9*22)</f>
        <v>20185</v>
      </c>
      <c r="K9" s="5" t="s">
        <v>7</v>
      </c>
    </row>
    <row r="10" spans="3:14" x14ac:dyDescent="0.3">
      <c r="G10" s="136">
        <f>SUM(G5:G9)</f>
        <v>16.950000000000003</v>
      </c>
    </row>
    <row r="14" spans="3:14" x14ac:dyDescent="0.3">
      <c r="N14">
        <f>45-17</f>
        <v>28</v>
      </c>
    </row>
  </sheetData>
  <mergeCells count="1">
    <mergeCell ref="D3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0B07-F342-49B8-BCB0-84BE41EA2D13}">
  <dimension ref="B4:J82"/>
  <sheetViews>
    <sheetView tabSelected="1" topLeftCell="A7" zoomScale="70" zoomScaleNormal="70" workbookViewId="0">
      <selection activeCell="O34" sqref="O34"/>
    </sheetView>
  </sheetViews>
  <sheetFormatPr baseColWidth="10" defaultRowHeight="14.4" x14ac:dyDescent="0.3"/>
  <cols>
    <col min="3" max="3" width="33" bestFit="1" customWidth="1"/>
    <col min="6" max="6" width="12.109375" bestFit="1" customWidth="1"/>
    <col min="10" max="10" width="20.5546875" customWidth="1"/>
  </cols>
  <sheetData>
    <row r="4" spans="2:10" ht="23.4" x14ac:dyDescent="0.45">
      <c r="C4" s="172" t="s">
        <v>336</v>
      </c>
      <c r="D4" s="173"/>
      <c r="E4" s="173"/>
      <c r="F4" s="173"/>
      <c r="G4" s="173"/>
      <c r="H4" s="173"/>
      <c r="I4" s="173"/>
      <c r="J4" s="174"/>
    </row>
    <row r="5" spans="2:10" ht="62.4" x14ac:dyDescent="0.3">
      <c r="B5" s="1">
        <v>1</v>
      </c>
      <c r="C5" s="36" t="s">
        <v>0</v>
      </c>
      <c r="D5" s="4" t="s">
        <v>316</v>
      </c>
      <c r="E5" s="4" t="s">
        <v>317</v>
      </c>
      <c r="F5" s="4" t="s">
        <v>2</v>
      </c>
      <c r="G5" s="4" t="s">
        <v>14</v>
      </c>
      <c r="H5" s="4" t="s">
        <v>278</v>
      </c>
      <c r="I5" s="4" t="s">
        <v>279</v>
      </c>
      <c r="J5" s="4" t="s">
        <v>76</v>
      </c>
    </row>
    <row r="6" spans="2:10" x14ac:dyDescent="0.3">
      <c r="B6" s="35">
        <v>1</v>
      </c>
      <c r="C6" s="5" t="s">
        <v>307</v>
      </c>
      <c r="D6" s="127">
        <v>2</v>
      </c>
      <c r="E6" s="127">
        <f t="shared" ref="E6:E15" si="0">(D6*10)</f>
        <v>20</v>
      </c>
      <c r="F6" s="37">
        <v>50</v>
      </c>
      <c r="G6" s="8">
        <f>(F6/1000)*E6</f>
        <v>1</v>
      </c>
      <c r="H6" s="6"/>
      <c r="I6" s="6"/>
      <c r="J6" s="6"/>
    </row>
    <row r="7" spans="2:10" x14ac:dyDescent="0.3">
      <c r="B7" s="35">
        <v>2</v>
      </c>
      <c r="C7" s="5" t="s">
        <v>308</v>
      </c>
      <c r="D7" s="127">
        <v>1.5</v>
      </c>
      <c r="E7" s="127">
        <f t="shared" si="0"/>
        <v>15</v>
      </c>
      <c r="F7" s="37">
        <v>16</v>
      </c>
      <c r="G7" s="8">
        <f t="shared" ref="G7:G15" si="1">(F7/1000)*E7</f>
        <v>0.24</v>
      </c>
      <c r="H7" s="6"/>
      <c r="I7" s="6"/>
      <c r="J7" s="6"/>
    </row>
    <row r="8" spans="2:10" x14ac:dyDescent="0.3">
      <c r="B8" s="35">
        <v>3</v>
      </c>
      <c r="C8" s="5" t="s">
        <v>309</v>
      </c>
      <c r="D8" s="127">
        <v>0.3</v>
      </c>
      <c r="E8" s="127">
        <f t="shared" si="0"/>
        <v>3</v>
      </c>
      <c r="F8" s="37">
        <v>20</v>
      </c>
      <c r="G8" s="8">
        <f t="shared" si="1"/>
        <v>0.06</v>
      </c>
      <c r="H8" s="6"/>
      <c r="I8" s="6"/>
      <c r="J8" s="6"/>
    </row>
    <row r="9" spans="2:10" x14ac:dyDescent="0.3">
      <c r="B9" s="35">
        <v>4</v>
      </c>
      <c r="C9" s="5" t="s">
        <v>310</v>
      </c>
      <c r="D9" s="127">
        <v>5</v>
      </c>
      <c r="E9" s="127">
        <f t="shared" si="0"/>
        <v>50</v>
      </c>
      <c r="F9" s="37">
        <v>8</v>
      </c>
      <c r="G9" s="8">
        <f t="shared" si="1"/>
        <v>0.4</v>
      </c>
      <c r="H9" s="6"/>
      <c r="I9" s="6"/>
      <c r="J9" s="6"/>
    </row>
    <row r="10" spans="2:10" x14ac:dyDescent="0.3">
      <c r="B10" s="35">
        <v>5</v>
      </c>
      <c r="C10" s="5" t="s">
        <v>311</v>
      </c>
      <c r="D10" s="127">
        <v>10</v>
      </c>
      <c r="E10" s="127">
        <f t="shared" si="0"/>
        <v>100</v>
      </c>
      <c r="F10" s="37">
        <v>7.5</v>
      </c>
      <c r="G10" s="8">
        <f t="shared" si="1"/>
        <v>0.75</v>
      </c>
      <c r="H10" s="6"/>
      <c r="I10" s="6"/>
      <c r="J10" s="6"/>
    </row>
    <row r="11" spans="2:10" x14ac:dyDescent="0.3">
      <c r="B11" s="35">
        <v>6</v>
      </c>
      <c r="C11" s="5" t="s">
        <v>312</v>
      </c>
      <c r="D11" s="127">
        <v>0.5</v>
      </c>
      <c r="E11" s="127">
        <f t="shared" si="0"/>
        <v>5</v>
      </c>
      <c r="F11" s="37">
        <v>53.2</v>
      </c>
      <c r="G11" s="8">
        <f t="shared" si="1"/>
        <v>0.26600000000000001</v>
      </c>
      <c r="H11" s="6"/>
      <c r="I11" s="6"/>
      <c r="J11" s="6"/>
    </row>
    <row r="12" spans="2:10" x14ac:dyDescent="0.3">
      <c r="B12" s="35">
        <v>7</v>
      </c>
      <c r="C12" s="5" t="s">
        <v>313</v>
      </c>
      <c r="D12" s="127">
        <v>0.3</v>
      </c>
      <c r="E12" s="127">
        <f t="shared" si="0"/>
        <v>3</v>
      </c>
      <c r="F12" s="37">
        <v>58</v>
      </c>
      <c r="G12" s="8">
        <f t="shared" si="1"/>
        <v>0.17400000000000002</v>
      </c>
      <c r="H12" s="6"/>
      <c r="I12" s="6"/>
      <c r="J12" s="6"/>
    </row>
    <row r="13" spans="2:10" x14ac:dyDescent="0.3">
      <c r="B13" s="35">
        <v>8</v>
      </c>
      <c r="C13" s="5" t="s">
        <v>267</v>
      </c>
      <c r="D13" s="127">
        <v>0.2</v>
      </c>
      <c r="E13" s="127">
        <f t="shared" si="0"/>
        <v>2</v>
      </c>
      <c r="F13" s="37">
        <v>106.2</v>
      </c>
      <c r="G13" s="8">
        <f t="shared" si="1"/>
        <v>0.21240000000000001</v>
      </c>
      <c r="H13" s="6"/>
      <c r="I13" s="6"/>
      <c r="J13" s="6"/>
    </row>
    <row r="14" spans="2:10" x14ac:dyDescent="0.3">
      <c r="B14" s="35">
        <v>9</v>
      </c>
      <c r="C14" s="5" t="s">
        <v>314</v>
      </c>
      <c r="D14" s="127">
        <v>0.5</v>
      </c>
      <c r="E14" s="127">
        <f t="shared" si="0"/>
        <v>5</v>
      </c>
      <c r="F14" s="37">
        <v>100</v>
      </c>
      <c r="G14" s="8">
        <f t="shared" si="1"/>
        <v>0.5</v>
      </c>
      <c r="H14" s="6"/>
      <c r="I14" s="6"/>
      <c r="J14" s="6"/>
    </row>
    <row r="15" spans="2:10" x14ac:dyDescent="0.3">
      <c r="B15" s="35">
        <v>10</v>
      </c>
      <c r="C15" s="5" t="s">
        <v>315</v>
      </c>
      <c r="D15" s="127">
        <v>79.7</v>
      </c>
      <c r="E15" s="127">
        <f t="shared" si="0"/>
        <v>797</v>
      </c>
      <c r="F15" s="37">
        <v>1.4</v>
      </c>
      <c r="G15" s="8">
        <f t="shared" si="1"/>
        <v>1.1157999999999999</v>
      </c>
      <c r="H15" s="6"/>
      <c r="I15" s="6"/>
      <c r="J15" s="6"/>
    </row>
    <row r="16" spans="2:10" x14ac:dyDescent="0.3">
      <c r="D16" s="13">
        <f>SUM(D6:D15)</f>
        <v>100</v>
      </c>
      <c r="E16" s="13">
        <f>SUM(E6:E15)</f>
        <v>1000</v>
      </c>
      <c r="F16" s="14"/>
      <c r="G16" s="15">
        <f>SUM(G6:G15)</f>
        <v>4.7182000000000004</v>
      </c>
      <c r="H16" s="13">
        <f>SUM(H6:H15)</f>
        <v>0</v>
      </c>
      <c r="I16" s="13">
        <f>SUM(I6:I15)</f>
        <v>0</v>
      </c>
      <c r="J16" s="84">
        <f>SUM(J6:J15)</f>
        <v>0</v>
      </c>
    </row>
    <row r="21" spans="2:10" ht="23.4" x14ac:dyDescent="0.45">
      <c r="C21" s="172" t="s">
        <v>328</v>
      </c>
      <c r="D21" s="173"/>
      <c r="E21" s="173"/>
      <c r="F21" s="173"/>
      <c r="G21" s="173"/>
      <c r="H21" s="173"/>
      <c r="I21" s="173"/>
      <c r="J21" s="174"/>
    </row>
    <row r="22" spans="2:10" ht="62.4" x14ac:dyDescent="0.3">
      <c r="B22" s="1">
        <v>2</v>
      </c>
      <c r="C22" s="36" t="s">
        <v>0</v>
      </c>
      <c r="D22" s="4" t="s">
        <v>316</v>
      </c>
      <c r="E22" s="4" t="s">
        <v>317</v>
      </c>
      <c r="F22" s="4" t="s">
        <v>2</v>
      </c>
      <c r="G22" s="4" t="s">
        <v>14</v>
      </c>
      <c r="H22" s="4" t="s">
        <v>278</v>
      </c>
      <c r="I22" s="4" t="s">
        <v>279</v>
      </c>
      <c r="J22" s="4" t="s">
        <v>76</v>
      </c>
    </row>
    <row r="23" spans="2:10" x14ac:dyDescent="0.3">
      <c r="B23" s="35">
        <v>1</v>
      </c>
      <c r="C23" s="5" t="s">
        <v>307</v>
      </c>
      <c r="D23" s="127">
        <v>1.5</v>
      </c>
      <c r="E23" s="127">
        <f t="shared" ref="E23:E33" si="2">(D23*10)</f>
        <v>15</v>
      </c>
      <c r="F23" s="37">
        <v>50</v>
      </c>
      <c r="G23" s="8">
        <f>(F23/1000)*E23</f>
        <v>0.75</v>
      </c>
      <c r="H23" s="6"/>
      <c r="I23" s="6"/>
      <c r="J23" s="6"/>
    </row>
    <row r="24" spans="2:10" x14ac:dyDescent="0.3">
      <c r="B24" s="35">
        <v>2</v>
      </c>
      <c r="C24" s="5" t="s">
        <v>308</v>
      </c>
      <c r="D24" s="127">
        <v>1.5</v>
      </c>
      <c r="E24" s="127">
        <f t="shared" si="2"/>
        <v>15</v>
      </c>
      <c r="F24" s="37">
        <v>16</v>
      </c>
      <c r="G24" s="8">
        <f t="shared" ref="G24:G33" si="3">(F24/1000)*E24</f>
        <v>0.24</v>
      </c>
      <c r="H24" s="6"/>
      <c r="I24" s="6"/>
      <c r="J24" s="6"/>
    </row>
    <row r="25" spans="2:10" x14ac:dyDescent="0.3">
      <c r="B25" s="35">
        <v>3</v>
      </c>
      <c r="C25" s="5" t="s">
        <v>309</v>
      </c>
      <c r="D25" s="127">
        <v>0.3</v>
      </c>
      <c r="E25" s="127">
        <f t="shared" si="2"/>
        <v>3</v>
      </c>
      <c r="F25" s="37">
        <v>20</v>
      </c>
      <c r="G25" s="8">
        <f t="shared" si="3"/>
        <v>0.06</v>
      </c>
      <c r="H25" s="6"/>
      <c r="I25" s="6"/>
      <c r="J25" s="6"/>
    </row>
    <row r="26" spans="2:10" x14ac:dyDescent="0.3">
      <c r="B26" s="35">
        <v>4</v>
      </c>
      <c r="C26" s="5" t="s">
        <v>312</v>
      </c>
      <c r="D26" s="127">
        <v>0.5</v>
      </c>
      <c r="E26" s="127">
        <f t="shared" si="2"/>
        <v>5</v>
      </c>
      <c r="F26" s="37">
        <v>53.2</v>
      </c>
      <c r="G26" s="8">
        <f t="shared" si="3"/>
        <v>0.26600000000000001</v>
      </c>
      <c r="H26" s="6"/>
      <c r="I26" s="6"/>
      <c r="J26" s="6"/>
    </row>
    <row r="27" spans="2:10" x14ac:dyDescent="0.3">
      <c r="B27" s="35">
        <v>5</v>
      </c>
      <c r="C27" s="5" t="s">
        <v>314</v>
      </c>
      <c r="D27" s="127">
        <v>0.5</v>
      </c>
      <c r="E27" s="127">
        <f t="shared" si="2"/>
        <v>5</v>
      </c>
      <c r="F27" s="37">
        <v>100</v>
      </c>
      <c r="G27" s="8">
        <f t="shared" si="3"/>
        <v>0.5</v>
      </c>
      <c r="H27" s="6"/>
      <c r="I27" s="6"/>
      <c r="J27" s="6"/>
    </row>
    <row r="28" spans="2:10" x14ac:dyDescent="0.3">
      <c r="B28" s="35">
        <v>6</v>
      </c>
      <c r="C28" s="5" t="s">
        <v>318</v>
      </c>
      <c r="D28" s="127">
        <v>0.5</v>
      </c>
      <c r="E28" s="127">
        <f t="shared" si="2"/>
        <v>5</v>
      </c>
      <c r="F28" s="37">
        <v>25</v>
      </c>
      <c r="G28" s="8">
        <f t="shared" si="3"/>
        <v>0.125</v>
      </c>
      <c r="H28" s="6"/>
      <c r="I28" s="6"/>
      <c r="J28" s="6"/>
    </row>
    <row r="29" spans="2:10" x14ac:dyDescent="0.3">
      <c r="B29" s="35">
        <v>7</v>
      </c>
      <c r="C29" s="5" t="s">
        <v>319</v>
      </c>
      <c r="D29" s="127">
        <v>0.3</v>
      </c>
      <c r="E29" s="127">
        <f t="shared" si="2"/>
        <v>3</v>
      </c>
      <c r="F29" s="37">
        <v>55</v>
      </c>
      <c r="G29" s="8">
        <f t="shared" si="3"/>
        <v>0.16500000000000001</v>
      </c>
      <c r="H29" s="6"/>
      <c r="I29" s="6"/>
      <c r="J29" s="6"/>
    </row>
    <row r="30" spans="2:10" x14ac:dyDescent="0.3">
      <c r="B30" s="35">
        <v>8</v>
      </c>
      <c r="C30" s="5" t="s">
        <v>315</v>
      </c>
      <c r="D30" s="127">
        <v>87.9</v>
      </c>
      <c r="E30" s="127">
        <f t="shared" si="2"/>
        <v>879</v>
      </c>
      <c r="F30" s="37">
        <v>1.4</v>
      </c>
      <c r="G30" s="8">
        <f t="shared" si="3"/>
        <v>1.2305999999999999</v>
      </c>
      <c r="H30" s="6"/>
      <c r="I30" s="6"/>
      <c r="J30" s="6"/>
    </row>
    <row r="31" spans="2:10" x14ac:dyDescent="0.3">
      <c r="B31" s="35">
        <v>9</v>
      </c>
      <c r="C31" s="5" t="s">
        <v>320</v>
      </c>
      <c r="D31" s="127">
        <v>3</v>
      </c>
      <c r="E31" s="127">
        <f t="shared" si="2"/>
        <v>30</v>
      </c>
      <c r="F31" s="37">
        <v>14</v>
      </c>
      <c r="G31" s="8">
        <f t="shared" si="3"/>
        <v>0.42</v>
      </c>
      <c r="H31" s="6"/>
      <c r="I31" s="6"/>
      <c r="J31" s="6"/>
    </row>
    <row r="32" spans="2:10" x14ac:dyDescent="0.3">
      <c r="B32" s="35">
        <v>10</v>
      </c>
      <c r="C32" s="5" t="s">
        <v>323</v>
      </c>
      <c r="D32" s="127">
        <v>2</v>
      </c>
      <c r="E32" s="127">
        <f t="shared" si="2"/>
        <v>20</v>
      </c>
      <c r="F32" s="37">
        <v>23</v>
      </c>
      <c r="G32" s="8">
        <f t="shared" si="3"/>
        <v>0.45999999999999996</v>
      </c>
      <c r="H32" s="6"/>
      <c r="I32" s="6"/>
      <c r="J32" s="6"/>
    </row>
    <row r="33" spans="2:10" x14ac:dyDescent="0.3">
      <c r="B33" s="35">
        <v>11</v>
      </c>
      <c r="C33" s="5" t="s">
        <v>322</v>
      </c>
      <c r="D33" s="127">
        <v>2</v>
      </c>
      <c r="E33" s="127">
        <f t="shared" si="2"/>
        <v>20</v>
      </c>
      <c r="F33" s="37">
        <v>7.3</v>
      </c>
      <c r="G33" s="8">
        <f t="shared" si="3"/>
        <v>0.14599999999999999</v>
      </c>
      <c r="H33" s="6"/>
      <c r="I33" s="6"/>
      <c r="J33" s="6"/>
    </row>
    <row r="34" spans="2:10" x14ac:dyDescent="0.3">
      <c r="D34" s="13">
        <f>SUM(D23:D33)</f>
        <v>100</v>
      </c>
      <c r="E34" s="13">
        <f>SUM(E23:E33)</f>
        <v>1000</v>
      </c>
      <c r="F34" s="14"/>
      <c r="G34" s="15">
        <f>SUM(G23:G33)</f>
        <v>4.3625999999999996</v>
      </c>
      <c r="H34" s="13">
        <f>SUM(H23:H33)</f>
        <v>0</v>
      </c>
      <c r="I34" s="13">
        <f>SUM(I23:I33)</f>
        <v>0</v>
      </c>
      <c r="J34" s="84">
        <f>SUM(J23:J33)</f>
        <v>0</v>
      </c>
    </row>
    <row r="39" spans="2:10" ht="23.4" x14ac:dyDescent="0.45">
      <c r="C39" s="172" t="s">
        <v>329</v>
      </c>
      <c r="D39" s="173"/>
      <c r="E39" s="173"/>
      <c r="F39" s="173"/>
      <c r="G39" s="173"/>
      <c r="H39" s="173"/>
      <c r="I39" s="173"/>
      <c r="J39" s="174"/>
    </row>
    <row r="40" spans="2:10" ht="62.4" x14ac:dyDescent="0.3">
      <c r="B40" s="1">
        <v>3</v>
      </c>
      <c r="C40" s="36" t="s">
        <v>0</v>
      </c>
      <c r="D40" s="4" t="s">
        <v>316</v>
      </c>
      <c r="E40" s="4" t="s">
        <v>317</v>
      </c>
      <c r="F40" s="4" t="s">
        <v>2</v>
      </c>
      <c r="G40" s="4" t="s">
        <v>14</v>
      </c>
      <c r="H40" s="4" t="s">
        <v>278</v>
      </c>
      <c r="I40" s="4" t="s">
        <v>279</v>
      </c>
      <c r="J40" s="4" t="s">
        <v>76</v>
      </c>
    </row>
    <row r="41" spans="2:10" x14ac:dyDescent="0.3">
      <c r="B41" s="35">
        <v>1</v>
      </c>
      <c r="C41" s="5" t="s">
        <v>307</v>
      </c>
      <c r="D41" s="127">
        <v>1.5</v>
      </c>
      <c r="E41" s="127">
        <f t="shared" ref="E41:E53" si="4">(D41*10)</f>
        <v>15</v>
      </c>
      <c r="F41" s="37">
        <v>50</v>
      </c>
      <c r="G41" s="8">
        <f>(F41/1000)*E41</f>
        <v>0.75</v>
      </c>
      <c r="H41" s="6"/>
      <c r="I41" s="6"/>
      <c r="J41" s="6"/>
    </row>
    <row r="42" spans="2:10" x14ac:dyDescent="0.3">
      <c r="B42" s="35">
        <v>2</v>
      </c>
      <c r="C42" s="5" t="s">
        <v>308</v>
      </c>
      <c r="D42" s="127">
        <v>1.5</v>
      </c>
      <c r="E42" s="127">
        <f t="shared" si="4"/>
        <v>15</v>
      </c>
      <c r="F42" s="37">
        <v>16</v>
      </c>
      <c r="G42" s="8">
        <f t="shared" ref="G42:G53" si="5">(F42/1000)*E42</f>
        <v>0.24</v>
      </c>
      <c r="H42" s="6"/>
      <c r="I42" s="6"/>
      <c r="J42" s="6"/>
    </row>
    <row r="43" spans="2:10" x14ac:dyDescent="0.3">
      <c r="B43" s="35">
        <v>3</v>
      </c>
      <c r="C43" s="5" t="s">
        <v>309</v>
      </c>
      <c r="D43" s="127">
        <v>0.3</v>
      </c>
      <c r="E43" s="127">
        <f t="shared" si="4"/>
        <v>3</v>
      </c>
      <c r="F43" s="37">
        <v>20</v>
      </c>
      <c r="G43" s="8">
        <f t="shared" si="5"/>
        <v>0.06</v>
      </c>
      <c r="H43" s="6"/>
      <c r="I43" s="6"/>
      <c r="J43" s="6"/>
    </row>
    <row r="44" spans="2:10" x14ac:dyDescent="0.3">
      <c r="B44" s="35">
        <v>4</v>
      </c>
      <c r="C44" s="5" t="s">
        <v>312</v>
      </c>
      <c r="D44" s="127">
        <v>0.5</v>
      </c>
      <c r="E44" s="127">
        <f t="shared" si="4"/>
        <v>5</v>
      </c>
      <c r="F44" s="37">
        <v>53.2</v>
      </c>
      <c r="G44" s="8">
        <f t="shared" si="5"/>
        <v>0.26600000000000001</v>
      </c>
      <c r="H44" s="6"/>
      <c r="I44" s="6"/>
      <c r="J44" s="6"/>
    </row>
    <row r="45" spans="2:10" x14ac:dyDescent="0.3">
      <c r="B45" s="35">
        <v>5</v>
      </c>
      <c r="C45" s="5" t="s">
        <v>314</v>
      </c>
      <c r="D45" s="127">
        <v>0.5</v>
      </c>
      <c r="E45" s="127">
        <f t="shared" si="4"/>
        <v>5</v>
      </c>
      <c r="F45" s="37">
        <v>100</v>
      </c>
      <c r="G45" s="8">
        <f t="shared" si="5"/>
        <v>0.5</v>
      </c>
      <c r="H45" s="6"/>
      <c r="I45" s="6"/>
      <c r="J45" s="6"/>
    </row>
    <row r="46" spans="2:10" x14ac:dyDescent="0.3">
      <c r="B46" s="35">
        <v>6</v>
      </c>
      <c r="C46" s="5" t="s">
        <v>318</v>
      </c>
      <c r="D46" s="127">
        <v>0.5</v>
      </c>
      <c r="E46" s="127">
        <f t="shared" si="4"/>
        <v>5</v>
      </c>
      <c r="F46" s="37">
        <v>25</v>
      </c>
      <c r="G46" s="8">
        <f t="shared" si="5"/>
        <v>0.125</v>
      </c>
      <c r="H46" s="6"/>
      <c r="I46" s="6"/>
      <c r="J46" s="6"/>
    </row>
    <row r="47" spans="2:10" x14ac:dyDescent="0.3">
      <c r="B47" s="35">
        <v>7</v>
      </c>
      <c r="C47" s="5" t="s">
        <v>319</v>
      </c>
      <c r="D47" s="127">
        <v>0.3</v>
      </c>
      <c r="E47" s="127">
        <f t="shared" si="4"/>
        <v>3</v>
      </c>
      <c r="F47" s="37">
        <v>55</v>
      </c>
      <c r="G47" s="8">
        <f t="shared" si="5"/>
        <v>0.16500000000000001</v>
      </c>
      <c r="H47" s="6"/>
      <c r="I47" s="6"/>
      <c r="J47" s="6"/>
    </row>
    <row r="48" spans="2:10" x14ac:dyDescent="0.3">
      <c r="B48" s="35">
        <v>8</v>
      </c>
      <c r="C48" s="5" t="s">
        <v>315</v>
      </c>
      <c r="D48" s="127">
        <v>85.4</v>
      </c>
      <c r="E48" s="127">
        <f t="shared" si="4"/>
        <v>854</v>
      </c>
      <c r="F48" s="37">
        <v>1.4</v>
      </c>
      <c r="G48" s="8">
        <f t="shared" si="5"/>
        <v>1.1956</v>
      </c>
      <c r="H48" s="6"/>
      <c r="I48" s="6"/>
      <c r="J48" s="6"/>
    </row>
    <row r="49" spans="2:10" x14ac:dyDescent="0.3">
      <c r="B49" s="35">
        <v>9</v>
      </c>
      <c r="C49" s="5" t="s">
        <v>320</v>
      </c>
      <c r="D49" s="127">
        <v>3</v>
      </c>
      <c r="E49" s="127">
        <f t="shared" si="4"/>
        <v>30</v>
      </c>
      <c r="F49" s="37">
        <v>14</v>
      </c>
      <c r="G49" s="8">
        <f t="shared" si="5"/>
        <v>0.42</v>
      </c>
      <c r="H49" s="6"/>
      <c r="I49" s="6"/>
      <c r="J49" s="6"/>
    </row>
    <row r="50" spans="2:10" x14ac:dyDescent="0.3">
      <c r="B50" s="35">
        <v>10</v>
      </c>
      <c r="C50" s="5" t="s">
        <v>323</v>
      </c>
      <c r="D50" s="127">
        <v>2</v>
      </c>
      <c r="E50" s="127">
        <f t="shared" si="4"/>
        <v>20</v>
      </c>
      <c r="F50" s="37">
        <v>23</v>
      </c>
      <c r="G50" s="8">
        <f t="shared" si="5"/>
        <v>0.45999999999999996</v>
      </c>
      <c r="H50" s="6"/>
      <c r="I50" s="6"/>
      <c r="J50" s="6"/>
    </row>
    <row r="51" spans="2:10" x14ac:dyDescent="0.3">
      <c r="B51" s="35">
        <v>11</v>
      </c>
      <c r="C51" s="5" t="s">
        <v>322</v>
      </c>
      <c r="D51" s="127">
        <v>1</v>
      </c>
      <c r="E51" s="127">
        <f t="shared" si="4"/>
        <v>10</v>
      </c>
      <c r="F51" s="37">
        <v>7.3</v>
      </c>
      <c r="G51" s="8">
        <f t="shared" si="5"/>
        <v>7.2999999999999995E-2</v>
      </c>
      <c r="H51" s="6"/>
      <c r="I51" s="6"/>
      <c r="J51" s="6"/>
    </row>
    <row r="52" spans="2:10" x14ac:dyDescent="0.3">
      <c r="B52" s="35">
        <v>12</v>
      </c>
      <c r="C52" s="5" t="s">
        <v>321</v>
      </c>
      <c r="D52" s="127">
        <v>1</v>
      </c>
      <c r="E52" s="127">
        <f t="shared" si="4"/>
        <v>10</v>
      </c>
      <c r="F52" s="37">
        <v>326.3</v>
      </c>
      <c r="G52" s="8">
        <f t="shared" si="5"/>
        <v>3.2630000000000003</v>
      </c>
      <c r="H52" s="6"/>
      <c r="I52" s="6"/>
      <c r="J52" s="6"/>
    </row>
    <row r="53" spans="2:10" x14ac:dyDescent="0.3">
      <c r="B53" s="35">
        <v>13</v>
      </c>
      <c r="C53" s="5" t="s">
        <v>324</v>
      </c>
      <c r="D53" s="127">
        <v>2.5</v>
      </c>
      <c r="E53" s="127">
        <f t="shared" si="4"/>
        <v>25</v>
      </c>
      <c r="F53" s="37">
        <v>140</v>
      </c>
      <c r="G53" s="8">
        <f t="shared" si="5"/>
        <v>3.5000000000000004</v>
      </c>
      <c r="H53" s="6"/>
      <c r="I53" s="6"/>
      <c r="J53" s="6"/>
    </row>
    <row r="54" spans="2:10" x14ac:dyDescent="0.3">
      <c r="D54" s="13">
        <f>SUM(D41:D53)</f>
        <v>100</v>
      </c>
      <c r="E54" s="13">
        <f>SUM(E41:E53)</f>
        <v>1000</v>
      </c>
      <c r="F54" s="14"/>
      <c r="G54" s="15">
        <f>SUM(G41:G53)</f>
        <v>11.0176</v>
      </c>
      <c r="H54" s="13">
        <f>SUM(H41:H51)</f>
        <v>0</v>
      </c>
      <c r="I54" s="13">
        <f>SUM(I41:I51)</f>
        <v>0</v>
      </c>
      <c r="J54" s="84">
        <f>SUM(J41:J51)</f>
        <v>0</v>
      </c>
    </row>
    <row r="59" spans="2:10" ht="23.4" x14ac:dyDescent="0.45">
      <c r="C59" s="172" t="s">
        <v>335</v>
      </c>
      <c r="D59" s="173"/>
      <c r="E59" s="173"/>
      <c r="F59" s="173"/>
      <c r="G59" s="173"/>
      <c r="H59" s="173"/>
      <c r="I59" s="173"/>
      <c r="J59" s="174"/>
    </row>
    <row r="60" spans="2:10" ht="62.4" x14ac:dyDescent="0.3">
      <c r="B60" s="1">
        <v>4</v>
      </c>
      <c r="C60" s="36" t="s">
        <v>0</v>
      </c>
      <c r="D60" s="4" t="s">
        <v>316</v>
      </c>
      <c r="E60" s="4" t="s">
        <v>317</v>
      </c>
      <c r="F60" s="4" t="s">
        <v>2</v>
      </c>
      <c r="G60" s="4" t="s">
        <v>14</v>
      </c>
      <c r="H60" s="4" t="s">
        <v>278</v>
      </c>
      <c r="I60" s="4" t="s">
        <v>279</v>
      </c>
      <c r="J60" s="4" t="s">
        <v>76</v>
      </c>
    </row>
    <row r="61" spans="2:10" x14ac:dyDescent="0.3">
      <c r="B61" s="35">
        <v>1</v>
      </c>
      <c r="C61" s="5" t="s">
        <v>325</v>
      </c>
      <c r="D61" s="127">
        <v>89</v>
      </c>
      <c r="E61" s="127">
        <f>(D61*10)</f>
        <v>890</v>
      </c>
      <c r="F61" s="37">
        <v>50</v>
      </c>
      <c r="G61" s="8">
        <f>(F61/1000)*E61</f>
        <v>44.5</v>
      </c>
      <c r="H61" s="6"/>
      <c r="I61" s="6"/>
      <c r="J61" s="6"/>
    </row>
    <row r="62" spans="2:10" x14ac:dyDescent="0.3">
      <c r="B62" s="35">
        <v>2</v>
      </c>
      <c r="C62" s="5" t="s">
        <v>314</v>
      </c>
      <c r="D62" s="127">
        <v>1</v>
      </c>
      <c r="E62" s="127">
        <f>(D62*10)</f>
        <v>10</v>
      </c>
      <c r="F62" s="37">
        <v>100</v>
      </c>
      <c r="G62" s="8">
        <f>(F62/1000)*E62</f>
        <v>1</v>
      </c>
      <c r="H62" s="6"/>
      <c r="I62" s="6"/>
      <c r="J62" s="6"/>
    </row>
    <row r="63" spans="2:10" x14ac:dyDescent="0.3">
      <c r="B63" s="35">
        <v>3</v>
      </c>
      <c r="C63" s="5" t="s">
        <v>326</v>
      </c>
      <c r="D63" s="127">
        <v>5</v>
      </c>
      <c r="E63" s="127">
        <f>(D63*10)</f>
        <v>50</v>
      </c>
      <c r="F63" s="37">
        <v>354</v>
      </c>
      <c r="G63" s="8">
        <f>(F63/1000)*E63</f>
        <v>17.7</v>
      </c>
      <c r="H63" s="6"/>
      <c r="I63" s="6"/>
      <c r="J63" s="6"/>
    </row>
    <row r="64" spans="2:10" x14ac:dyDescent="0.3">
      <c r="B64" s="35">
        <v>4</v>
      </c>
      <c r="C64" s="5" t="s">
        <v>327</v>
      </c>
      <c r="D64" s="127">
        <v>1</v>
      </c>
      <c r="E64" s="127">
        <f>(D64*10)</f>
        <v>10</v>
      </c>
      <c r="F64" s="37">
        <v>53.2</v>
      </c>
      <c r="G64" s="8">
        <f>(F64/1000)*E64</f>
        <v>0.53200000000000003</v>
      </c>
      <c r="H64" s="6"/>
      <c r="I64" s="6"/>
      <c r="J64" s="6"/>
    </row>
    <row r="65" spans="2:10" x14ac:dyDescent="0.3">
      <c r="D65" s="13">
        <f>SUM(D61:D64)</f>
        <v>96</v>
      </c>
      <c r="E65" s="13">
        <f>SUM(E61:E64)</f>
        <v>960</v>
      </c>
      <c r="F65" s="14"/>
      <c r="G65" s="15">
        <f>SUM(G61:G64)</f>
        <v>63.731999999999999</v>
      </c>
      <c r="H65" s="13">
        <f>SUM(H61:H64)</f>
        <v>0</v>
      </c>
      <c r="I65" s="13">
        <f>SUM(I61:I64)</f>
        <v>0</v>
      </c>
      <c r="J65" s="84">
        <f>SUM(J61:J64)</f>
        <v>0</v>
      </c>
    </row>
    <row r="70" spans="2:10" ht="23.4" x14ac:dyDescent="0.45">
      <c r="C70" s="172" t="s">
        <v>330</v>
      </c>
      <c r="D70" s="173"/>
      <c r="E70" s="173"/>
      <c r="F70" s="173"/>
      <c r="G70" s="173"/>
      <c r="H70" s="173"/>
      <c r="I70" s="173"/>
      <c r="J70" s="174"/>
    </row>
    <row r="71" spans="2:10" ht="62.4" x14ac:dyDescent="0.3">
      <c r="B71" s="1">
        <v>5</v>
      </c>
      <c r="C71" s="36" t="s">
        <v>0</v>
      </c>
      <c r="D71" s="4" t="s">
        <v>316</v>
      </c>
      <c r="E71" s="4" t="s">
        <v>317</v>
      </c>
      <c r="F71" s="4" t="s">
        <v>2</v>
      </c>
      <c r="G71" s="4" t="s">
        <v>14</v>
      </c>
      <c r="H71" s="4" t="s">
        <v>278</v>
      </c>
      <c r="I71" s="4" t="s">
        <v>279</v>
      </c>
      <c r="J71" s="4" t="s">
        <v>76</v>
      </c>
    </row>
    <row r="72" spans="2:10" x14ac:dyDescent="0.3">
      <c r="B72" s="35">
        <v>1</v>
      </c>
      <c r="C72" s="5" t="s">
        <v>307</v>
      </c>
      <c r="D72" s="127">
        <v>1.5</v>
      </c>
      <c r="E72" s="127">
        <f t="shared" ref="E72:E81" si="6">(D72*10)</f>
        <v>15</v>
      </c>
      <c r="F72" s="37">
        <v>50</v>
      </c>
      <c r="G72" s="8">
        <f>(F72/1000)*E72</f>
        <v>0.75</v>
      </c>
      <c r="H72" s="6"/>
      <c r="I72" s="6"/>
      <c r="J72" s="6"/>
    </row>
    <row r="73" spans="2:10" x14ac:dyDescent="0.3">
      <c r="B73" s="35">
        <v>2</v>
      </c>
      <c r="C73" s="5" t="s">
        <v>309</v>
      </c>
      <c r="D73" s="127">
        <v>0.3</v>
      </c>
      <c r="E73" s="127">
        <f t="shared" si="6"/>
        <v>3</v>
      </c>
      <c r="F73" s="37">
        <v>20</v>
      </c>
      <c r="G73" s="8">
        <f t="shared" ref="G73:G81" si="7">(F73/1000)*E73</f>
        <v>0.06</v>
      </c>
      <c r="H73" s="6"/>
      <c r="I73" s="6"/>
      <c r="J73" s="6"/>
    </row>
    <row r="74" spans="2:10" x14ac:dyDescent="0.3">
      <c r="B74" s="35">
        <v>3</v>
      </c>
      <c r="C74" s="5" t="s">
        <v>314</v>
      </c>
      <c r="D74" s="127">
        <v>0.5</v>
      </c>
      <c r="E74" s="127">
        <f t="shared" si="6"/>
        <v>5</v>
      </c>
      <c r="F74" s="37">
        <v>100</v>
      </c>
      <c r="G74" s="8">
        <f t="shared" si="7"/>
        <v>0.5</v>
      </c>
      <c r="H74" s="6"/>
      <c r="I74" s="6"/>
      <c r="J74" s="6"/>
    </row>
    <row r="75" spans="2:10" x14ac:dyDescent="0.3">
      <c r="B75" s="35">
        <v>4</v>
      </c>
      <c r="C75" s="5" t="s">
        <v>318</v>
      </c>
      <c r="D75" s="127">
        <v>0.5</v>
      </c>
      <c r="E75" s="127">
        <f t="shared" si="6"/>
        <v>5</v>
      </c>
      <c r="F75" s="37">
        <v>25</v>
      </c>
      <c r="G75" s="8">
        <f t="shared" si="7"/>
        <v>0.125</v>
      </c>
      <c r="H75" s="6"/>
      <c r="I75" s="6"/>
      <c r="J75" s="6"/>
    </row>
    <row r="76" spans="2:10" x14ac:dyDescent="0.3">
      <c r="B76" s="35">
        <v>5</v>
      </c>
      <c r="C76" s="5" t="s">
        <v>319</v>
      </c>
      <c r="D76" s="127">
        <v>0.3</v>
      </c>
      <c r="E76" s="127">
        <f t="shared" si="6"/>
        <v>3</v>
      </c>
      <c r="F76" s="37">
        <v>55</v>
      </c>
      <c r="G76" s="8">
        <f t="shared" si="7"/>
        <v>0.16500000000000001</v>
      </c>
      <c r="H76" s="6"/>
      <c r="I76" s="6"/>
      <c r="J76" s="6"/>
    </row>
    <row r="77" spans="2:10" x14ac:dyDescent="0.3">
      <c r="B77" s="35">
        <v>6</v>
      </c>
      <c r="C77" s="5" t="s">
        <v>315</v>
      </c>
      <c r="D77" s="127">
        <v>86.9</v>
      </c>
      <c r="E77" s="127">
        <f t="shared" si="6"/>
        <v>869</v>
      </c>
      <c r="F77" s="37">
        <v>1.4</v>
      </c>
      <c r="G77" s="8">
        <f t="shared" si="7"/>
        <v>1.2165999999999999</v>
      </c>
      <c r="H77" s="6"/>
      <c r="I77" s="6"/>
      <c r="J77" s="6"/>
    </row>
    <row r="78" spans="2:10" x14ac:dyDescent="0.3">
      <c r="B78" s="35">
        <v>7</v>
      </c>
      <c r="C78" s="5" t="s">
        <v>331</v>
      </c>
      <c r="D78" s="127">
        <v>5</v>
      </c>
      <c r="E78" s="127">
        <f t="shared" si="6"/>
        <v>50</v>
      </c>
      <c r="F78" s="37">
        <v>147</v>
      </c>
      <c r="G78" s="8">
        <f t="shared" si="7"/>
        <v>7.35</v>
      </c>
      <c r="H78" s="6"/>
      <c r="I78" s="6"/>
      <c r="J78" s="6"/>
    </row>
    <row r="79" spans="2:10" x14ac:dyDescent="0.3">
      <c r="B79" s="35">
        <v>8</v>
      </c>
      <c r="C79" s="5" t="s">
        <v>332</v>
      </c>
      <c r="D79" s="127">
        <v>1</v>
      </c>
      <c r="E79" s="127">
        <f t="shared" si="6"/>
        <v>10</v>
      </c>
      <c r="F79" s="37">
        <v>209.6</v>
      </c>
      <c r="G79" s="8">
        <f t="shared" si="7"/>
        <v>2.0959999999999996</v>
      </c>
      <c r="H79" s="6"/>
      <c r="I79" s="6"/>
      <c r="J79" s="6"/>
    </row>
    <row r="80" spans="2:10" x14ac:dyDescent="0.3">
      <c r="B80" s="35">
        <v>9</v>
      </c>
      <c r="C80" s="5" t="s">
        <v>333</v>
      </c>
      <c r="D80" s="127">
        <v>2</v>
      </c>
      <c r="E80" s="127">
        <f t="shared" si="6"/>
        <v>20</v>
      </c>
      <c r="F80" s="37">
        <v>152</v>
      </c>
      <c r="G80" s="8">
        <f t="shared" si="7"/>
        <v>3.04</v>
      </c>
      <c r="H80" s="6"/>
      <c r="I80" s="6"/>
      <c r="J80" s="6"/>
    </row>
    <row r="81" spans="2:10" x14ac:dyDescent="0.3">
      <c r="B81" s="35">
        <v>10</v>
      </c>
      <c r="C81" s="5" t="s">
        <v>334</v>
      </c>
      <c r="D81" s="127">
        <v>2</v>
      </c>
      <c r="E81" s="127">
        <f t="shared" si="6"/>
        <v>20</v>
      </c>
      <c r="F81" s="37">
        <v>10</v>
      </c>
      <c r="G81" s="8">
        <f t="shared" si="7"/>
        <v>0.2</v>
      </c>
      <c r="H81" s="6"/>
      <c r="I81" s="6"/>
      <c r="J81" s="6"/>
    </row>
    <row r="82" spans="2:10" x14ac:dyDescent="0.3">
      <c r="D82" s="13">
        <f>SUM(D72:D81)</f>
        <v>100</v>
      </c>
      <c r="E82" s="13">
        <f>SUM(E72:E81)</f>
        <v>1000</v>
      </c>
      <c r="F82" s="14"/>
      <c r="G82" s="15">
        <f>SUM(G72:G81)</f>
        <v>15.502599999999997</v>
      </c>
      <c r="H82" s="13">
        <f>SUM(H72:H80)</f>
        <v>0</v>
      </c>
      <c r="I82" s="13">
        <f>SUM(I72:I80)</f>
        <v>0</v>
      </c>
      <c r="J82" s="84">
        <f>SUM(J72:J80)</f>
        <v>0</v>
      </c>
    </row>
  </sheetData>
  <mergeCells count="5">
    <mergeCell ref="C4:J4"/>
    <mergeCell ref="C21:J21"/>
    <mergeCell ref="C39:J39"/>
    <mergeCell ref="C59:J59"/>
    <mergeCell ref="C70:J7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CB2C-283E-42C1-830B-198DD403FBB6}">
  <dimension ref="C3:L207"/>
  <sheetViews>
    <sheetView topLeftCell="B122" zoomScale="89" zoomScaleNormal="89" workbookViewId="0">
      <selection activeCell="E187" sqref="E187"/>
    </sheetView>
  </sheetViews>
  <sheetFormatPr baseColWidth="10" defaultRowHeight="14.4" x14ac:dyDescent="0.3"/>
  <cols>
    <col min="5" max="5" width="24.6640625" bestFit="1" customWidth="1"/>
    <col min="6" max="6" width="11.109375" bestFit="1" customWidth="1"/>
    <col min="7" max="7" width="12.33203125" bestFit="1" customWidth="1"/>
    <col min="8" max="8" width="13.33203125" bestFit="1" customWidth="1"/>
    <col min="9" max="9" width="12.5546875" customWidth="1"/>
    <col min="10" max="10" width="13.33203125" bestFit="1" customWidth="1"/>
  </cols>
  <sheetData>
    <row r="3" spans="4:10" ht="23.4" x14ac:dyDescent="0.45">
      <c r="E3" s="172" t="s">
        <v>526</v>
      </c>
      <c r="F3" s="173"/>
      <c r="G3" s="173"/>
      <c r="H3" s="173"/>
      <c r="I3" s="173"/>
      <c r="J3" s="173"/>
    </row>
    <row r="4" spans="4:10" ht="62.4" x14ac:dyDescent="0.3">
      <c r="D4" s="1">
        <v>3</v>
      </c>
      <c r="E4" s="2" t="s">
        <v>0</v>
      </c>
      <c r="F4" s="3" t="s">
        <v>1</v>
      </c>
      <c r="G4" s="3" t="s">
        <v>2</v>
      </c>
      <c r="H4" s="3" t="s">
        <v>24</v>
      </c>
      <c r="I4" s="3" t="s">
        <v>235</v>
      </c>
      <c r="J4" s="3" t="s">
        <v>25</v>
      </c>
    </row>
    <row r="5" spans="4:10" x14ac:dyDescent="0.3">
      <c r="D5" s="31">
        <v>1</v>
      </c>
      <c r="E5" s="29" t="s">
        <v>527</v>
      </c>
      <c r="F5" s="6">
        <v>20</v>
      </c>
      <c r="G5" s="7">
        <v>10</v>
      </c>
      <c r="H5" s="7">
        <f>(G5/1000)*F5</f>
        <v>0.2</v>
      </c>
      <c r="I5" s="6">
        <f t="shared" ref="I5:I15" si="0">(F5*5)</f>
        <v>100</v>
      </c>
      <c r="J5" s="12">
        <f t="shared" ref="J5:J15" si="1">(G5/1000)*I5</f>
        <v>1</v>
      </c>
    </row>
    <row r="6" spans="4:10" x14ac:dyDescent="0.3">
      <c r="D6" s="31">
        <v>2</v>
      </c>
      <c r="E6" s="29" t="s">
        <v>379</v>
      </c>
      <c r="F6" s="6">
        <v>20</v>
      </c>
      <c r="G6" s="7">
        <v>45</v>
      </c>
      <c r="H6" s="7">
        <f t="shared" ref="H6:H15" si="2">(G6/1000)*F6</f>
        <v>0.89999999999999991</v>
      </c>
      <c r="I6" s="6">
        <f t="shared" si="0"/>
        <v>100</v>
      </c>
      <c r="J6" s="12">
        <f t="shared" si="1"/>
        <v>4.5</v>
      </c>
    </row>
    <row r="7" spans="4:10" x14ac:dyDescent="0.3">
      <c r="D7" s="31">
        <v>3</v>
      </c>
      <c r="E7" s="29" t="s">
        <v>528</v>
      </c>
      <c r="F7" s="11">
        <v>20</v>
      </c>
      <c r="G7" s="7">
        <v>15</v>
      </c>
      <c r="H7" s="7">
        <f t="shared" si="2"/>
        <v>0.3</v>
      </c>
      <c r="I7" s="6">
        <f t="shared" si="0"/>
        <v>100</v>
      </c>
      <c r="J7" s="12">
        <f t="shared" si="1"/>
        <v>1.5</v>
      </c>
    </row>
    <row r="8" spans="4:10" x14ac:dyDescent="0.3">
      <c r="D8" s="31">
        <v>4</v>
      </c>
      <c r="E8" s="29" t="s">
        <v>529</v>
      </c>
      <c r="F8" s="6">
        <v>40</v>
      </c>
      <c r="G8" s="7">
        <v>8</v>
      </c>
      <c r="H8" s="7">
        <f t="shared" si="2"/>
        <v>0.32</v>
      </c>
      <c r="I8" s="6">
        <f t="shared" si="0"/>
        <v>200</v>
      </c>
      <c r="J8" s="12">
        <f t="shared" si="1"/>
        <v>1.6</v>
      </c>
    </row>
    <row r="9" spans="4:10" x14ac:dyDescent="0.3">
      <c r="D9" s="28">
        <v>5</v>
      </c>
      <c r="E9" s="24" t="s">
        <v>9</v>
      </c>
      <c r="F9" s="6">
        <v>10</v>
      </c>
      <c r="G9" s="7">
        <v>20</v>
      </c>
      <c r="H9" s="7">
        <f t="shared" si="2"/>
        <v>0.2</v>
      </c>
      <c r="I9" s="6">
        <f t="shared" si="0"/>
        <v>50</v>
      </c>
      <c r="J9" s="12">
        <f t="shared" si="1"/>
        <v>1</v>
      </c>
    </row>
    <row r="10" spans="4:10" x14ac:dyDescent="0.3">
      <c r="D10" s="186"/>
      <c r="E10" s="29" t="s">
        <v>530</v>
      </c>
      <c r="F10" s="6">
        <v>10</v>
      </c>
      <c r="G10" s="7">
        <v>8</v>
      </c>
      <c r="H10" s="7">
        <f t="shared" si="2"/>
        <v>0.08</v>
      </c>
      <c r="I10" s="6">
        <f t="shared" si="0"/>
        <v>50</v>
      </c>
      <c r="J10" s="12">
        <f t="shared" si="1"/>
        <v>0.4</v>
      </c>
    </row>
    <row r="11" spans="4:10" x14ac:dyDescent="0.3">
      <c r="D11" s="187"/>
      <c r="E11" s="29" t="s">
        <v>72</v>
      </c>
      <c r="F11" s="148">
        <v>1.5</v>
      </c>
      <c r="G11" s="7">
        <v>25</v>
      </c>
      <c r="H11" s="7">
        <f t="shared" si="2"/>
        <v>3.7500000000000006E-2</v>
      </c>
      <c r="I11" s="6">
        <f t="shared" si="0"/>
        <v>7.5</v>
      </c>
      <c r="J11" s="12">
        <f t="shared" si="1"/>
        <v>0.1875</v>
      </c>
    </row>
    <row r="12" spans="4:10" x14ac:dyDescent="0.3">
      <c r="D12" s="187"/>
      <c r="E12" s="29" t="s">
        <v>28</v>
      </c>
      <c r="F12" s="25">
        <v>1</v>
      </c>
      <c r="G12" s="7">
        <v>45</v>
      </c>
      <c r="H12" s="7">
        <f t="shared" si="2"/>
        <v>4.4999999999999998E-2</v>
      </c>
      <c r="I12" s="6">
        <f t="shared" si="0"/>
        <v>5</v>
      </c>
      <c r="J12" s="12">
        <f t="shared" si="1"/>
        <v>0.22499999999999998</v>
      </c>
    </row>
    <row r="13" spans="4:10" x14ac:dyDescent="0.3">
      <c r="D13" s="187"/>
      <c r="E13" s="29" t="s">
        <v>231</v>
      </c>
      <c r="F13" s="25">
        <v>0.5</v>
      </c>
      <c r="G13" s="7">
        <v>60</v>
      </c>
      <c r="H13" s="7">
        <f>(G13/1000)*F13</f>
        <v>0.03</v>
      </c>
      <c r="I13" s="6">
        <f t="shared" si="0"/>
        <v>2.5</v>
      </c>
      <c r="J13" s="12">
        <f t="shared" si="1"/>
        <v>0.15</v>
      </c>
    </row>
    <row r="14" spans="4:10" x14ac:dyDescent="0.3">
      <c r="D14" s="188"/>
      <c r="E14" s="24" t="s">
        <v>36</v>
      </c>
      <c r="F14" s="26">
        <v>0.02</v>
      </c>
      <c r="G14" s="7">
        <v>60</v>
      </c>
      <c r="H14" s="7">
        <f t="shared" si="2"/>
        <v>1.1999999999999999E-3</v>
      </c>
      <c r="I14" s="6">
        <f t="shared" si="0"/>
        <v>0.1</v>
      </c>
      <c r="J14" s="12">
        <f t="shared" si="1"/>
        <v>6.0000000000000001E-3</v>
      </c>
    </row>
    <row r="15" spans="4:10" x14ac:dyDescent="0.3">
      <c r="E15" s="24" t="s">
        <v>173</v>
      </c>
      <c r="F15" s="26">
        <v>877</v>
      </c>
      <c r="G15" s="7">
        <v>0.6</v>
      </c>
      <c r="H15" s="7">
        <f t="shared" si="2"/>
        <v>0.5262</v>
      </c>
      <c r="I15" s="6">
        <f t="shared" si="0"/>
        <v>4385</v>
      </c>
      <c r="J15" s="12">
        <f t="shared" si="1"/>
        <v>2.6309999999999998</v>
      </c>
    </row>
    <row r="16" spans="4:10" x14ac:dyDescent="0.3">
      <c r="E16" s="27"/>
      <c r="F16" s="19">
        <f>SUM(F5:F15)</f>
        <v>1000.02</v>
      </c>
      <c r="G16" s="20"/>
      <c r="H16" s="21">
        <f>SUM(H5:H15)</f>
        <v>2.6398999999999999</v>
      </c>
      <c r="I16" s="19">
        <f>SUM(I5:I15)</f>
        <v>5000.1000000000004</v>
      </c>
      <c r="J16" s="22">
        <f>SUM(J5:J15)</f>
        <v>13.1995</v>
      </c>
    </row>
    <row r="19" spans="4:10" ht="23.4" x14ac:dyDescent="0.45">
      <c r="E19" s="172" t="s">
        <v>531</v>
      </c>
      <c r="F19" s="173"/>
      <c r="G19" s="173"/>
      <c r="H19" s="173"/>
      <c r="I19" s="173"/>
      <c r="J19" s="173"/>
    </row>
    <row r="20" spans="4:10" ht="62.4" x14ac:dyDescent="0.3">
      <c r="D20" s="1">
        <v>3</v>
      </c>
      <c r="E20" s="2" t="s">
        <v>0</v>
      </c>
      <c r="F20" s="3" t="s">
        <v>1</v>
      </c>
      <c r="G20" s="3" t="s">
        <v>2</v>
      </c>
      <c r="H20" s="3" t="s">
        <v>24</v>
      </c>
      <c r="I20" s="3" t="s">
        <v>235</v>
      </c>
      <c r="J20" s="3" t="s">
        <v>25</v>
      </c>
    </row>
    <row r="21" spans="4:10" x14ac:dyDescent="0.3">
      <c r="D21" s="31">
        <v>1</v>
      </c>
      <c r="E21" s="29" t="s">
        <v>372</v>
      </c>
      <c r="F21" s="6">
        <v>35</v>
      </c>
      <c r="G21" s="7">
        <v>20</v>
      </c>
      <c r="H21" s="7">
        <f t="shared" ref="H21:H29" si="3">(G21/1000)*F21</f>
        <v>0.70000000000000007</v>
      </c>
      <c r="I21" s="6">
        <f>(F21*5)</f>
        <v>175</v>
      </c>
      <c r="J21" s="12">
        <f>(G21/1000)*I21</f>
        <v>3.5</v>
      </c>
    </row>
    <row r="22" spans="4:10" x14ac:dyDescent="0.3">
      <c r="D22" s="31">
        <v>2</v>
      </c>
      <c r="E22" s="29" t="s">
        <v>59</v>
      </c>
      <c r="F22" s="6">
        <v>200</v>
      </c>
      <c r="G22" s="7">
        <v>8</v>
      </c>
      <c r="H22" s="7">
        <f t="shared" si="3"/>
        <v>1.6</v>
      </c>
      <c r="I22" s="6">
        <f t="shared" ref="I22:I29" si="4">(F22*5)</f>
        <v>1000</v>
      </c>
      <c r="J22" s="12">
        <f>(G22/1000)*I22</f>
        <v>8</v>
      </c>
    </row>
    <row r="23" spans="4:10" x14ac:dyDescent="0.3">
      <c r="D23" s="31">
        <v>3</v>
      </c>
      <c r="E23" s="29" t="s">
        <v>187</v>
      </c>
      <c r="F23" s="11">
        <v>3</v>
      </c>
      <c r="G23" s="7">
        <v>35</v>
      </c>
      <c r="H23" s="7">
        <f t="shared" si="3"/>
        <v>0.10500000000000001</v>
      </c>
      <c r="I23" s="6">
        <f t="shared" si="4"/>
        <v>15</v>
      </c>
      <c r="J23" s="12">
        <f t="shared" ref="J23:J29" si="5">(G23/1000)*I23</f>
        <v>0.52500000000000002</v>
      </c>
    </row>
    <row r="24" spans="4:10" x14ac:dyDescent="0.3">
      <c r="D24" s="31">
        <v>4</v>
      </c>
      <c r="E24" s="29" t="s">
        <v>168</v>
      </c>
      <c r="F24" s="11">
        <v>0.7</v>
      </c>
      <c r="G24" s="7">
        <v>8</v>
      </c>
      <c r="H24" s="7">
        <f t="shared" si="3"/>
        <v>5.5999999999999999E-3</v>
      </c>
      <c r="I24" s="6">
        <f t="shared" si="4"/>
        <v>3.5</v>
      </c>
      <c r="J24" s="12">
        <f t="shared" si="5"/>
        <v>2.8000000000000001E-2</v>
      </c>
    </row>
    <row r="25" spans="4:10" x14ac:dyDescent="0.3">
      <c r="D25" s="28">
        <v>5</v>
      </c>
      <c r="E25" s="24" t="s">
        <v>532</v>
      </c>
      <c r="F25" s="6">
        <v>10</v>
      </c>
      <c r="G25" s="7">
        <v>20</v>
      </c>
      <c r="H25" s="7">
        <f t="shared" si="3"/>
        <v>0.2</v>
      </c>
      <c r="I25" s="6">
        <f t="shared" si="4"/>
        <v>50</v>
      </c>
      <c r="J25" s="12">
        <f t="shared" si="5"/>
        <v>1</v>
      </c>
    </row>
    <row r="26" spans="4:10" ht="15" customHeight="1" x14ac:dyDescent="0.3">
      <c r="D26" s="219"/>
      <c r="E26" s="29" t="s">
        <v>28</v>
      </c>
      <c r="F26" s="25">
        <v>1</v>
      </c>
      <c r="G26" s="7">
        <v>45</v>
      </c>
      <c r="H26" s="7">
        <f t="shared" si="3"/>
        <v>4.4999999999999998E-2</v>
      </c>
      <c r="I26" s="6">
        <f t="shared" si="4"/>
        <v>5</v>
      </c>
      <c r="J26" s="12">
        <f t="shared" si="5"/>
        <v>0.22499999999999998</v>
      </c>
    </row>
    <row r="27" spans="4:10" ht="15" customHeight="1" x14ac:dyDescent="0.3">
      <c r="D27" s="219"/>
      <c r="E27" s="29" t="s">
        <v>231</v>
      </c>
      <c r="F27" s="32">
        <v>0.5</v>
      </c>
      <c r="G27" s="7">
        <v>60</v>
      </c>
      <c r="H27" s="7">
        <f t="shared" si="3"/>
        <v>0.03</v>
      </c>
      <c r="I27" s="6">
        <f t="shared" si="4"/>
        <v>2.5</v>
      </c>
      <c r="J27" s="12">
        <f t="shared" si="5"/>
        <v>0.15</v>
      </c>
    </row>
    <row r="28" spans="4:10" ht="15" customHeight="1" x14ac:dyDescent="0.3">
      <c r="D28" s="220"/>
      <c r="E28" s="24" t="s">
        <v>21</v>
      </c>
      <c r="F28" s="26">
        <v>5</v>
      </c>
      <c r="G28" s="7">
        <v>120</v>
      </c>
      <c r="H28" s="7">
        <f t="shared" si="3"/>
        <v>0.6</v>
      </c>
      <c r="I28" s="6">
        <f t="shared" si="4"/>
        <v>25</v>
      </c>
      <c r="J28" s="12">
        <f t="shared" si="5"/>
        <v>3</v>
      </c>
    </row>
    <row r="29" spans="4:10" x14ac:dyDescent="0.3">
      <c r="E29" s="24" t="s">
        <v>173</v>
      </c>
      <c r="F29" s="26">
        <v>744.8</v>
      </c>
      <c r="G29" s="7">
        <v>0.6</v>
      </c>
      <c r="H29" s="7">
        <f t="shared" si="3"/>
        <v>0.44687999999999994</v>
      </c>
      <c r="I29" s="6">
        <f t="shared" si="4"/>
        <v>3724</v>
      </c>
      <c r="J29" s="12">
        <f t="shared" si="5"/>
        <v>2.2343999999999999</v>
      </c>
    </row>
    <row r="30" spans="4:10" x14ac:dyDescent="0.3">
      <c r="E30" s="27"/>
      <c r="F30" s="19">
        <f>SUM(F21:F29)</f>
        <v>1000</v>
      </c>
      <c r="G30" s="20"/>
      <c r="H30" s="21">
        <f>SUM(H21:H29)</f>
        <v>3.7324799999999998</v>
      </c>
      <c r="I30" s="19">
        <f>SUM(I21:I29)</f>
        <v>5000</v>
      </c>
      <c r="J30" s="22">
        <f>SUM(J21:J29)</f>
        <v>18.662400000000002</v>
      </c>
    </row>
    <row r="33" spans="4:10" ht="23.4" x14ac:dyDescent="0.45">
      <c r="E33" s="172" t="s">
        <v>555</v>
      </c>
      <c r="F33" s="173"/>
      <c r="G33" s="173"/>
      <c r="H33" s="173"/>
      <c r="I33" s="173"/>
      <c r="J33" s="173"/>
    </row>
    <row r="34" spans="4:10" ht="46.8" x14ac:dyDescent="0.3">
      <c r="D34" s="1">
        <v>4</v>
      </c>
      <c r="E34" s="2" t="s">
        <v>0</v>
      </c>
      <c r="F34" s="3" t="s">
        <v>1</v>
      </c>
      <c r="G34" s="3" t="s">
        <v>2</v>
      </c>
      <c r="H34" s="3" t="s">
        <v>24</v>
      </c>
      <c r="I34" s="3" t="s">
        <v>545</v>
      </c>
      <c r="J34" s="3" t="s">
        <v>548</v>
      </c>
    </row>
    <row r="35" spans="4:10" x14ac:dyDescent="0.3">
      <c r="E35" s="5" t="s">
        <v>481</v>
      </c>
      <c r="F35" s="11">
        <v>100</v>
      </c>
      <c r="G35" s="11">
        <v>8</v>
      </c>
      <c r="H35" s="8">
        <f t="shared" ref="H35:H43" si="6">(G35/1000)*F35</f>
        <v>0.8</v>
      </c>
      <c r="I35" s="6">
        <f>(F35*300)</f>
        <v>30000</v>
      </c>
      <c r="J35" s="6">
        <f>(F35*50)</f>
        <v>5000</v>
      </c>
    </row>
    <row r="36" spans="4:10" x14ac:dyDescent="0.3">
      <c r="E36" s="5" t="s">
        <v>542</v>
      </c>
      <c r="F36" s="11">
        <v>1</v>
      </c>
      <c r="G36" s="11">
        <v>20</v>
      </c>
      <c r="H36" s="8">
        <f t="shared" si="6"/>
        <v>0.02</v>
      </c>
      <c r="I36" s="6">
        <f t="shared" ref="I36:I43" si="7">(F36*300)</f>
        <v>300</v>
      </c>
      <c r="J36" s="6">
        <f t="shared" ref="J36:J43" si="8">(F36*50)</f>
        <v>50</v>
      </c>
    </row>
    <row r="37" spans="4:10" x14ac:dyDescent="0.3">
      <c r="E37" s="5" t="s">
        <v>543</v>
      </c>
      <c r="F37" s="11">
        <v>10</v>
      </c>
      <c r="G37" s="11">
        <v>15</v>
      </c>
      <c r="H37" s="8">
        <f t="shared" si="6"/>
        <v>0.15</v>
      </c>
      <c r="I37" s="6">
        <f t="shared" si="7"/>
        <v>3000</v>
      </c>
      <c r="J37" s="6">
        <f t="shared" si="8"/>
        <v>500</v>
      </c>
    </row>
    <row r="38" spans="4:10" x14ac:dyDescent="0.3">
      <c r="E38" s="24" t="s">
        <v>203</v>
      </c>
      <c r="F38" s="11">
        <v>50</v>
      </c>
      <c r="G38" s="11">
        <v>8</v>
      </c>
      <c r="H38" s="8">
        <f t="shared" si="6"/>
        <v>0.4</v>
      </c>
      <c r="I38" s="6">
        <f t="shared" si="7"/>
        <v>15000</v>
      </c>
      <c r="J38" s="6">
        <f t="shared" si="8"/>
        <v>2500</v>
      </c>
    </row>
    <row r="39" spans="4:10" x14ac:dyDescent="0.3">
      <c r="E39" s="5" t="s">
        <v>544</v>
      </c>
      <c r="F39" s="6">
        <v>20</v>
      </c>
      <c r="G39" s="6">
        <v>1.8</v>
      </c>
      <c r="H39" s="8">
        <f t="shared" si="6"/>
        <v>3.5999999999999997E-2</v>
      </c>
      <c r="I39" s="6">
        <f t="shared" si="7"/>
        <v>6000</v>
      </c>
      <c r="J39" s="6">
        <f t="shared" si="8"/>
        <v>1000</v>
      </c>
    </row>
    <row r="40" spans="4:10" x14ac:dyDescent="0.3">
      <c r="E40" s="5" t="s">
        <v>174</v>
      </c>
      <c r="F40" s="6">
        <v>1</v>
      </c>
      <c r="G40" s="6">
        <v>25</v>
      </c>
      <c r="H40" s="8">
        <f t="shared" si="6"/>
        <v>2.5000000000000001E-2</v>
      </c>
      <c r="I40" s="6">
        <f t="shared" si="7"/>
        <v>300</v>
      </c>
      <c r="J40" s="6">
        <f t="shared" si="8"/>
        <v>50</v>
      </c>
    </row>
    <row r="41" spans="4:10" x14ac:dyDescent="0.3">
      <c r="E41" s="24" t="s">
        <v>287</v>
      </c>
      <c r="F41" s="11">
        <v>1</v>
      </c>
      <c r="G41" s="6">
        <v>40</v>
      </c>
      <c r="H41" s="8">
        <f t="shared" si="6"/>
        <v>0.04</v>
      </c>
      <c r="I41" s="6">
        <f t="shared" si="7"/>
        <v>300</v>
      </c>
      <c r="J41" s="6">
        <f t="shared" si="8"/>
        <v>50</v>
      </c>
    </row>
    <row r="42" spans="4:10" x14ac:dyDescent="0.3">
      <c r="E42" s="24" t="s">
        <v>57</v>
      </c>
      <c r="F42" s="11">
        <v>0.5</v>
      </c>
      <c r="G42" s="6">
        <v>60</v>
      </c>
      <c r="H42" s="8">
        <f t="shared" si="6"/>
        <v>0.03</v>
      </c>
      <c r="I42" s="6">
        <f t="shared" si="7"/>
        <v>150</v>
      </c>
      <c r="J42" s="6">
        <f t="shared" si="8"/>
        <v>25</v>
      </c>
    </row>
    <row r="43" spans="4:10" x14ac:dyDescent="0.3">
      <c r="E43" s="24" t="s">
        <v>232</v>
      </c>
      <c r="F43" s="11">
        <v>815</v>
      </c>
      <c r="G43" s="11">
        <v>0.6</v>
      </c>
      <c r="H43" s="8">
        <f t="shared" si="6"/>
        <v>0.48899999999999993</v>
      </c>
      <c r="I43" s="6">
        <f t="shared" si="7"/>
        <v>244500</v>
      </c>
      <c r="J43" s="6">
        <f t="shared" si="8"/>
        <v>40750</v>
      </c>
    </row>
    <row r="44" spans="4:10" x14ac:dyDescent="0.3">
      <c r="E44" s="27"/>
      <c r="F44" s="19">
        <f>SUM(F35:F43)</f>
        <v>998.5</v>
      </c>
      <c r="G44" s="20"/>
      <c r="H44" s="21">
        <f>SUM(H35:H43)</f>
        <v>1.99</v>
      </c>
      <c r="I44" s="19">
        <f>SUM(I35:I43)</f>
        <v>299550</v>
      </c>
      <c r="J44" s="153">
        <f>SUM(J35:J43)</f>
        <v>49925</v>
      </c>
    </row>
    <row r="48" spans="4:10" ht="23.4" x14ac:dyDescent="0.45">
      <c r="E48" s="172" t="s">
        <v>572</v>
      </c>
      <c r="F48" s="173"/>
      <c r="G48" s="173"/>
      <c r="H48" s="173"/>
      <c r="I48" s="173"/>
      <c r="J48" s="173"/>
    </row>
    <row r="49" spans="4:10" ht="46.8" x14ac:dyDescent="0.3">
      <c r="D49" s="1">
        <v>4</v>
      </c>
      <c r="E49" s="2" t="s">
        <v>0</v>
      </c>
      <c r="F49" s="3" t="s">
        <v>1</v>
      </c>
      <c r="G49" s="3" t="s">
        <v>2</v>
      </c>
      <c r="H49" s="3" t="s">
        <v>24</v>
      </c>
      <c r="I49" s="3" t="s">
        <v>577</v>
      </c>
      <c r="J49" s="3" t="s">
        <v>576</v>
      </c>
    </row>
    <row r="50" spans="4:10" x14ac:dyDescent="0.3">
      <c r="E50" s="5" t="s">
        <v>573</v>
      </c>
      <c r="F50" s="11">
        <v>965</v>
      </c>
      <c r="G50" s="11">
        <v>8</v>
      </c>
      <c r="H50" s="8">
        <v>7.5</v>
      </c>
      <c r="I50" s="6">
        <f>(F50*50)</f>
        <v>48250</v>
      </c>
      <c r="J50" s="6">
        <f>(F50*50)</f>
        <v>48250</v>
      </c>
    </row>
    <row r="51" spans="4:10" x14ac:dyDescent="0.3">
      <c r="E51" s="5" t="s">
        <v>574</v>
      </c>
      <c r="F51" s="11">
        <v>30</v>
      </c>
      <c r="G51" s="11">
        <v>75</v>
      </c>
      <c r="H51" s="8">
        <f t="shared" ref="H51:H54" si="9">(G51/1000)*F51</f>
        <v>2.25</v>
      </c>
      <c r="I51" s="6">
        <f t="shared" ref="I51:I54" si="10">(F51*50)</f>
        <v>1500</v>
      </c>
      <c r="J51" s="6">
        <f t="shared" ref="J51:J54" si="11">(F51*50)</f>
        <v>1500</v>
      </c>
    </row>
    <row r="52" spans="4:10" x14ac:dyDescent="0.3">
      <c r="E52" s="24" t="s">
        <v>21</v>
      </c>
      <c r="F52" s="11">
        <v>5</v>
      </c>
      <c r="G52" s="11">
        <v>120</v>
      </c>
      <c r="H52" s="8">
        <f t="shared" si="9"/>
        <v>0.6</v>
      </c>
      <c r="I52" s="6">
        <f t="shared" si="10"/>
        <v>250</v>
      </c>
      <c r="J52" s="6">
        <f t="shared" si="11"/>
        <v>250</v>
      </c>
    </row>
    <row r="53" spans="4:10" x14ac:dyDescent="0.3">
      <c r="E53" s="5" t="s">
        <v>484</v>
      </c>
      <c r="F53" s="6">
        <v>1</v>
      </c>
      <c r="G53" s="6">
        <v>260</v>
      </c>
      <c r="H53" s="8">
        <f t="shared" si="9"/>
        <v>0.26</v>
      </c>
      <c r="I53" s="6">
        <f t="shared" si="10"/>
        <v>50</v>
      </c>
      <c r="J53" s="6">
        <f t="shared" si="11"/>
        <v>50</v>
      </c>
    </row>
    <row r="54" spans="4:10" x14ac:dyDescent="0.3">
      <c r="E54" s="24" t="s">
        <v>575</v>
      </c>
      <c r="F54" s="11">
        <v>0.5</v>
      </c>
      <c r="G54" s="6">
        <v>70</v>
      </c>
      <c r="H54" s="8">
        <f t="shared" si="9"/>
        <v>3.5000000000000003E-2</v>
      </c>
      <c r="I54" s="6">
        <f t="shared" si="10"/>
        <v>25</v>
      </c>
      <c r="J54" s="6">
        <f t="shared" si="11"/>
        <v>25</v>
      </c>
    </row>
    <row r="55" spans="4:10" x14ac:dyDescent="0.3">
      <c r="E55" s="27"/>
      <c r="F55" s="19">
        <f>SUM(F50:F54)</f>
        <v>1001.5</v>
      </c>
      <c r="G55" s="20"/>
      <c r="H55" s="21">
        <f>SUM(H50:H54)</f>
        <v>10.645</v>
      </c>
      <c r="I55" s="19">
        <f>SUM(I50:I54)</f>
        <v>50075</v>
      </c>
      <c r="J55" s="153">
        <f>SUM(J50:J54)</f>
        <v>50075</v>
      </c>
    </row>
    <row r="75" spans="4:10" ht="23.4" x14ac:dyDescent="0.45">
      <c r="E75" s="172" t="s">
        <v>600</v>
      </c>
      <c r="F75" s="173"/>
      <c r="G75" s="173"/>
      <c r="H75" s="173"/>
      <c r="I75" s="173"/>
      <c r="J75" s="173"/>
    </row>
    <row r="76" spans="4:10" ht="46.8" x14ac:dyDescent="0.3">
      <c r="D76" s="1">
        <v>4</v>
      </c>
      <c r="E76" s="2" t="s">
        <v>0</v>
      </c>
      <c r="F76" s="3" t="s">
        <v>1</v>
      </c>
      <c r="G76" s="3" t="s">
        <v>2</v>
      </c>
      <c r="H76" s="3" t="s">
        <v>24</v>
      </c>
      <c r="I76" s="3" t="s">
        <v>545</v>
      </c>
      <c r="J76" s="3" t="s">
        <v>548</v>
      </c>
    </row>
    <row r="77" spans="4:10" x14ac:dyDescent="0.3">
      <c r="E77" s="5" t="s">
        <v>601</v>
      </c>
      <c r="F77" s="11">
        <v>93.33</v>
      </c>
      <c r="G77" s="11">
        <v>34</v>
      </c>
      <c r="H77" s="8">
        <f t="shared" ref="H77:H87" si="12">(G77/1000)*F77</f>
        <v>3.1732200000000002</v>
      </c>
      <c r="I77" s="6">
        <f>(F77*300)</f>
        <v>27999</v>
      </c>
      <c r="J77" s="6">
        <f>(F77*50)</f>
        <v>4666.5</v>
      </c>
    </row>
    <row r="78" spans="4:10" x14ac:dyDescent="0.3">
      <c r="E78" s="5" t="s">
        <v>602</v>
      </c>
      <c r="F78" s="11">
        <v>50</v>
      </c>
      <c r="G78" s="11">
        <v>11</v>
      </c>
      <c r="H78" s="8">
        <f t="shared" si="12"/>
        <v>0.54999999999999993</v>
      </c>
      <c r="I78" s="6">
        <f t="shared" ref="I78:I79" si="13">(F78*300)</f>
        <v>15000</v>
      </c>
      <c r="J78" s="6">
        <f t="shared" ref="J78:J79" si="14">(F78*50)</f>
        <v>2500</v>
      </c>
    </row>
    <row r="79" spans="4:10" x14ac:dyDescent="0.3">
      <c r="E79" s="5" t="s">
        <v>595</v>
      </c>
      <c r="F79" s="11">
        <v>25</v>
      </c>
      <c r="G79" s="11">
        <v>14</v>
      </c>
      <c r="H79" s="8">
        <f t="shared" si="12"/>
        <v>0.35000000000000003</v>
      </c>
      <c r="I79" s="6">
        <f t="shared" si="13"/>
        <v>7500</v>
      </c>
      <c r="J79" s="6">
        <f t="shared" si="14"/>
        <v>1250</v>
      </c>
    </row>
    <row r="80" spans="4:10" x14ac:dyDescent="0.3">
      <c r="E80" s="5" t="s">
        <v>606</v>
      </c>
      <c r="F80" s="11">
        <v>91.7</v>
      </c>
      <c r="G80" s="11">
        <v>0.6</v>
      </c>
      <c r="H80" s="8">
        <f t="shared" si="12"/>
        <v>5.5019999999999999E-2</v>
      </c>
      <c r="I80" s="6">
        <f t="shared" ref="I80:I88" si="15">(F80*300)</f>
        <v>27510</v>
      </c>
      <c r="J80" s="6">
        <f t="shared" ref="J80:J88" si="16">(F80*50)</f>
        <v>4585</v>
      </c>
    </row>
    <row r="81" spans="4:10" x14ac:dyDescent="0.3">
      <c r="E81" s="5" t="s">
        <v>133</v>
      </c>
      <c r="F81" s="11">
        <v>91.7</v>
      </c>
      <c r="G81" s="11">
        <v>5.8</v>
      </c>
      <c r="H81" s="8">
        <f t="shared" si="12"/>
        <v>0.53186</v>
      </c>
      <c r="I81" s="6">
        <f t="shared" si="15"/>
        <v>27510</v>
      </c>
      <c r="J81" s="6">
        <f t="shared" si="16"/>
        <v>4585</v>
      </c>
    </row>
    <row r="82" spans="4:10" x14ac:dyDescent="0.3">
      <c r="E82" s="24" t="s">
        <v>603</v>
      </c>
      <c r="F82" s="11">
        <v>131.69999999999999</v>
      </c>
      <c r="G82" s="11">
        <v>0.6</v>
      </c>
      <c r="H82" s="8">
        <f t="shared" si="12"/>
        <v>7.9019999999999993E-2</v>
      </c>
      <c r="I82" s="6">
        <f t="shared" si="15"/>
        <v>39510</v>
      </c>
      <c r="J82" s="6">
        <f t="shared" si="16"/>
        <v>6584.9999999999991</v>
      </c>
    </row>
    <row r="83" spans="4:10" x14ac:dyDescent="0.3">
      <c r="E83" s="5" t="s">
        <v>604</v>
      </c>
      <c r="F83" s="6">
        <v>283.3</v>
      </c>
      <c r="G83" s="11">
        <v>3.3</v>
      </c>
      <c r="H83" s="8">
        <f t="shared" si="12"/>
        <v>0.93489</v>
      </c>
      <c r="I83" s="6">
        <f t="shared" si="15"/>
        <v>84990</v>
      </c>
      <c r="J83" s="6">
        <f t="shared" si="16"/>
        <v>14165</v>
      </c>
    </row>
    <row r="84" spans="4:10" x14ac:dyDescent="0.3">
      <c r="E84" s="5" t="s">
        <v>59</v>
      </c>
      <c r="F84" s="6">
        <v>200</v>
      </c>
      <c r="G84" s="11">
        <v>5.5</v>
      </c>
      <c r="H84" s="8">
        <f t="shared" si="12"/>
        <v>1.0999999999999999</v>
      </c>
      <c r="I84" s="6">
        <f t="shared" si="15"/>
        <v>60000</v>
      </c>
      <c r="J84" s="6">
        <f t="shared" si="16"/>
        <v>10000</v>
      </c>
    </row>
    <row r="85" spans="4:10" x14ac:dyDescent="0.3">
      <c r="E85" s="5" t="s">
        <v>605</v>
      </c>
      <c r="F85" s="6">
        <v>43</v>
      </c>
      <c r="G85" s="11">
        <v>14.87</v>
      </c>
      <c r="H85" s="8">
        <f t="shared" si="12"/>
        <v>0.63941000000000003</v>
      </c>
      <c r="I85" s="6">
        <f t="shared" si="15"/>
        <v>12900</v>
      </c>
      <c r="J85" s="6">
        <f t="shared" si="16"/>
        <v>2150</v>
      </c>
    </row>
    <row r="86" spans="4:10" x14ac:dyDescent="0.3">
      <c r="E86" s="5" t="s">
        <v>529</v>
      </c>
      <c r="F86" s="6">
        <v>22</v>
      </c>
      <c r="G86" s="11">
        <v>7.35</v>
      </c>
      <c r="H86" s="8">
        <f t="shared" si="12"/>
        <v>0.16169999999999998</v>
      </c>
      <c r="I86" s="6">
        <f t="shared" si="15"/>
        <v>6600</v>
      </c>
      <c r="J86" s="6">
        <f t="shared" si="16"/>
        <v>1100</v>
      </c>
    </row>
    <row r="87" spans="4:10" x14ac:dyDescent="0.3">
      <c r="E87" s="5" t="s">
        <v>43</v>
      </c>
      <c r="F87" s="6">
        <v>1.06</v>
      </c>
      <c r="G87" s="6">
        <v>21</v>
      </c>
      <c r="H87" s="8">
        <f t="shared" si="12"/>
        <v>2.2260000000000002E-2</v>
      </c>
      <c r="I87" s="6">
        <f t="shared" si="15"/>
        <v>318</v>
      </c>
      <c r="J87" s="6">
        <f t="shared" si="16"/>
        <v>53</v>
      </c>
    </row>
    <row r="88" spans="4:10" x14ac:dyDescent="0.3">
      <c r="E88" s="133" t="s">
        <v>611</v>
      </c>
      <c r="F88" s="97">
        <v>1</v>
      </c>
      <c r="G88" s="97"/>
      <c r="H88" s="99">
        <v>0.5</v>
      </c>
      <c r="I88" s="97">
        <f t="shared" si="15"/>
        <v>300</v>
      </c>
      <c r="J88" s="97">
        <f t="shared" si="16"/>
        <v>50</v>
      </c>
    </row>
    <row r="89" spans="4:10" x14ac:dyDescent="0.3">
      <c r="E89" s="27"/>
      <c r="F89" s="19">
        <f>SUM(F77:F88)</f>
        <v>1033.79</v>
      </c>
      <c r="G89" s="20"/>
      <c r="H89" s="21">
        <f>SUM(H77:H88)</f>
        <v>8.0973799999999994</v>
      </c>
      <c r="I89" s="19">
        <f>SUM(I77:I88)</f>
        <v>310137</v>
      </c>
      <c r="J89" s="153">
        <f>SUM(J77:J88)</f>
        <v>51689.5</v>
      </c>
    </row>
    <row r="93" spans="4:10" ht="23.4" x14ac:dyDescent="0.45">
      <c r="E93" s="172" t="s">
        <v>607</v>
      </c>
      <c r="F93" s="173"/>
      <c r="G93" s="173"/>
      <c r="H93" s="173"/>
      <c r="I93" s="173"/>
      <c r="J93" s="173"/>
    </row>
    <row r="94" spans="4:10" ht="46.8" x14ac:dyDescent="0.3">
      <c r="D94" s="1">
        <v>4</v>
      </c>
      <c r="E94" s="2" t="s">
        <v>0</v>
      </c>
      <c r="F94" s="3" t="s">
        <v>1</v>
      </c>
      <c r="G94" s="3" t="s">
        <v>2</v>
      </c>
      <c r="H94" s="3" t="s">
        <v>24</v>
      </c>
      <c r="I94" s="3" t="s">
        <v>545</v>
      </c>
      <c r="J94" s="3" t="s">
        <v>548</v>
      </c>
    </row>
    <row r="95" spans="4:10" x14ac:dyDescent="0.3">
      <c r="E95" s="5" t="s">
        <v>608</v>
      </c>
      <c r="F95" s="11">
        <v>93.33</v>
      </c>
      <c r="G95" s="11">
        <v>11</v>
      </c>
      <c r="H95" s="8">
        <f t="shared" ref="H95:H104" si="17">(G95/1000)*F95</f>
        <v>1.0266299999999999</v>
      </c>
      <c r="I95" s="6">
        <f>(F95*300)</f>
        <v>27999</v>
      </c>
      <c r="J95" s="6">
        <f>(F95*50)</f>
        <v>4666.5</v>
      </c>
    </row>
    <row r="96" spans="4:10" x14ac:dyDescent="0.3">
      <c r="E96" s="5" t="s">
        <v>602</v>
      </c>
      <c r="F96" s="11">
        <v>50</v>
      </c>
      <c r="G96" s="11">
        <v>11</v>
      </c>
      <c r="H96" s="8">
        <f t="shared" si="17"/>
        <v>0.54999999999999993</v>
      </c>
      <c r="I96" s="6">
        <f t="shared" ref="I96:I104" si="18">(F96*300)</f>
        <v>15000</v>
      </c>
      <c r="J96" s="6">
        <f t="shared" ref="J96:J104" si="19">(F96*50)</f>
        <v>2500</v>
      </c>
    </row>
    <row r="97" spans="4:11" x14ac:dyDescent="0.3">
      <c r="E97" s="5" t="s">
        <v>595</v>
      </c>
      <c r="F97" s="11">
        <v>25</v>
      </c>
      <c r="G97" s="11">
        <v>14</v>
      </c>
      <c r="H97" s="8">
        <f t="shared" si="17"/>
        <v>0.35000000000000003</v>
      </c>
      <c r="I97" s="6">
        <f t="shared" si="18"/>
        <v>7500</v>
      </c>
      <c r="J97" s="6">
        <f t="shared" si="19"/>
        <v>1250</v>
      </c>
    </row>
    <row r="98" spans="4:11" x14ac:dyDescent="0.3">
      <c r="E98" s="5" t="s">
        <v>606</v>
      </c>
      <c r="F98" s="11">
        <v>91.7</v>
      </c>
      <c r="G98" s="11">
        <v>0.6</v>
      </c>
      <c r="H98" s="8">
        <f t="shared" si="17"/>
        <v>5.5019999999999999E-2</v>
      </c>
      <c r="I98" s="6">
        <f t="shared" si="18"/>
        <v>27510</v>
      </c>
      <c r="J98" s="6">
        <f t="shared" si="19"/>
        <v>4585</v>
      </c>
    </row>
    <row r="99" spans="4:11" x14ac:dyDescent="0.3">
      <c r="E99" s="5" t="s">
        <v>133</v>
      </c>
      <c r="F99" s="11">
        <v>91.7</v>
      </c>
      <c r="G99" s="11">
        <v>5.8</v>
      </c>
      <c r="H99" s="8">
        <f t="shared" si="17"/>
        <v>0.53186</v>
      </c>
      <c r="I99" s="6">
        <f t="shared" si="18"/>
        <v>27510</v>
      </c>
      <c r="J99" s="6">
        <f t="shared" si="19"/>
        <v>4585</v>
      </c>
    </row>
    <row r="100" spans="4:11" x14ac:dyDescent="0.3">
      <c r="E100" s="24" t="s">
        <v>603</v>
      </c>
      <c r="F100" s="11">
        <v>131.69999999999999</v>
      </c>
      <c r="G100" s="11">
        <v>0.6</v>
      </c>
      <c r="H100" s="8">
        <f t="shared" si="17"/>
        <v>7.9019999999999993E-2</v>
      </c>
      <c r="I100" s="6">
        <f t="shared" si="18"/>
        <v>39510</v>
      </c>
      <c r="J100" s="6">
        <f t="shared" si="19"/>
        <v>6584.9999999999991</v>
      </c>
    </row>
    <row r="101" spans="4:11" x14ac:dyDescent="0.3">
      <c r="E101" s="5" t="s">
        <v>604</v>
      </c>
      <c r="F101" s="6">
        <v>283.3</v>
      </c>
      <c r="G101" s="11">
        <v>3.3</v>
      </c>
      <c r="H101" s="8">
        <f t="shared" si="17"/>
        <v>0.93489</v>
      </c>
      <c r="I101" s="6">
        <f t="shared" si="18"/>
        <v>84990</v>
      </c>
      <c r="J101" s="6">
        <f t="shared" si="19"/>
        <v>14165</v>
      </c>
    </row>
    <row r="102" spans="4:11" x14ac:dyDescent="0.3">
      <c r="E102" s="5" t="s">
        <v>59</v>
      </c>
      <c r="F102" s="6">
        <v>200</v>
      </c>
      <c r="G102" s="11">
        <v>5.5</v>
      </c>
      <c r="H102" s="8">
        <f t="shared" si="17"/>
        <v>1.0999999999999999</v>
      </c>
      <c r="I102" s="6">
        <f t="shared" si="18"/>
        <v>60000</v>
      </c>
      <c r="J102" s="6">
        <f t="shared" si="19"/>
        <v>10000</v>
      </c>
    </row>
    <row r="103" spans="4:11" x14ac:dyDescent="0.3">
      <c r="E103" s="5" t="s">
        <v>605</v>
      </c>
      <c r="F103" s="6">
        <v>43</v>
      </c>
      <c r="G103" s="11">
        <v>14.87</v>
      </c>
      <c r="H103" s="8">
        <f t="shared" si="17"/>
        <v>0.63941000000000003</v>
      </c>
      <c r="I103" s="6">
        <f t="shared" si="18"/>
        <v>12900</v>
      </c>
      <c r="J103" s="6">
        <f t="shared" si="19"/>
        <v>2150</v>
      </c>
    </row>
    <row r="104" spans="4:11" x14ac:dyDescent="0.3">
      <c r="E104" s="5" t="s">
        <v>529</v>
      </c>
      <c r="F104" s="6">
        <v>22</v>
      </c>
      <c r="G104" s="11">
        <v>7.35</v>
      </c>
      <c r="H104" s="8">
        <f t="shared" si="17"/>
        <v>0.16169999999999998</v>
      </c>
      <c r="I104" s="6">
        <f t="shared" si="18"/>
        <v>6600</v>
      </c>
      <c r="J104" s="6">
        <f t="shared" si="19"/>
        <v>1100</v>
      </c>
    </row>
    <row r="105" spans="4:11" x14ac:dyDescent="0.3">
      <c r="E105" s="133" t="s">
        <v>611</v>
      </c>
      <c r="F105" s="97">
        <v>1</v>
      </c>
      <c r="G105" s="98"/>
      <c r="H105" s="99">
        <v>0.5</v>
      </c>
      <c r="I105" s="97"/>
      <c r="J105" s="97"/>
    </row>
    <row r="106" spans="4:11" x14ac:dyDescent="0.3">
      <c r="E106" s="27"/>
      <c r="F106" s="19">
        <f>SUM(F95:F104)</f>
        <v>1031.73</v>
      </c>
      <c r="G106" s="20"/>
      <c r="H106" s="21">
        <f>SUM(H95:H105)</f>
        <v>5.9285299999999994</v>
      </c>
      <c r="I106" s="19">
        <f>SUM(I95:I104)</f>
        <v>309519</v>
      </c>
      <c r="J106" s="153">
        <f>SUM(J95:J104)</f>
        <v>51586.5</v>
      </c>
    </row>
    <row r="109" spans="4:11" ht="23.4" x14ac:dyDescent="0.45">
      <c r="E109" s="172" t="s">
        <v>609</v>
      </c>
      <c r="F109" s="173"/>
      <c r="G109" s="173"/>
      <c r="H109" s="173"/>
      <c r="I109" s="173"/>
      <c r="J109" s="173"/>
    </row>
    <row r="110" spans="4:11" ht="46.8" x14ac:dyDescent="0.3">
      <c r="D110" s="1">
        <v>4</v>
      </c>
      <c r="E110" s="2" t="s">
        <v>0</v>
      </c>
      <c r="F110" s="3" t="s">
        <v>1</v>
      </c>
      <c r="G110" s="3" t="s">
        <v>2</v>
      </c>
      <c r="H110" s="3" t="s">
        <v>24</v>
      </c>
      <c r="I110" s="3" t="s">
        <v>545</v>
      </c>
      <c r="J110" s="3" t="s">
        <v>548</v>
      </c>
    </row>
    <row r="111" spans="4:11" x14ac:dyDescent="0.3">
      <c r="E111" s="5" t="s">
        <v>601</v>
      </c>
      <c r="F111" s="11">
        <v>107.5</v>
      </c>
      <c r="G111" s="11">
        <v>34</v>
      </c>
      <c r="H111" s="8">
        <f t="shared" ref="H111:H119" si="20">(G111/1000)*F111</f>
        <v>3.6550000000000002</v>
      </c>
      <c r="I111" s="6">
        <f>(F111*300)</f>
        <v>32250</v>
      </c>
      <c r="J111" s="6">
        <f>(F111*50)</f>
        <v>5375</v>
      </c>
      <c r="K111" s="159"/>
    </row>
    <row r="112" spans="4:11" x14ac:dyDescent="0.3">
      <c r="E112" s="5" t="s">
        <v>602</v>
      </c>
      <c r="F112" s="11">
        <v>57.6</v>
      </c>
      <c r="G112" s="11">
        <v>11</v>
      </c>
      <c r="H112" s="8">
        <f t="shared" si="20"/>
        <v>0.63359999999999994</v>
      </c>
      <c r="I112" s="6">
        <f t="shared" ref="I112:I119" si="21">(F112*300)</f>
        <v>17280</v>
      </c>
      <c r="J112" s="6">
        <f t="shared" ref="J112:J119" si="22">(F112*50)</f>
        <v>2880</v>
      </c>
      <c r="K112" s="159"/>
    </row>
    <row r="113" spans="4:11" x14ac:dyDescent="0.3">
      <c r="E113" s="5" t="s">
        <v>595</v>
      </c>
      <c r="F113" s="11">
        <v>28.8</v>
      </c>
      <c r="G113" s="11">
        <v>14</v>
      </c>
      <c r="H113" s="8">
        <f t="shared" si="20"/>
        <v>0.4032</v>
      </c>
      <c r="I113" s="6">
        <f t="shared" si="21"/>
        <v>8640</v>
      </c>
      <c r="J113" s="6">
        <f t="shared" si="22"/>
        <v>1440</v>
      </c>
      <c r="K113" s="159"/>
    </row>
    <row r="114" spans="4:11" x14ac:dyDescent="0.3">
      <c r="E114" s="5" t="s">
        <v>606</v>
      </c>
      <c r="F114" s="11">
        <v>105.6</v>
      </c>
      <c r="G114" s="11">
        <v>0.6</v>
      </c>
      <c r="H114" s="8">
        <f t="shared" si="20"/>
        <v>6.3359999999999986E-2</v>
      </c>
      <c r="I114" s="6">
        <f t="shared" si="21"/>
        <v>31680</v>
      </c>
      <c r="J114" s="6">
        <f t="shared" si="22"/>
        <v>5280</v>
      </c>
      <c r="K114" s="159"/>
    </row>
    <row r="115" spans="4:11" x14ac:dyDescent="0.3">
      <c r="E115" s="5" t="s">
        <v>133</v>
      </c>
      <c r="F115" s="11">
        <v>105.6</v>
      </c>
      <c r="G115" s="11">
        <v>5.8</v>
      </c>
      <c r="H115" s="8">
        <f t="shared" si="20"/>
        <v>0.61247999999999991</v>
      </c>
      <c r="I115" s="6">
        <f t="shared" si="21"/>
        <v>31680</v>
      </c>
      <c r="J115" s="6">
        <f t="shared" si="22"/>
        <v>5280</v>
      </c>
      <c r="K115" s="159"/>
    </row>
    <row r="116" spans="4:11" x14ac:dyDescent="0.3">
      <c r="E116" s="24" t="s">
        <v>610</v>
      </c>
      <c r="F116" s="11">
        <v>326.3</v>
      </c>
      <c r="G116" s="11">
        <v>6</v>
      </c>
      <c r="H116" s="8">
        <f t="shared" si="20"/>
        <v>1.9578000000000002</v>
      </c>
      <c r="I116" s="6">
        <f t="shared" si="21"/>
        <v>97890</v>
      </c>
      <c r="J116" s="6">
        <f t="shared" si="22"/>
        <v>16315</v>
      </c>
      <c r="K116" s="159"/>
    </row>
    <row r="117" spans="4:11" x14ac:dyDescent="0.3">
      <c r="E117" s="5" t="s">
        <v>59</v>
      </c>
      <c r="F117" s="6">
        <v>230.3</v>
      </c>
      <c r="G117" s="11">
        <v>5.5</v>
      </c>
      <c r="H117" s="8">
        <f t="shared" si="20"/>
        <v>1.2666500000000001</v>
      </c>
      <c r="I117" s="6">
        <f t="shared" si="21"/>
        <v>69090</v>
      </c>
      <c r="J117" s="6">
        <f t="shared" si="22"/>
        <v>11515</v>
      </c>
      <c r="K117" s="159"/>
    </row>
    <row r="118" spans="4:11" x14ac:dyDescent="0.3">
      <c r="E118" s="5" t="s">
        <v>605</v>
      </c>
      <c r="F118" s="6">
        <v>66.599999999999994</v>
      </c>
      <c r="G118" s="11">
        <v>14.87</v>
      </c>
      <c r="H118" s="8">
        <f t="shared" si="20"/>
        <v>0.99034199999999983</v>
      </c>
      <c r="I118" s="6">
        <f t="shared" si="21"/>
        <v>19980</v>
      </c>
      <c r="J118" s="6">
        <f t="shared" si="22"/>
        <v>3329.9999999999995</v>
      </c>
      <c r="K118" s="159"/>
    </row>
    <row r="119" spans="4:11" x14ac:dyDescent="0.3">
      <c r="E119" s="5" t="s">
        <v>529</v>
      </c>
      <c r="F119" s="6">
        <v>22</v>
      </c>
      <c r="G119" s="11">
        <v>7.35</v>
      </c>
      <c r="H119" s="8">
        <f t="shared" si="20"/>
        <v>0.16169999999999998</v>
      </c>
      <c r="I119" s="6">
        <f t="shared" si="21"/>
        <v>6600</v>
      </c>
      <c r="J119" s="6">
        <f t="shared" si="22"/>
        <v>1100</v>
      </c>
    </row>
    <row r="120" spans="4:11" x14ac:dyDescent="0.3">
      <c r="E120" s="133" t="s">
        <v>611</v>
      </c>
      <c r="F120" s="97">
        <v>1</v>
      </c>
      <c r="G120" s="98"/>
      <c r="H120" s="99">
        <v>0.5</v>
      </c>
      <c r="I120" s="97"/>
      <c r="J120" s="97"/>
    </row>
    <row r="121" spans="4:11" x14ac:dyDescent="0.3">
      <c r="E121" s="27"/>
      <c r="F121" s="19">
        <f>SUM(F111:F119)</f>
        <v>1050.3</v>
      </c>
      <c r="G121" s="20"/>
      <c r="H121" s="21">
        <f>SUM(H111:H120)</f>
        <v>10.244132</v>
      </c>
      <c r="I121" s="19">
        <f>SUM(I111:I119)</f>
        <v>315090</v>
      </c>
      <c r="J121" s="153">
        <f>SUM(J111:J119)</f>
        <v>52515</v>
      </c>
    </row>
    <row r="124" spans="4:11" ht="23.4" x14ac:dyDescent="0.45">
      <c r="E124" s="172" t="s">
        <v>705</v>
      </c>
      <c r="F124" s="173"/>
      <c r="G124" s="173"/>
      <c r="H124" s="173"/>
      <c r="I124" s="173"/>
      <c r="J124" s="173"/>
    </row>
    <row r="125" spans="4:11" ht="46.8" x14ac:dyDescent="0.3">
      <c r="D125" s="1">
        <v>4</v>
      </c>
      <c r="E125" s="2" t="s">
        <v>0</v>
      </c>
      <c r="F125" s="3" t="s">
        <v>1</v>
      </c>
      <c r="G125" s="3" t="s">
        <v>2</v>
      </c>
      <c r="H125" s="3" t="s">
        <v>24</v>
      </c>
      <c r="I125" s="3" t="s">
        <v>545</v>
      </c>
      <c r="J125" s="3" t="s">
        <v>548</v>
      </c>
    </row>
    <row r="126" spans="4:11" x14ac:dyDescent="0.3">
      <c r="E126" s="5" t="s">
        <v>55</v>
      </c>
      <c r="F126" s="11">
        <v>536</v>
      </c>
      <c r="G126" s="11">
        <v>1</v>
      </c>
      <c r="H126" s="8">
        <f t="shared" ref="H126:H134" si="23">(G126/1000)*F126</f>
        <v>0.53600000000000003</v>
      </c>
      <c r="I126" s="6">
        <f>(F126*300)</f>
        <v>160800</v>
      </c>
      <c r="J126" s="6">
        <f>(F126*50)</f>
        <v>26800</v>
      </c>
    </row>
    <row r="127" spans="4:11" x14ac:dyDescent="0.3">
      <c r="E127" s="5" t="s">
        <v>221</v>
      </c>
      <c r="F127" s="11">
        <v>240</v>
      </c>
      <c r="G127" s="11">
        <v>15</v>
      </c>
      <c r="H127" s="8">
        <f t="shared" si="23"/>
        <v>3.5999999999999996</v>
      </c>
      <c r="I127" s="6">
        <f t="shared" ref="I127:I134" si="24">(F127*300)</f>
        <v>72000</v>
      </c>
      <c r="J127" s="6">
        <f t="shared" ref="J127:J134" si="25">(F127*50)</f>
        <v>12000</v>
      </c>
    </row>
    <row r="128" spans="4:11" x14ac:dyDescent="0.3">
      <c r="E128" s="5" t="s">
        <v>706</v>
      </c>
      <c r="F128" s="11">
        <v>70</v>
      </c>
      <c r="G128" s="11">
        <v>15</v>
      </c>
      <c r="H128" s="8">
        <f t="shared" si="23"/>
        <v>1.05</v>
      </c>
      <c r="I128" s="6">
        <f t="shared" si="24"/>
        <v>21000</v>
      </c>
      <c r="J128" s="6">
        <f t="shared" si="25"/>
        <v>3500</v>
      </c>
    </row>
    <row r="129" spans="3:12" x14ac:dyDescent="0.3">
      <c r="E129" s="5" t="s">
        <v>380</v>
      </c>
      <c r="F129" s="11">
        <v>60</v>
      </c>
      <c r="G129" s="11">
        <v>22</v>
      </c>
      <c r="H129" s="8">
        <f t="shared" si="23"/>
        <v>1.3199999999999998</v>
      </c>
      <c r="I129" s="6"/>
      <c r="J129" s="6"/>
    </row>
    <row r="130" spans="3:12" x14ac:dyDescent="0.3">
      <c r="E130" s="24" t="s">
        <v>429</v>
      </c>
      <c r="F130" s="11">
        <v>50</v>
      </c>
      <c r="G130" s="11">
        <v>18</v>
      </c>
      <c r="H130" s="8">
        <f t="shared" si="23"/>
        <v>0.89999999999999991</v>
      </c>
      <c r="I130" s="6">
        <f t="shared" si="24"/>
        <v>15000</v>
      </c>
      <c r="J130" s="6">
        <f t="shared" si="25"/>
        <v>2500</v>
      </c>
    </row>
    <row r="131" spans="3:12" x14ac:dyDescent="0.3">
      <c r="E131" s="5" t="s">
        <v>203</v>
      </c>
      <c r="F131" s="6">
        <v>30</v>
      </c>
      <c r="G131" s="6">
        <v>9</v>
      </c>
      <c r="H131" s="8">
        <f t="shared" si="23"/>
        <v>0.26999999999999996</v>
      </c>
      <c r="I131" s="6">
        <f t="shared" si="24"/>
        <v>9000</v>
      </c>
      <c r="J131" s="6">
        <f t="shared" si="25"/>
        <v>1500</v>
      </c>
    </row>
    <row r="132" spans="3:12" x14ac:dyDescent="0.3">
      <c r="E132" s="5" t="s">
        <v>208</v>
      </c>
      <c r="F132" s="6">
        <v>4</v>
      </c>
      <c r="G132" s="6">
        <v>22</v>
      </c>
      <c r="H132" s="8">
        <f t="shared" si="23"/>
        <v>8.7999999999999995E-2</v>
      </c>
      <c r="I132" s="6">
        <f t="shared" si="24"/>
        <v>1200</v>
      </c>
      <c r="J132" s="6">
        <f t="shared" si="25"/>
        <v>200</v>
      </c>
    </row>
    <row r="133" spans="3:12" x14ac:dyDescent="0.3">
      <c r="E133" s="5" t="s">
        <v>590</v>
      </c>
      <c r="F133" s="6">
        <v>2</v>
      </c>
      <c r="G133" s="6">
        <v>160</v>
      </c>
      <c r="H133" s="8">
        <f t="shared" si="23"/>
        <v>0.32</v>
      </c>
      <c r="I133" s="6">
        <f t="shared" si="24"/>
        <v>600</v>
      </c>
      <c r="J133" s="6">
        <f t="shared" si="25"/>
        <v>100</v>
      </c>
    </row>
    <row r="134" spans="3:12" x14ac:dyDescent="0.3">
      <c r="E134" s="5" t="s">
        <v>21</v>
      </c>
      <c r="F134" s="6">
        <v>8</v>
      </c>
      <c r="G134" s="6">
        <v>160</v>
      </c>
      <c r="H134" s="8">
        <f t="shared" si="23"/>
        <v>1.28</v>
      </c>
      <c r="I134" s="6">
        <f t="shared" si="24"/>
        <v>2400</v>
      </c>
      <c r="J134" s="6">
        <f t="shared" si="25"/>
        <v>400</v>
      </c>
    </row>
    <row r="135" spans="3:12" x14ac:dyDescent="0.3">
      <c r="E135" s="27"/>
      <c r="F135" s="19">
        <f>SUM(F126:F134)</f>
        <v>1000</v>
      </c>
      <c r="G135" s="20"/>
      <c r="H135" s="21">
        <f>SUM(H126:H134)</f>
        <v>9.3639999999999972</v>
      </c>
      <c r="I135" s="19">
        <f>SUM(I126:I134)</f>
        <v>282000</v>
      </c>
      <c r="J135" s="153">
        <f>SUM(J126:J134)</f>
        <v>47000</v>
      </c>
    </row>
    <row r="139" spans="3:12" ht="23.4" x14ac:dyDescent="0.45">
      <c r="C139">
        <f>9214/25</f>
        <v>368.56</v>
      </c>
      <c r="E139" s="172" t="s">
        <v>524</v>
      </c>
      <c r="F139" s="173"/>
      <c r="G139" s="173"/>
      <c r="H139" s="173"/>
      <c r="I139" s="173"/>
      <c r="J139" s="173"/>
      <c r="K139" s="173"/>
      <c r="L139" s="174"/>
    </row>
    <row r="140" spans="3:12" ht="62.4" x14ac:dyDescent="0.3">
      <c r="D140" s="33">
        <v>1</v>
      </c>
      <c r="E140" s="2" t="s">
        <v>0</v>
      </c>
      <c r="F140" s="3" t="s">
        <v>135</v>
      </c>
      <c r="G140" s="3" t="s">
        <v>2</v>
      </c>
      <c r="H140" s="3" t="s">
        <v>24</v>
      </c>
      <c r="I140" s="3" t="s">
        <v>235</v>
      </c>
      <c r="J140" s="3" t="s">
        <v>47</v>
      </c>
      <c r="K140" s="3" t="s">
        <v>86</v>
      </c>
      <c r="L140" s="4"/>
    </row>
    <row r="141" spans="3:12" x14ac:dyDescent="0.3">
      <c r="D141" s="35">
        <v>1</v>
      </c>
      <c r="E141" s="24" t="s">
        <v>27</v>
      </c>
      <c r="F141" s="6">
        <v>874</v>
      </c>
      <c r="G141" s="7">
        <v>0.6</v>
      </c>
      <c r="H141" s="7">
        <f>(G141/1000)*F141</f>
        <v>0.52439999999999998</v>
      </c>
      <c r="I141" s="6">
        <f>(F141*5)</f>
        <v>4370</v>
      </c>
      <c r="J141" s="12">
        <f>(G141/1000)*I141</f>
        <v>2.6219999999999999</v>
      </c>
      <c r="K141" s="6">
        <f>(F141*25)</f>
        <v>21850</v>
      </c>
      <c r="L141" s="10" t="s">
        <v>7</v>
      </c>
    </row>
    <row r="142" spans="3:12" x14ac:dyDescent="0.3">
      <c r="D142" s="35"/>
      <c r="E142" s="24" t="s">
        <v>758</v>
      </c>
      <c r="F142" s="6">
        <v>10</v>
      </c>
      <c r="G142" s="63">
        <v>1580</v>
      </c>
      <c r="H142" s="7">
        <f t="shared" ref="H142:H143" si="26">(G142/1000)*F142</f>
        <v>15.8</v>
      </c>
      <c r="I142" s="6">
        <f t="shared" ref="I142:I143" si="27">(F142*12.5)</f>
        <v>125</v>
      </c>
      <c r="J142" s="7">
        <f t="shared" ref="J142:J143" si="28">(G142/1000)*I142</f>
        <v>197.5</v>
      </c>
      <c r="K142" s="26">
        <f t="shared" ref="K142:K143" si="29">(F142*10)</f>
        <v>100</v>
      </c>
      <c r="L142" s="10"/>
    </row>
    <row r="143" spans="3:12" x14ac:dyDescent="0.3">
      <c r="D143" s="35"/>
      <c r="E143" s="24" t="s">
        <v>759</v>
      </c>
      <c r="F143" s="6">
        <v>20</v>
      </c>
      <c r="G143" s="63">
        <v>1230</v>
      </c>
      <c r="H143" s="7">
        <f t="shared" si="26"/>
        <v>24.6</v>
      </c>
      <c r="I143" s="6">
        <f t="shared" si="27"/>
        <v>250</v>
      </c>
      <c r="J143" s="7">
        <f t="shared" si="28"/>
        <v>307.5</v>
      </c>
      <c r="K143" s="26">
        <f t="shared" si="29"/>
        <v>200</v>
      </c>
      <c r="L143" s="10"/>
    </row>
    <row r="144" spans="3:12" x14ac:dyDescent="0.3">
      <c r="D144" s="35">
        <v>7</v>
      </c>
      <c r="E144" s="24" t="s">
        <v>48</v>
      </c>
      <c r="F144" s="6">
        <v>2</v>
      </c>
      <c r="G144" s="7">
        <v>55</v>
      </c>
      <c r="H144" s="7">
        <f t="shared" ref="H144:H150" si="30">(G144/1000)*F144</f>
        <v>0.11</v>
      </c>
      <c r="I144" s="6">
        <f t="shared" ref="I144:I150" si="31">(F144*5)</f>
        <v>10</v>
      </c>
      <c r="J144" s="12">
        <f t="shared" ref="J144:J150" si="32">(G144/1000)*I144</f>
        <v>0.55000000000000004</v>
      </c>
      <c r="K144" s="6">
        <f t="shared" ref="K144:K150" si="33">(F144*25)</f>
        <v>50</v>
      </c>
      <c r="L144" s="10" t="s">
        <v>7</v>
      </c>
    </row>
    <row r="145" spans="4:12" x14ac:dyDescent="0.3">
      <c r="D145" s="35">
        <v>2</v>
      </c>
      <c r="E145" s="24" t="s">
        <v>28</v>
      </c>
      <c r="F145" s="6">
        <v>1</v>
      </c>
      <c r="G145" s="7">
        <v>45</v>
      </c>
      <c r="H145" s="7">
        <f t="shared" si="30"/>
        <v>4.4999999999999998E-2</v>
      </c>
      <c r="I145" s="6">
        <f t="shared" si="31"/>
        <v>5</v>
      </c>
      <c r="J145" s="12">
        <f t="shared" si="32"/>
        <v>0.22499999999999998</v>
      </c>
      <c r="K145" s="6">
        <f t="shared" si="33"/>
        <v>25</v>
      </c>
      <c r="L145" s="10" t="s">
        <v>7</v>
      </c>
    </row>
    <row r="146" spans="4:12" x14ac:dyDescent="0.3">
      <c r="D146" s="35">
        <v>3</v>
      </c>
      <c r="E146" s="24" t="s">
        <v>29</v>
      </c>
      <c r="F146" s="11">
        <v>0.5</v>
      </c>
      <c r="G146" s="7">
        <v>60</v>
      </c>
      <c r="H146" s="7">
        <f t="shared" si="30"/>
        <v>0.03</v>
      </c>
      <c r="I146" s="6">
        <f t="shared" si="31"/>
        <v>2.5</v>
      </c>
      <c r="J146" s="12">
        <f t="shared" si="32"/>
        <v>0.15</v>
      </c>
      <c r="K146" s="6">
        <f t="shared" si="33"/>
        <v>12.5</v>
      </c>
      <c r="L146" s="10" t="s">
        <v>7</v>
      </c>
    </row>
    <row r="147" spans="4:12" x14ac:dyDescent="0.3">
      <c r="D147" s="35">
        <v>4</v>
      </c>
      <c r="E147" s="24" t="s">
        <v>49</v>
      </c>
      <c r="F147" s="32">
        <v>0.5</v>
      </c>
      <c r="G147" s="7">
        <v>90</v>
      </c>
      <c r="H147" s="7">
        <f t="shared" si="30"/>
        <v>4.4999999999999998E-2</v>
      </c>
      <c r="I147" s="6">
        <f t="shared" si="31"/>
        <v>2.5</v>
      </c>
      <c r="J147" s="12">
        <f t="shared" si="32"/>
        <v>0.22499999999999998</v>
      </c>
      <c r="K147" s="6">
        <f t="shared" si="33"/>
        <v>12.5</v>
      </c>
      <c r="L147" s="10" t="s">
        <v>7</v>
      </c>
    </row>
    <row r="148" spans="4:12" x14ac:dyDescent="0.3">
      <c r="D148" s="35">
        <v>6</v>
      </c>
      <c r="E148" s="24" t="s">
        <v>19</v>
      </c>
      <c r="F148" s="6">
        <v>50</v>
      </c>
      <c r="G148" s="7">
        <v>8</v>
      </c>
      <c r="H148" s="7">
        <f t="shared" si="30"/>
        <v>0.4</v>
      </c>
      <c r="I148" s="6">
        <f t="shared" si="31"/>
        <v>250</v>
      </c>
      <c r="J148" s="12">
        <f t="shared" si="32"/>
        <v>2</v>
      </c>
      <c r="K148" s="6">
        <f t="shared" si="33"/>
        <v>1250</v>
      </c>
      <c r="L148" s="10" t="s">
        <v>7</v>
      </c>
    </row>
    <row r="149" spans="4:12" x14ac:dyDescent="0.3">
      <c r="D149" s="35">
        <v>8</v>
      </c>
      <c r="E149" s="24" t="s">
        <v>51</v>
      </c>
      <c r="F149" s="6">
        <v>3</v>
      </c>
      <c r="G149" s="7">
        <v>20</v>
      </c>
      <c r="H149" s="7">
        <f t="shared" si="30"/>
        <v>0.06</v>
      </c>
      <c r="I149" s="6">
        <f t="shared" si="31"/>
        <v>15</v>
      </c>
      <c r="J149" s="12">
        <f t="shared" si="32"/>
        <v>0.3</v>
      </c>
      <c r="K149" s="6">
        <f t="shared" si="33"/>
        <v>75</v>
      </c>
      <c r="L149" s="10" t="s">
        <v>7</v>
      </c>
    </row>
    <row r="150" spans="4:12" x14ac:dyDescent="0.3">
      <c r="D150" s="35">
        <v>5</v>
      </c>
      <c r="E150" s="24" t="s">
        <v>52</v>
      </c>
      <c r="F150" s="6">
        <v>40</v>
      </c>
      <c r="G150" s="7">
        <v>130</v>
      </c>
      <c r="H150" s="7">
        <f t="shared" si="30"/>
        <v>5.2</v>
      </c>
      <c r="I150" s="6">
        <f t="shared" si="31"/>
        <v>200</v>
      </c>
      <c r="J150" s="12">
        <f t="shared" si="32"/>
        <v>26</v>
      </c>
      <c r="K150" s="6">
        <f t="shared" si="33"/>
        <v>1000</v>
      </c>
      <c r="L150" s="10" t="s">
        <v>7</v>
      </c>
    </row>
    <row r="151" spans="4:12" x14ac:dyDescent="0.3">
      <c r="E151" s="27"/>
      <c r="F151" s="19">
        <f>SUM(F141:F150)</f>
        <v>1001</v>
      </c>
      <c r="G151" s="20"/>
      <c r="H151" s="21">
        <f>SUM(H141:H150)</f>
        <v>46.814400000000013</v>
      </c>
      <c r="I151" s="19">
        <f>SUM(I141:I150)</f>
        <v>5230</v>
      </c>
      <c r="J151" s="22">
        <f>SUM(J141:J150)</f>
        <v>537.07200000000012</v>
      </c>
      <c r="K151" s="19">
        <f>SUM(K141:K150)</f>
        <v>24575</v>
      </c>
      <c r="L151" s="23"/>
    </row>
    <row r="154" spans="4:12" ht="23.4" x14ac:dyDescent="0.45">
      <c r="E154" s="172" t="s">
        <v>782</v>
      </c>
      <c r="F154" s="173"/>
      <c r="G154" s="173"/>
      <c r="H154" s="173"/>
      <c r="I154" s="173"/>
      <c r="J154" s="173"/>
      <c r="K154" s="173"/>
      <c r="L154" s="174"/>
    </row>
    <row r="155" spans="4:12" ht="62.4" x14ac:dyDescent="0.3">
      <c r="D155" s="33">
        <v>1</v>
      </c>
      <c r="E155" s="2" t="s">
        <v>0</v>
      </c>
      <c r="F155" s="3" t="s">
        <v>135</v>
      </c>
      <c r="G155" s="3" t="s">
        <v>2</v>
      </c>
      <c r="H155" s="3" t="s">
        <v>24</v>
      </c>
      <c r="I155" s="3" t="s">
        <v>235</v>
      </c>
      <c r="J155" s="3" t="s">
        <v>47</v>
      </c>
      <c r="K155" s="3" t="s">
        <v>86</v>
      </c>
      <c r="L155" s="4"/>
    </row>
    <row r="156" spans="4:12" x14ac:dyDescent="0.3">
      <c r="D156" s="35">
        <v>1</v>
      </c>
      <c r="E156" s="24" t="s">
        <v>27</v>
      </c>
      <c r="F156" s="6">
        <v>825</v>
      </c>
      <c r="G156" s="7">
        <v>1.2</v>
      </c>
      <c r="H156" s="7">
        <f>(G156/1000)*F156</f>
        <v>0.98999999999999988</v>
      </c>
      <c r="I156" s="6">
        <f>(F156*5)</f>
        <v>4125</v>
      </c>
      <c r="J156" s="12">
        <f>(G156/1000)*I156</f>
        <v>4.9499999999999993</v>
      </c>
      <c r="K156" s="6">
        <f>(F156*25)</f>
        <v>20625</v>
      </c>
      <c r="L156" s="10" t="s">
        <v>7</v>
      </c>
    </row>
    <row r="157" spans="4:12" x14ac:dyDescent="0.3">
      <c r="D157" s="35"/>
      <c r="E157" s="24" t="s">
        <v>775</v>
      </c>
      <c r="F157" s="6">
        <v>25</v>
      </c>
      <c r="G157" s="63">
        <v>18</v>
      </c>
      <c r="H157" s="7">
        <f t="shared" ref="H157:H166" si="34">(G157/1000)*F157</f>
        <v>0.44999999999999996</v>
      </c>
      <c r="I157" s="6">
        <f t="shared" ref="I157:I158" si="35">(F157*12.5)</f>
        <v>312.5</v>
      </c>
      <c r="J157" s="7">
        <f t="shared" ref="J157:J166" si="36">(G157/1000)*I157</f>
        <v>5.625</v>
      </c>
      <c r="K157" s="26">
        <f t="shared" ref="K157:K158" si="37">(F157*10)</f>
        <v>250</v>
      </c>
      <c r="L157" s="10"/>
    </row>
    <row r="158" spans="4:12" x14ac:dyDescent="0.3">
      <c r="D158" s="35"/>
      <c r="E158" s="24" t="s">
        <v>776</v>
      </c>
      <c r="F158" s="6">
        <v>15</v>
      </c>
      <c r="G158" s="63">
        <v>15</v>
      </c>
      <c r="H158" s="7">
        <f t="shared" si="34"/>
        <v>0.22499999999999998</v>
      </c>
      <c r="I158" s="6">
        <f t="shared" si="35"/>
        <v>187.5</v>
      </c>
      <c r="J158" s="7">
        <f t="shared" si="36"/>
        <v>2.8125</v>
      </c>
      <c r="K158" s="26">
        <f t="shared" si="37"/>
        <v>150</v>
      </c>
      <c r="L158" s="10"/>
    </row>
    <row r="159" spans="4:12" x14ac:dyDescent="0.3">
      <c r="D159" s="35">
        <v>7</v>
      </c>
      <c r="E159" s="24" t="s">
        <v>777</v>
      </c>
      <c r="F159" s="6">
        <v>40</v>
      </c>
      <c r="G159" s="7">
        <v>15</v>
      </c>
      <c r="H159" s="7">
        <f t="shared" si="34"/>
        <v>0.6</v>
      </c>
      <c r="I159" s="6">
        <f t="shared" ref="I159:I166" si="38">(F159*5)</f>
        <v>200</v>
      </c>
      <c r="J159" s="12">
        <f t="shared" si="36"/>
        <v>3</v>
      </c>
      <c r="K159" s="6">
        <f t="shared" ref="K159:K166" si="39">(F159*25)</f>
        <v>1000</v>
      </c>
      <c r="L159" s="10" t="s">
        <v>7</v>
      </c>
    </row>
    <row r="160" spans="4:12" x14ac:dyDescent="0.3">
      <c r="D160" s="35">
        <v>2</v>
      </c>
      <c r="E160" s="24" t="s">
        <v>292</v>
      </c>
      <c r="F160" s="6">
        <v>60</v>
      </c>
      <c r="G160" s="7">
        <v>25</v>
      </c>
      <c r="H160" s="7">
        <f t="shared" si="34"/>
        <v>1.5</v>
      </c>
      <c r="I160" s="6">
        <f t="shared" si="38"/>
        <v>300</v>
      </c>
      <c r="J160" s="12">
        <f t="shared" si="36"/>
        <v>7.5</v>
      </c>
      <c r="K160" s="6">
        <f t="shared" si="39"/>
        <v>1500</v>
      </c>
      <c r="L160" s="10" t="s">
        <v>7</v>
      </c>
    </row>
    <row r="161" spans="4:12" x14ac:dyDescent="0.3">
      <c r="D161" s="35">
        <v>3</v>
      </c>
      <c r="E161" s="24" t="s">
        <v>120</v>
      </c>
      <c r="F161" s="11">
        <v>10</v>
      </c>
      <c r="G161" s="7">
        <v>8</v>
      </c>
      <c r="H161" s="7">
        <f t="shared" si="34"/>
        <v>0.08</v>
      </c>
      <c r="I161" s="6">
        <f t="shared" si="38"/>
        <v>50</v>
      </c>
      <c r="J161" s="12">
        <f t="shared" si="36"/>
        <v>0.4</v>
      </c>
      <c r="K161" s="6">
        <f t="shared" si="39"/>
        <v>250</v>
      </c>
      <c r="L161" s="10" t="s">
        <v>7</v>
      </c>
    </row>
    <row r="162" spans="4:12" x14ac:dyDescent="0.3">
      <c r="D162" s="35">
        <v>4</v>
      </c>
      <c r="E162" s="24" t="s">
        <v>778</v>
      </c>
      <c r="F162" s="32">
        <v>30</v>
      </c>
      <c r="G162" s="7">
        <v>25</v>
      </c>
      <c r="H162" s="7">
        <f t="shared" si="34"/>
        <v>0.75</v>
      </c>
      <c r="I162" s="6">
        <f t="shared" si="38"/>
        <v>150</v>
      </c>
      <c r="J162" s="12">
        <f t="shared" si="36"/>
        <v>3.75</v>
      </c>
      <c r="K162" s="6">
        <f t="shared" si="39"/>
        <v>750</v>
      </c>
      <c r="L162" s="10" t="s">
        <v>7</v>
      </c>
    </row>
    <row r="163" spans="4:12" x14ac:dyDescent="0.3">
      <c r="D163" s="35">
        <v>6</v>
      </c>
      <c r="E163" s="24" t="s">
        <v>751</v>
      </c>
      <c r="F163" s="6">
        <v>3</v>
      </c>
      <c r="G163" s="7">
        <v>45</v>
      </c>
      <c r="H163" s="7">
        <f t="shared" si="34"/>
        <v>0.13500000000000001</v>
      </c>
      <c r="I163" s="6">
        <f t="shared" si="38"/>
        <v>15</v>
      </c>
      <c r="J163" s="12">
        <f t="shared" si="36"/>
        <v>0.67499999999999993</v>
      </c>
      <c r="K163" s="6">
        <f t="shared" si="39"/>
        <v>75</v>
      </c>
      <c r="L163" s="10" t="s">
        <v>7</v>
      </c>
    </row>
    <row r="164" spans="4:12" x14ac:dyDescent="0.3">
      <c r="D164" s="35">
        <v>8</v>
      </c>
      <c r="E164" s="24" t="s">
        <v>779</v>
      </c>
      <c r="F164" s="11">
        <v>1.5</v>
      </c>
      <c r="G164" s="7">
        <v>50</v>
      </c>
      <c r="H164" s="7">
        <f t="shared" si="34"/>
        <v>7.5000000000000011E-2</v>
      </c>
      <c r="I164" s="6">
        <f t="shared" si="38"/>
        <v>7.5</v>
      </c>
      <c r="J164" s="12">
        <f t="shared" si="36"/>
        <v>0.375</v>
      </c>
      <c r="K164" s="6">
        <f t="shared" si="39"/>
        <v>37.5</v>
      </c>
      <c r="L164" s="10" t="s">
        <v>7</v>
      </c>
    </row>
    <row r="165" spans="4:12" x14ac:dyDescent="0.3">
      <c r="D165" s="35"/>
      <c r="E165" s="24" t="s">
        <v>780</v>
      </c>
      <c r="F165" s="11">
        <v>0.5</v>
      </c>
      <c r="G165" s="7">
        <v>120</v>
      </c>
      <c r="H165" s="7">
        <f t="shared" si="34"/>
        <v>0.06</v>
      </c>
      <c r="I165" s="6">
        <f t="shared" si="38"/>
        <v>2.5</v>
      </c>
      <c r="J165" s="12">
        <f t="shared" si="36"/>
        <v>0.3</v>
      </c>
      <c r="K165" s="6">
        <f t="shared" si="39"/>
        <v>12.5</v>
      </c>
      <c r="L165" s="10"/>
    </row>
    <row r="166" spans="4:12" x14ac:dyDescent="0.3">
      <c r="D166" s="35">
        <v>5</v>
      </c>
      <c r="E166" s="24" t="s">
        <v>781</v>
      </c>
      <c r="F166" s="11">
        <v>1.5</v>
      </c>
      <c r="G166" s="7">
        <v>130</v>
      </c>
      <c r="H166" s="7">
        <f t="shared" si="34"/>
        <v>0.19500000000000001</v>
      </c>
      <c r="I166" s="6">
        <f t="shared" si="38"/>
        <v>7.5</v>
      </c>
      <c r="J166" s="12">
        <f t="shared" si="36"/>
        <v>0.97500000000000009</v>
      </c>
      <c r="K166" s="6">
        <f t="shared" si="39"/>
        <v>37.5</v>
      </c>
      <c r="L166" s="10" t="s">
        <v>7</v>
      </c>
    </row>
    <row r="167" spans="4:12" x14ac:dyDescent="0.3">
      <c r="E167" s="27"/>
      <c r="F167" s="19">
        <f>SUM(F156:F166)</f>
        <v>1011.5</v>
      </c>
      <c r="G167" s="20"/>
      <c r="H167" s="21">
        <f>SUM(H156:H166)</f>
        <v>5.0600000000000005</v>
      </c>
      <c r="I167" s="19">
        <f>SUM(I156:I166)</f>
        <v>5357.5</v>
      </c>
      <c r="J167" s="22">
        <f>SUM(J156:J166)</f>
        <v>30.362500000000001</v>
      </c>
      <c r="K167" s="19">
        <f>SUM(K156:K166)</f>
        <v>24687.5</v>
      </c>
      <c r="L167" s="23"/>
    </row>
    <row r="170" spans="4:12" ht="23.4" x14ac:dyDescent="0.45">
      <c r="E170" s="172" t="s">
        <v>802</v>
      </c>
      <c r="F170" s="173"/>
      <c r="G170" s="173"/>
      <c r="H170" s="173"/>
      <c r="I170" s="173"/>
      <c r="J170" s="173"/>
      <c r="K170" s="173"/>
      <c r="L170" s="174"/>
    </row>
    <row r="171" spans="4:12" ht="62.4" x14ac:dyDescent="0.3">
      <c r="D171" s="33">
        <v>1</v>
      </c>
      <c r="E171" s="2" t="s">
        <v>0</v>
      </c>
      <c r="F171" s="3" t="s">
        <v>135</v>
      </c>
      <c r="G171" s="3" t="s">
        <v>2</v>
      </c>
      <c r="H171" s="3" t="s">
        <v>24</v>
      </c>
      <c r="I171" s="3" t="s">
        <v>283</v>
      </c>
      <c r="J171" s="3" t="s">
        <v>808</v>
      </c>
      <c r="K171" s="3" t="s">
        <v>86</v>
      </c>
      <c r="L171" s="4"/>
    </row>
    <row r="172" spans="4:12" x14ac:dyDescent="0.3">
      <c r="D172" s="35">
        <v>1</v>
      </c>
      <c r="E172" s="24" t="s">
        <v>27</v>
      </c>
      <c r="F172" s="11">
        <v>905.5</v>
      </c>
      <c r="G172" s="7">
        <v>1.2</v>
      </c>
      <c r="H172" s="7">
        <f>(G172/1000)*F172</f>
        <v>1.0866</v>
      </c>
      <c r="I172" s="6">
        <f>(F172*3)</f>
        <v>2716.5</v>
      </c>
      <c r="J172" s="6">
        <f>(F172*6)</f>
        <v>5433</v>
      </c>
      <c r="K172" s="6">
        <f>(F172*25)</f>
        <v>22637.5</v>
      </c>
      <c r="L172" s="10" t="s">
        <v>7</v>
      </c>
    </row>
    <row r="173" spans="4:12" x14ac:dyDescent="0.3">
      <c r="D173" s="35"/>
      <c r="E173" s="24" t="s">
        <v>19</v>
      </c>
      <c r="F173" s="6">
        <v>30</v>
      </c>
      <c r="G173" s="63">
        <v>18</v>
      </c>
      <c r="H173" s="7">
        <f t="shared" ref="H173:H183" si="40">(G173/1000)*F173</f>
        <v>0.53999999999999992</v>
      </c>
      <c r="I173" s="6">
        <f t="shared" ref="I173:I184" si="41">(F173*3)</f>
        <v>90</v>
      </c>
      <c r="J173" s="6">
        <f t="shared" ref="J173:J184" si="42">(F173*6)</f>
        <v>180</v>
      </c>
      <c r="K173" s="26">
        <f t="shared" ref="K173:K174" si="43">(F173*10)</f>
        <v>300</v>
      </c>
      <c r="L173" s="10"/>
    </row>
    <row r="174" spans="4:12" x14ac:dyDescent="0.3">
      <c r="D174" s="35"/>
      <c r="E174" s="24" t="s">
        <v>803</v>
      </c>
      <c r="F174" s="6">
        <v>5</v>
      </c>
      <c r="G174" s="63">
        <v>15</v>
      </c>
      <c r="H174" s="7">
        <f t="shared" si="40"/>
        <v>7.4999999999999997E-2</v>
      </c>
      <c r="I174" s="6">
        <f t="shared" si="41"/>
        <v>15</v>
      </c>
      <c r="J174" s="6">
        <f t="shared" si="42"/>
        <v>30</v>
      </c>
      <c r="K174" s="26">
        <f t="shared" si="43"/>
        <v>50</v>
      </c>
      <c r="L174" s="10"/>
    </row>
    <row r="175" spans="4:12" x14ac:dyDescent="0.3">
      <c r="D175" s="35">
        <v>7</v>
      </c>
      <c r="E175" s="24" t="s">
        <v>804</v>
      </c>
      <c r="F175" s="11">
        <v>1</v>
      </c>
      <c r="G175" s="7">
        <v>15</v>
      </c>
      <c r="H175" s="7">
        <f t="shared" si="40"/>
        <v>1.4999999999999999E-2</v>
      </c>
      <c r="I175" s="6">
        <f t="shared" si="41"/>
        <v>3</v>
      </c>
      <c r="J175" s="6">
        <f t="shared" si="42"/>
        <v>6</v>
      </c>
      <c r="K175" s="6">
        <f t="shared" ref="K175:K184" si="44">(F175*25)</f>
        <v>25</v>
      </c>
      <c r="L175" s="10" t="s">
        <v>7</v>
      </c>
    </row>
    <row r="176" spans="4:12" x14ac:dyDescent="0.3">
      <c r="D176" s="35">
        <v>2</v>
      </c>
      <c r="E176" s="24" t="s">
        <v>384</v>
      </c>
      <c r="F176" s="11">
        <v>1.5</v>
      </c>
      <c r="G176" s="7">
        <v>25</v>
      </c>
      <c r="H176" s="7">
        <f t="shared" si="40"/>
        <v>3.7500000000000006E-2</v>
      </c>
      <c r="I176" s="6">
        <f t="shared" si="41"/>
        <v>4.5</v>
      </c>
      <c r="J176" s="6">
        <f t="shared" si="42"/>
        <v>9</v>
      </c>
      <c r="K176" s="6">
        <f t="shared" si="44"/>
        <v>37.5</v>
      </c>
      <c r="L176" s="10" t="s">
        <v>7</v>
      </c>
    </row>
    <row r="177" spans="4:12" x14ac:dyDescent="0.3">
      <c r="D177" s="35">
        <v>3</v>
      </c>
      <c r="E177" s="24" t="s">
        <v>642</v>
      </c>
      <c r="F177" s="6">
        <v>20</v>
      </c>
      <c r="G177" s="7">
        <v>8</v>
      </c>
      <c r="H177" s="7">
        <f t="shared" si="40"/>
        <v>0.16</v>
      </c>
      <c r="I177" s="6">
        <f t="shared" si="41"/>
        <v>60</v>
      </c>
      <c r="J177" s="6">
        <f t="shared" si="42"/>
        <v>120</v>
      </c>
      <c r="K177" s="6">
        <f t="shared" si="44"/>
        <v>500</v>
      </c>
      <c r="L177" s="10" t="s">
        <v>7</v>
      </c>
    </row>
    <row r="178" spans="4:12" x14ac:dyDescent="0.3">
      <c r="D178" s="35">
        <v>4</v>
      </c>
      <c r="E178" s="24" t="s">
        <v>559</v>
      </c>
      <c r="F178" s="25">
        <v>20</v>
      </c>
      <c r="G178" s="7">
        <v>25</v>
      </c>
      <c r="H178" s="7">
        <f t="shared" si="40"/>
        <v>0.5</v>
      </c>
      <c r="I178" s="6">
        <f t="shared" si="41"/>
        <v>60</v>
      </c>
      <c r="J178" s="6">
        <f t="shared" si="42"/>
        <v>120</v>
      </c>
      <c r="K178" s="6">
        <f t="shared" si="44"/>
        <v>500</v>
      </c>
      <c r="L178" s="10" t="s">
        <v>7</v>
      </c>
    </row>
    <row r="179" spans="4:12" x14ac:dyDescent="0.3">
      <c r="D179" s="35">
        <v>6</v>
      </c>
      <c r="E179" s="24" t="s">
        <v>504</v>
      </c>
      <c r="F179" s="6">
        <v>2</v>
      </c>
      <c r="G179" s="7">
        <v>45</v>
      </c>
      <c r="H179" s="7">
        <f t="shared" si="40"/>
        <v>0.09</v>
      </c>
      <c r="I179" s="6">
        <f t="shared" si="41"/>
        <v>6</v>
      </c>
      <c r="J179" s="6">
        <f t="shared" si="42"/>
        <v>12</v>
      </c>
      <c r="K179" s="6">
        <f t="shared" si="44"/>
        <v>50</v>
      </c>
      <c r="L179" s="10" t="s">
        <v>7</v>
      </c>
    </row>
    <row r="180" spans="4:12" x14ac:dyDescent="0.3">
      <c r="D180" s="35">
        <v>8</v>
      </c>
      <c r="E180" s="24" t="s">
        <v>805</v>
      </c>
      <c r="F180" s="6">
        <v>9</v>
      </c>
      <c r="G180" s="7">
        <v>50</v>
      </c>
      <c r="H180" s="7">
        <f t="shared" si="40"/>
        <v>0.45</v>
      </c>
      <c r="I180" s="6">
        <f t="shared" si="41"/>
        <v>27</v>
      </c>
      <c r="J180" s="6">
        <f t="shared" si="42"/>
        <v>54</v>
      </c>
      <c r="K180" s="6">
        <f t="shared" si="44"/>
        <v>225</v>
      </c>
      <c r="L180" s="10" t="s">
        <v>7</v>
      </c>
    </row>
    <row r="181" spans="4:12" x14ac:dyDescent="0.3">
      <c r="D181" s="35"/>
      <c r="E181" s="24" t="s">
        <v>168</v>
      </c>
      <c r="F181" s="6">
        <v>9</v>
      </c>
      <c r="G181" s="7"/>
      <c r="H181" s="7"/>
      <c r="I181" s="6">
        <f t="shared" si="41"/>
        <v>27</v>
      </c>
      <c r="J181" s="6">
        <f t="shared" si="42"/>
        <v>54</v>
      </c>
      <c r="K181" s="6">
        <f t="shared" si="44"/>
        <v>225</v>
      </c>
      <c r="L181" s="10"/>
    </row>
    <row r="182" spans="4:12" x14ac:dyDescent="0.3">
      <c r="D182" s="35"/>
      <c r="E182" s="24" t="s">
        <v>646</v>
      </c>
      <c r="F182" s="6" t="s">
        <v>114</v>
      </c>
      <c r="G182" s="7">
        <v>120</v>
      </c>
      <c r="H182" s="7" t="e">
        <f t="shared" si="40"/>
        <v>#VALUE!</v>
      </c>
      <c r="I182" s="6" t="e">
        <f t="shared" si="41"/>
        <v>#VALUE!</v>
      </c>
      <c r="J182" s="6" t="e">
        <f t="shared" si="42"/>
        <v>#VALUE!</v>
      </c>
      <c r="K182" s="6" t="e">
        <f t="shared" si="44"/>
        <v>#VALUE!</v>
      </c>
      <c r="L182" s="10"/>
    </row>
    <row r="183" spans="4:12" x14ac:dyDescent="0.3">
      <c r="D183" s="35">
        <v>5</v>
      </c>
      <c r="E183" s="24" t="s">
        <v>806</v>
      </c>
      <c r="F183" s="6">
        <v>1</v>
      </c>
      <c r="G183" s="7">
        <v>130</v>
      </c>
      <c r="H183" s="7">
        <f t="shared" si="40"/>
        <v>0.13</v>
      </c>
      <c r="I183" s="6">
        <f t="shared" si="41"/>
        <v>3</v>
      </c>
      <c r="J183" s="6">
        <f t="shared" si="42"/>
        <v>6</v>
      </c>
      <c r="K183" s="6">
        <f t="shared" si="44"/>
        <v>25</v>
      </c>
      <c r="L183" s="10" t="s">
        <v>7</v>
      </c>
    </row>
    <row r="184" spans="4:12" x14ac:dyDescent="0.3">
      <c r="D184" s="35"/>
      <c r="E184" s="24" t="s">
        <v>807</v>
      </c>
      <c r="F184" s="6">
        <v>3</v>
      </c>
      <c r="G184" s="7"/>
      <c r="H184" s="7"/>
      <c r="I184" s="6">
        <f t="shared" si="41"/>
        <v>9</v>
      </c>
      <c r="J184" s="6">
        <f t="shared" si="42"/>
        <v>18</v>
      </c>
      <c r="K184" s="6">
        <f t="shared" si="44"/>
        <v>75</v>
      </c>
      <c r="L184" s="5"/>
    </row>
    <row r="185" spans="4:12" x14ac:dyDescent="0.3">
      <c r="E185" s="27"/>
      <c r="F185" s="19">
        <f>SUM(F172:F184)</f>
        <v>1007</v>
      </c>
      <c r="G185" s="20"/>
      <c r="H185" s="21" t="e">
        <f>SUM(H172:H183)</f>
        <v>#VALUE!</v>
      </c>
      <c r="I185" s="19" t="e">
        <f>SUM(I172:I184)</f>
        <v>#VALUE!</v>
      </c>
      <c r="J185" s="153" t="e">
        <f>SUM(J172:J184)</f>
        <v>#VALUE!</v>
      </c>
      <c r="K185" s="19" t="e">
        <f>SUM(K172:K184)</f>
        <v>#VALUE!</v>
      </c>
      <c r="L185" s="23"/>
    </row>
    <row r="188" spans="4:12" ht="23.4" x14ac:dyDescent="0.45">
      <c r="E188" s="172" t="s">
        <v>809</v>
      </c>
      <c r="F188" s="173"/>
      <c r="G188" s="173"/>
      <c r="H188" s="173"/>
      <c r="I188" s="173"/>
      <c r="J188" s="173"/>
      <c r="K188" s="173"/>
      <c r="L188" s="174"/>
    </row>
    <row r="189" spans="4:12" ht="62.4" x14ac:dyDescent="0.3">
      <c r="D189" s="1">
        <v>2</v>
      </c>
      <c r="E189" s="36" t="s">
        <v>0</v>
      </c>
      <c r="F189" s="4" t="s">
        <v>1</v>
      </c>
      <c r="G189" s="4" t="s">
        <v>2</v>
      </c>
      <c r="H189" s="4" t="s">
        <v>14</v>
      </c>
      <c r="I189" s="4" t="s">
        <v>793</v>
      </c>
      <c r="J189" s="4" t="s">
        <v>75</v>
      </c>
      <c r="K189" s="4" t="s">
        <v>715</v>
      </c>
      <c r="L189" s="4" t="s">
        <v>76</v>
      </c>
    </row>
    <row r="190" spans="4:12" x14ac:dyDescent="0.3">
      <c r="D190" s="35"/>
      <c r="E190" s="5" t="s">
        <v>16</v>
      </c>
      <c r="F190" s="6">
        <v>679</v>
      </c>
      <c r="G190" s="37">
        <v>0.8</v>
      </c>
      <c r="H190" s="8">
        <f>(G190/1000)*F190</f>
        <v>0.54320000000000002</v>
      </c>
      <c r="I190" s="6">
        <f>(F190*18)</f>
        <v>12222</v>
      </c>
      <c r="J190" s="38">
        <f>(G190/1000)*I190</f>
        <v>9.7775999999999996</v>
      </c>
      <c r="K190" s="6">
        <f>(F190*30)</f>
        <v>20370</v>
      </c>
      <c r="L190" s="6">
        <f>(F190*50)</f>
        <v>33950</v>
      </c>
    </row>
    <row r="191" spans="4:12" x14ac:dyDescent="0.3">
      <c r="D191" s="35"/>
      <c r="E191" s="5" t="s">
        <v>431</v>
      </c>
      <c r="F191" s="6">
        <v>250</v>
      </c>
      <c r="G191" s="37">
        <v>15</v>
      </c>
      <c r="H191" s="8">
        <f t="shared" ref="H191:H196" si="45">(G191/1000)*F191</f>
        <v>3.75</v>
      </c>
      <c r="I191" s="6">
        <f t="shared" ref="I191:I196" si="46">(F191*18)</f>
        <v>4500</v>
      </c>
      <c r="J191" s="38">
        <f t="shared" ref="J191:J196" si="47">(G191/1000)*I191</f>
        <v>67.5</v>
      </c>
      <c r="K191" s="6">
        <f t="shared" ref="K191:K196" si="48">(F191*30)</f>
        <v>7500</v>
      </c>
      <c r="L191" s="6">
        <f t="shared" ref="L191:L196" si="49">(F191*50)</f>
        <v>12500</v>
      </c>
    </row>
    <row r="192" spans="4:12" x14ac:dyDescent="0.3">
      <c r="D192" s="35"/>
      <c r="E192" s="5" t="s">
        <v>380</v>
      </c>
      <c r="F192" s="6">
        <v>30</v>
      </c>
      <c r="G192" s="37">
        <v>25</v>
      </c>
      <c r="H192" s="8">
        <f t="shared" si="45"/>
        <v>0.75</v>
      </c>
      <c r="I192" s="6">
        <f t="shared" si="46"/>
        <v>540</v>
      </c>
      <c r="J192" s="38">
        <f t="shared" si="47"/>
        <v>13.5</v>
      </c>
      <c r="K192" s="6">
        <f t="shared" si="48"/>
        <v>900</v>
      </c>
      <c r="L192" s="6">
        <f t="shared" si="49"/>
        <v>1500</v>
      </c>
    </row>
    <row r="193" spans="4:12" x14ac:dyDescent="0.3">
      <c r="D193" s="35"/>
      <c r="E193" s="5" t="s">
        <v>810</v>
      </c>
      <c r="F193" s="6">
        <v>20</v>
      </c>
      <c r="G193" s="37">
        <v>16</v>
      </c>
      <c r="H193" s="8">
        <f t="shared" si="45"/>
        <v>0.32</v>
      </c>
      <c r="I193" s="6">
        <f t="shared" si="46"/>
        <v>360</v>
      </c>
      <c r="J193" s="38">
        <f t="shared" si="47"/>
        <v>5.76</v>
      </c>
      <c r="K193" s="6">
        <f t="shared" si="48"/>
        <v>600</v>
      </c>
      <c r="L193" s="6">
        <f t="shared" si="49"/>
        <v>1000</v>
      </c>
    </row>
    <row r="194" spans="4:12" x14ac:dyDescent="0.3">
      <c r="D194" s="35"/>
      <c r="E194" s="5" t="s">
        <v>9</v>
      </c>
      <c r="F194" s="6">
        <v>20</v>
      </c>
      <c r="G194" s="37">
        <v>25</v>
      </c>
      <c r="H194" s="8">
        <f t="shared" si="45"/>
        <v>0.5</v>
      </c>
      <c r="I194" s="6">
        <f t="shared" si="46"/>
        <v>360</v>
      </c>
      <c r="J194" s="38">
        <f t="shared" si="47"/>
        <v>9</v>
      </c>
      <c r="K194" s="6">
        <f t="shared" si="48"/>
        <v>600</v>
      </c>
      <c r="L194" s="6">
        <f t="shared" si="49"/>
        <v>1000</v>
      </c>
    </row>
    <row r="195" spans="4:12" x14ac:dyDescent="0.3">
      <c r="D195" s="35"/>
      <c r="E195" s="5" t="s">
        <v>590</v>
      </c>
      <c r="F195" s="26">
        <v>0.05</v>
      </c>
      <c r="G195" s="37">
        <v>84.96</v>
      </c>
      <c r="H195" s="8">
        <f t="shared" si="45"/>
        <v>4.248E-3</v>
      </c>
      <c r="I195" s="6">
        <f t="shared" si="46"/>
        <v>0.9</v>
      </c>
      <c r="J195" s="38">
        <f t="shared" si="47"/>
        <v>7.646399999999999E-2</v>
      </c>
      <c r="K195" s="6">
        <f t="shared" si="48"/>
        <v>1.5</v>
      </c>
      <c r="L195" s="6">
        <f t="shared" si="49"/>
        <v>2.5</v>
      </c>
    </row>
    <row r="196" spans="4:12" x14ac:dyDescent="0.3">
      <c r="D196" s="35"/>
      <c r="E196" s="5" t="s">
        <v>21</v>
      </c>
      <c r="F196" s="6">
        <v>1</v>
      </c>
      <c r="G196" s="37">
        <v>90</v>
      </c>
      <c r="H196" s="8">
        <f t="shared" si="45"/>
        <v>0.09</v>
      </c>
      <c r="I196" s="6">
        <f t="shared" si="46"/>
        <v>18</v>
      </c>
      <c r="J196" s="38">
        <f t="shared" si="47"/>
        <v>1.6199999999999999</v>
      </c>
      <c r="K196" s="6">
        <f t="shared" si="48"/>
        <v>30</v>
      </c>
      <c r="L196" s="6">
        <f t="shared" si="49"/>
        <v>50</v>
      </c>
    </row>
    <row r="197" spans="4:12" x14ac:dyDescent="0.3">
      <c r="F197" s="13">
        <f>SUM(F190:F196)</f>
        <v>1000.05</v>
      </c>
      <c r="G197" s="14"/>
      <c r="H197" s="15">
        <f>SUM(H190:H196)</f>
        <v>5.9574479999999994</v>
      </c>
      <c r="I197" s="13">
        <f>SUM(I190:I196)</f>
        <v>18000.900000000001</v>
      </c>
      <c r="J197" s="39">
        <f>SUM(J190:J196)</f>
        <v>107.23406400000002</v>
      </c>
      <c r="K197" s="13">
        <f>SUM(K190:K196)</f>
        <v>30001.5</v>
      </c>
      <c r="L197" s="84">
        <f>SUM(L190:L196)</f>
        <v>50002.5</v>
      </c>
    </row>
    <row r="200" spans="4:12" ht="23.4" x14ac:dyDescent="0.45">
      <c r="E200" s="172" t="s">
        <v>814</v>
      </c>
      <c r="F200" s="173"/>
      <c r="G200" s="173"/>
      <c r="H200" s="173"/>
      <c r="I200" s="173"/>
      <c r="J200" s="173"/>
      <c r="K200" s="173"/>
      <c r="L200" s="174"/>
    </row>
    <row r="201" spans="4:12" ht="62.4" x14ac:dyDescent="0.3">
      <c r="D201" s="1">
        <v>2</v>
      </c>
      <c r="E201" s="36" t="s">
        <v>0</v>
      </c>
      <c r="F201" s="4" t="s">
        <v>1</v>
      </c>
      <c r="G201" s="4" t="s">
        <v>2</v>
      </c>
      <c r="H201" s="4" t="s">
        <v>14</v>
      </c>
      <c r="I201" s="4" t="s">
        <v>793</v>
      </c>
      <c r="J201" s="4" t="s">
        <v>75</v>
      </c>
      <c r="K201" s="4" t="s">
        <v>715</v>
      </c>
      <c r="L201" s="4" t="s">
        <v>76</v>
      </c>
    </row>
    <row r="202" spans="4:12" x14ac:dyDescent="0.3">
      <c r="D202" s="35"/>
      <c r="E202" s="5" t="s">
        <v>813</v>
      </c>
      <c r="F202" s="6">
        <v>988</v>
      </c>
      <c r="G202" s="37">
        <v>12</v>
      </c>
      <c r="H202" s="8">
        <f>(G202/1000)*F202</f>
        <v>11.856</v>
      </c>
      <c r="I202" s="6">
        <f>(F202*18)</f>
        <v>17784</v>
      </c>
      <c r="J202" s="38">
        <f>(G202/1000)*I202</f>
        <v>213.40800000000002</v>
      </c>
      <c r="K202" s="6">
        <f>(F202*30)</f>
        <v>29640</v>
      </c>
      <c r="L202" s="6">
        <f>(F202*50)</f>
        <v>49400</v>
      </c>
    </row>
    <row r="203" spans="4:12" x14ac:dyDescent="0.3">
      <c r="D203" s="35"/>
      <c r="E203" s="5" t="s">
        <v>363</v>
      </c>
      <c r="F203" s="6">
        <v>2</v>
      </c>
      <c r="G203" s="37">
        <v>270</v>
      </c>
      <c r="H203" s="8">
        <f t="shared" ref="H203:H206" si="50">(G203/1000)*F203</f>
        <v>0.54</v>
      </c>
      <c r="I203" s="6">
        <f t="shared" ref="I203:I206" si="51">(F203*18)</f>
        <v>36</v>
      </c>
      <c r="J203" s="38">
        <f t="shared" ref="J203:J206" si="52">(G203/1000)*I203</f>
        <v>9.7200000000000006</v>
      </c>
      <c r="K203" s="6">
        <f t="shared" ref="K203:K206" si="53">(F203*30)</f>
        <v>60</v>
      </c>
      <c r="L203" s="6">
        <f t="shared" ref="L203:L206" si="54">(F203*50)</f>
        <v>100</v>
      </c>
    </row>
    <row r="204" spans="4:12" x14ac:dyDescent="0.3">
      <c r="D204" s="35"/>
      <c r="E204" s="5" t="s">
        <v>21</v>
      </c>
      <c r="F204" s="6">
        <v>2</v>
      </c>
      <c r="G204" s="37">
        <v>90</v>
      </c>
      <c r="H204" s="8">
        <f t="shared" si="50"/>
        <v>0.18</v>
      </c>
      <c r="I204" s="6">
        <f t="shared" si="51"/>
        <v>36</v>
      </c>
      <c r="J204" s="38">
        <f t="shared" si="52"/>
        <v>3.2399999999999998</v>
      </c>
      <c r="K204" s="6">
        <f t="shared" si="53"/>
        <v>60</v>
      </c>
      <c r="L204" s="6">
        <f t="shared" si="54"/>
        <v>100</v>
      </c>
    </row>
    <row r="205" spans="4:12" x14ac:dyDescent="0.3">
      <c r="D205" s="35"/>
      <c r="E205" s="5" t="s">
        <v>240</v>
      </c>
      <c r="F205" s="11">
        <v>2.5</v>
      </c>
      <c r="G205" s="37">
        <v>385</v>
      </c>
      <c r="H205" s="8">
        <f t="shared" si="50"/>
        <v>0.96250000000000002</v>
      </c>
      <c r="I205" s="6">
        <f t="shared" si="51"/>
        <v>45</v>
      </c>
      <c r="J205" s="38">
        <f t="shared" si="52"/>
        <v>17.324999999999999</v>
      </c>
      <c r="K205" s="6">
        <f t="shared" si="53"/>
        <v>75</v>
      </c>
      <c r="L205" s="6">
        <f t="shared" si="54"/>
        <v>125</v>
      </c>
    </row>
    <row r="206" spans="4:12" x14ac:dyDescent="0.3">
      <c r="D206" s="35"/>
      <c r="E206" s="5" t="s">
        <v>815</v>
      </c>
      <c r="F206" s="6">
        <v>5</v>
      </c>
      <c r="G206" s="37">
        <v>320</v>
      </c>
      <c r="H206" s="8">
        <f t="shared" si="50"/>
        <v>1.6</v>
      </c>
      <c r="I206" s="6">
        <f t="shared" si="51"/>
        <v>90</v>
      </c>
      <c r="J206" s="38">
        <f t="shared" si="52"/>
        <v>28.8</v>
      </c>
      <c r="K206" s="6">
        <f t="shared" si="53"/>
        <v>150</v>
      </c>
      <c r="L206" s="6">
        <f t="shared" si="54"/>
        <v>250</v>
      </c>
    </row>
    <row r="207" spans="4:12" x14ac:dyDescent="0.3">
      <c r="F207" s="13">
        <f>SUM(F202:F206)</f>
        <v>999.5</v>
      </c>
      <c r="G207" s="14"/>
      <c r="H207" s="15">
        <f>SUM(H202:H206)</f>
        <v>15.138500000000001</v>
      </c>
      <c r="I207" s="13">
        <f>SUM(I202:I206)</f>
        <v>17991</v>
      </c>
      <c r="J207" s="39">
        <f>SUM(J202:J206)</f>
        <v>272.49299999999999</v>
      </c>
      <c r="K207" s="13">
        <f>SUM(K202:K206)</f>
        <v>29985</v>
      </c>
      <c r="L207" s="84">
        <f>SUM(L202:L206)</f>
        <v>49975</v>
      </c>
    </row>
  </sheetData>
  <mergeCells count="15">
    <mergeCell ref="E200:L200"/>
    <mergeCell ref="E188:L188"/>
    <mergeCell ref="E170:L170"/>
    <mergeCell ref="E154:L154"/>
    <mergeCell ref="E48:J48"/>
    <mergeCell ref="E139:L139"/>
    <mergeCell ref="E75:J75"/>
    <mergeCell ref="E93:J93"/>
    <mergeCell ref="E109:J109"/>
    <mergeCell ref="E124:J124"/>
    <mergeCell ref="E3:J3"/>
    <mergeCell ref="D10:D14"/>
    <mergeCell ref="E19:J19"/>
    <mergeCell ref="D26:D28"/>
    <mergeCell ref="E33:J3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E0D6-6EAF-4E73-8E12-370D2328D5FF}">
  <dimension ref="B3:J47"/>
  <sheetViews>
    <sheetView topLeftCell="A27" workbookViewId="0">
      <selection activeCell="K35" sqref="K35"/>
    </sheetView>
  </sheetViews>
  <sheetFormatPr baseColWidth="10" defaultRowHeight="14.4" x14ac:dyDescent="0.3"/>
  <cols>
    <col min="3" max="3" width="27.33203125" customWidth="1"/>
    <col min="4" max="4" width="11.109375" bestFit="1" customWidth="1"/>
    <col min="5" max="5" width="10.33203125" bestFit="1" customWidth="1"/>
    <col min="6" max="6" width="11.44140625" bestFit="1" customWidth="1"/>
    <col min="8" max="8" width="10.6640625" hidden="1" customWidth="1"/>
  </cols>
  <sheetData>
    <row r="3" spans="2:10" ht="23.4" x14ac:dyDescent="0.45">
      <c r="C3" s="175" t="s">
        <v>448</v>
      </c>
      <c r="D3" s="175"/>
      <c r="E3" s="175"/>
      <c r="F3" s="175"/>
      <c r="G3" s="175"/>
      <c r="H3" s="175"/>
      <c r="I3" s="175"/>
      <c r="J3" s="175"/>
    </row>
    <row r="4" spans="2:10" ht="62.4" x14ac:dyDescent="0.3">
      <c r="B4" s="1">
        <v>1</v>
      </c>
      <c r="C4" s="2" t="s">
        <v>0</v>
      </c>
      <c r="D4" s="3" t="s">
        <v>1</v>
      </c>
      <c r="E4" s="3" t="s">
        <v>90</v>
      </c>
      <c r="F4" s="3" t="s">
        <v>152</v>
      </c>
      <c r="G4" s="3" t="s">
        <v>356</v>
      </c>
      <c r="H4" s="4" t="s">
        <v>355</v>
      </c>
      <c r="I4" s="3" t="s">
        <v>94</v>
      </c>
      <c r="J4" s="40"/>
    </row>
    <row r="5" spans="2:10" ht="15.6" x14ac:dyDescent="0.3">
      <c r="C5" s="41" t="s">
        <v>449</v>
      </c>
      <c r="D5" s="42">
        <v>885</v>
      </c>
      <c r="E5" s="7">
        <v>8</v>
      </c>
      <c r="F5" s="7">
        <f>(E5/1000)*D5</f>
        <v>7.08</v>
      </c>
      <c r="G5" s="6">
        <f>(D5*10)</f>
        <v>8850</v>
      </c>
      <c r="H5" s="43">
        <f>(E5/1000)*G5</f>
        <v>70.8</v>
      </c>
      <c r="I5" s="42"/>
      <c r="J5" s="10" t="s">
        <v>7</v>
      </c>
    </row>
    <row r="6" spans="2:10" ht="15.6" x14ac:dyDescent="0.3">
      <c r="C6" s="41" t="s">
        <v>69</v>
      </c>
      <c r="D6" s="42">
        <v>85</v>
      </c>
      <c r="E6" s="44">
        <v>20</v>
      </c>
      <c r="F6" s="44">
        <f>(E6/1000)*D6</f>
        <v>1.7</v>
      </c>
      <c r="G6" s="6">
        <f>(D6*10)</f>
        <v>850</v>
      </c>
      <c r="H6" s="43">
        <f>(E6/1000)*G6</f>
        <v>17</v>
      </c>
      <c r="I6" s="42"/>
      <c r="J6" s="10" t="s">
        <v>7</v>
      </c>
    </row>
    <row r="7" spans="2:10" ht="15.6" x14ac:dyDescent="0.3">
      <c r="C7" s="41" t="s">
        <v>450</v>
      </c>
      <c r="D7" s="42">
        <v>25</v>
      </c>
      <c r="E7" s="44">
        <v>8.5</v>
      </c>
      <c r="F7" s="44">
        <f>(E7/1000)*D7</f>
        <v>0.21250000000000002</v>
      </c>
      <c r="G7" s="6">
        <f>(D7*10)</f>
        <v>250</v>
      </c>
      <c r="H7" s="43">
        <f>(E7/1000)*G7</f>
        <v>2.125</v>
      </c>
      <c r="I7" s="42"/>
      <c r="J7" s="10" t="s">
        <v>7</v>
      </c>
    </row>
    <row r="8" spans="2:10" ht="15.6" x14ac:dyDescent="0.3">
      <c r="C8" s="41" t="s">
        <v>451</v>
      </c>
      <c r="D8" s="14">
        <v>5</v>
      </c>
      <c r="E8" s="44">
        <v>100</v>
      </c>
      <c r="F8" s="44">
        <f>(E8/1000)*D8</f>
        <v>0.5</v>
      </c>
      <c r="G8" s="6">
        <f>(D8*10)</f>
        <v>50</v>
      </c>
      <c r="H8" s="43">
        <f>(E8/1000)*G8</f>
        <v>5</v>
      </c>
      <c r="I8" s="42"/>
      <c r="J8" s="10" t="s">
        <v>7</v>
      </c>
    </row>
    <row r="9" spans="2:10" x14ac:dyDescent="0.3">
      <c r="D9" s="50">
        <f>SUM(D5:D8)</f>
        <v>1000</v>
      </c>
      <c r="E9" s="51"/>
      <c r="F9" s="52">
        <f>SUM(F5:F8)</f>
        <v>9.4924999999999997</v>
      </c>
      <c r="G9" s="50">
        <f>SUM(G5:G8)</f>
        <v>10000</v>
      </c>
      <c r="H9" s="53">
        <f>SUM(H5:H8)</f>
        <v>94.924999999999997</v>
      </c>
      <c r="I9" s="54"/>
    </row>
    <row r="13" spans="2:10" ht="23.4" x14ac:dyDescent="0.45">
      <c r="C13" s="175" t="s">
        <v>452</v>
      </c>
      <c r="D13" s="175"/>
      <c r="E13" s="175"/>
      <c r="F13" s="175"/>
      <c r="G13" s="175"/>
      <c r="H13" s="175"/>
      <c r="I13" s="175"/>
      <c r="J13" s="175"/>
    </row>
    <row r="14" spans="2:10" ht="62.4" x14ac:dyDescent="0.3">
      <c r="B14" s="1">
        <v>2</v>
      </c>
      <c r="C14" s="2" t="s">
        <v>0</v>
      </c>
      <c r="D14" s="3" t="s">
        <v>1</v>
      </c>
      <c r="E14" s="3" t="s">
        <v>90</v>
      </c>
      <c r="F14" s="3" t="s">
        <v>152</v>
      </c>
      <c r="G14" s="3" t="s">
        <v>356</v>
      </c>
      <c r="H14" s="4" t="s">
        <v>355</v>
      </c>
      <c r="I14" s="3" t="s">
        <v>94</v>
      </c>
      <c r="J14" s="40"/>
    </row>
    <row r="15" spans="2:10" ht="15.6" x14ac:dyDescent="0.3">
      <c r="C15" s="41" t="s">
        <v>453</v>
      </c>
      <c r="D15" s="42">
        <v>0.91</v>
      </c>
      <c r="E15" s="7">
        <v>100</v>
      </c>
      <c r="F15" s="7">
        <f t="shared" ref="F15:F20" si="0">(E15/1000)*D15</f>
        <v>9.1000000000000011E-2</v>
      </c>
      <c r="G15" s="6">
        <f>(D15*10)</f>
        <v>9.1</v>
      </c>
      <c r="H15" s="43">
        <f t="shared" ref="H15:H20" si="1">(E15/1000)*G15</f>
        <v>0.91</v>
      </c>
      <c r="I15" s="42"/>
      <c r="J15" s="10" t="s">
        <v>7</v>
      </c>
    </row>
    <row r="16" spans="2:10" ht="15.6" x14ac:dyDescent="0.3">
      <c r="C16" s="41" t="s">
        <v>459</v>
      </c>
      <c r="D16" s="42">
        <v>0.91</v>
      </c>
      <c r="E16" s="44">
        <v>15</v>
      </c>
      <c r="F16" s="44">
        <f t="shared" si="0"/>
        <v>1.3650000000000001E-2</v>
      </c>
      <c r="G16" s="6">
        <f t="shared" ref="G16:G22" si="2">(D16*10)</f>
        <v>9.1</v>
      </c>
      <c r="H16" s="43">
        <f t="shared" si="1"/>
        <v>0.13649999999999998</v>
      </c>
      <c r="I16" s="42"/>
      <c r="J16" s="10" t="s">
        <v>7</v>
      </c>
    </row>
    <row r="17" spans="2:10" ht="15.6" x14ac:dyDescent="0.3">
      <c r="C17" s="41" t="s">
        <v>454</v>
      </c>
      <c r="D17" s="42">
        <v>18.18</v>
      </c>
      <c r="E17" s="44">
        <v>18</v>
      </c>
      <c r="F17" s="44">
        <f t="shared" si="0"/>
        <v>0.32723999999999998</v>
      </c>
      <c r="G17" s="6">
        <f t="shared" si="2"/>
        <v>181.8</v>
      </c>
      <c r="H17" s="43">
        <f t="shared" si="1"/>
        <v>3.2723999999999998</v>
      </c>
      <c r="I17" s="42"/>
      <c r="J17" s="10" t="s">
        <v>7</v>
      </c>
    </row>
    <row r="18" spans="2:10" ht="15.6" x14ac:dyDescent="0.3">
      <c r="C18" s="41" t="s">
        <v>455</v>
      </c>
      <c r="D18" s="14">
        <v>18.18</v>
      </c>
      <c r="E18" s="44">
        <v>8.5</v>
      </c>
      <c r="F18" s="44">
        <f t="shared" si="0"/>
        <v>0.15453</v>
      </c>
      <c r="G18" s="6">
        <f t="shared" si="2"/>
        <v>181.8</v>
      </c>
      <c r="H18" s="43">
        <f t="shared" si="1"/>
        <v>1.5453000000000001</v>
      </c>
      <c r="I18" s="42"/>
      <c r="J18" s="10" t="s">
        <v>7</v>
      </c>
    </row>
    <row r="19" spans="2:10" ht="15.6" x14ac:dyDescent="0.3">
      <c r="C19" s="85" t="s">
        <v>311</v>
      </c>
      <c r="D19" s="86">
        <v>45.45</v>
      </c>
      <c r="E19" s="44">
        <v>8</v>
      </c>
      <c r="F19" s="44">
        <f t="shared" si="0"/>
        <v>0.36360000000000003</v>
      </c>
      <c r="G19" s="6">
        <f t="shared" si="2"/>
        <v>454.5</v>
      </c>
      <c r="H19" s="43">
        <f t="shared" si="1"/>
        <v>3.6360000000000001</v>
      </c>
      <c r="I19" s="86"/>
      <c r="J19" s="75" t="s">
        <v>7</v>
      </c>
    </row>
    <row r="20" spans="2:10" ht="15.6" x14ac:dyDescent="0.3">
      <c r="C20" s="41" t="s">
        <v>456</v>
      </c>
      <c r="D20" s="42">
        <v>6.82</v>
      </c>
      <c r="E20" s="44">
        <v>30</v>
      </c>
      <c r="F20" s="44">
        <f t="shared" si="0"/>
        <v>0.2046</v>
      </c>
      <c r="G20" s="6">
        <f t="shared" si="2"/>
        <v>68.2</v>
      </c>
      <c r="H20" s="43">
        <f t="shared" si="1"/>
        <v>2.0459999999999998</v>
      </c>
      <c r="I20" s="42"/>
      <c r="J20" s="10" t="s">
        <v>7</v>
      </c>
    </row>
    <row r="21" spans="2:10" ht="15.6" x14ac:dyDescent="0.3">
      <c r="C21" s="41" t="s">
        <v>457</v>
      </c>
      <c r="D21" s="97">
        <v>0.05</v>
      </c>
      <c r="E21" s="44">
        <v>50</v>
      </c>
      <c r="F21" s="44">
        <f>(E21/1000)*D21</f>
        <v>2.5000000000000005E-3</v>
      </c>
      <c r="G21" s="6">
        <f t="shared" si="2"/>
        <v>0.5</v>
      </c>
      <c r="H21" s="43">
        <f>(E21/1000)*G21</f>
        <v>2.5000000000000001E-2</v>
      </c>
      <c r="I21" s="138"/>
      <c r="J21" s="49" t="s">
        <v>7</v>
      </c>
    </row>
    <row r="22" spans="2:10" ht="15.6" x14ac:dyDescent="0.3">
      <c r="C22" s="41" t="s">
        <v>458</v>
      </c>
      <c r="D22" s="26">
        <v>916.36</v>
      </c>
      <c r="E22" s="44">
        <v>0.6</v>
      </c>
      <c r="F22" s="44">
        <f>(E22/1000)*D22</f>
        <v>0.54981599999999997</v>
      </c>
      <c r="G22" s="6">
        <f t="shared" si="2"/>
        <v>9163.6</v>
      </c>
      <c r="H22" s="43">
        <f>(E22/1000)*G22</f>
        <v>5.4981599999999995</v>
      </c>
      <c r="I22" s="48"/>
      <c r="J22" s="54"/>
    </row>
    <row r="23" spans="2:10" x14ac:dyDescent="0.3">
      <c r="D23" s="50">
        <f>SUM(D15:D22)</f>
        <v>1006.86</v>
      </c>
      <c r="E23" s="51"/>
      <c r="F23" s="52">
        <f>SUM(F15:F22)</f>
        <v>1.7069359999999998</v>
      </c>
      <c r="G23" s="50">
        <f>SUM(G15:G22)</f>
        <v>10068.6</v>
      </c>
      <c r="H23" s="53">
        <f>SUM(H15:H22)</f>
        <v>17.06936</v>
      </c>
      <c r="I23" s="54"/>
    </row>
    <row r="26" spans="2:10" ht="23.4" x14ac:dyDescent="0.45">
      <c r="C26" s="172" t="s">
        <v>420</v>
      </c>
      <c r="D26" s="173"/>
      <c r="E26" s="173"/>
      <c r="F26" s="173"/>
      <c r="G26" s="173"/>
      <c r="H26" s="173"/>
      <c r="I26" s="173"/>
      <c r="J26" s="174"/>
    </row>
    <row r="27" spans="2:10" ht="62.4" x14ac:dyDescent="0.3">
      <c r="B27" s="1">
        <v>2</v>
      </c>
      <c r="C27" s="36" t="s">
        <v>0</v>
      </c>
      <c r="D27" s="4" t="s">
        <v>1</v>
      </c>
      <c r="E27" s="4" t="s">
        <v>2</v>
      </c>
      <c r="F27" s="4" t="s">
        <v>14</v>
      </c>
      <c r="G27" s="4" t="s">
        <v>278</v>
      </c>
      <c r="H27" s="4" t="s">
        <v>75</v>
      </c>
      <c r="I27" s="4" t="s">
        <v>279</v>
      </c>
      <c r="J27" s="4" t="s">
        <v>76</v>
      </c>
    </row>
    <row r="28" spans="2:10" x14ac:dyDescent="0.3">
      <c r="B28" s="35"/>
      <c r="C28" s="5" t="s">
        <v>16</v>
      </c>
      <c r="D28" s="6">
        <v>850</v>
      </c>
      <c r="E28" s="37">
        <v>0.6</v>
      </c>
      <c r="F28" s="8">
        <f t="shared" ref="F28:F35" si="3">(E28/1000)*D28</f>
        <v>0.51</v>
      </c>
      <c r="G28" s="6">
        <f>(D28*25)</f>
        <v>21250</v>
      </c>
      <c r="H28" s="38">
        <f t="shared" ref="H28:H35" si="4">(E28/1000)*G28</f>
        <v>12.749999999999998</v>
      </c>
      <c r="I28" s="6">
        <f>(D28*35)</f>
        <v>29750</v>
      </c>
      <c r="J28" s="6">
        <f>(D28*50)</f>
        <v>42500</v>
      </c>
    </row>
    <row r="29" spans="2:10" x14ac:dyDescent="0.3">
      <c r="B29" s="35"/>
      <c r="C29" s="5" t="s">
        <v>275</v>
      </c>
      <c r="D29" s="6">
        <v>70</v>
      </c>
      <c r="E29" s="37">
        <v>20</v>
      </c>
      <c r="F29" s="8">
        <f t="shared" si="3"/>
        <v>1.4000000000000001</v>
      </c>
      <c r="G29" s="6">
        <f t="shared" ref="G29:G35" si="5">(D29*25)</f>
        <v>1750</v>
      </c>
      <c r="H29" s="38">
        <f t="shared" si="4"/>
        <v>35</v>
      </c>
      <c r="I29" s="6">
        <f t="shared" ref="I29:I35" si="6">(D29*35)</f>
        <v>2450</v>
      </c>
      <c r="J29" s="6">
        <f t="shared" ref="J29:J35" si="7">(D29*50)</f>
        <v>3500</v>
      </c>
    </row>
    <row r="30" spans="2:10" x14ac:dyDescent="0.3">
      <c r="B30" s="35"/>
      <c r="C30" s="5" t="s">
        <v>368</v>
      </c>
      <c r="D30" s="6">
        <v>70</v>
      </c>
      <c r="E30" s="37">
        <v>35</v>
      </c>
      <c r="F30" s="8">
        <f t="shared" si="3"/>
        <v>2.4500000000000002</v>
      </c>
      <c r="G30" s="6">
        <f t="shared" si="5"/>
        <v>1750</v>
      </c>
      <c r="H30" s="38">
        <f t="shared" si="4"/>
        <v>61.250000000000007</v>
      </c>
      <c r="I30" s="6">
        <f t="shared" si="6"/>
        <v>2450</v>
      </c>
      <c r="J30" s="6">
        <f t="shared" si="7"/>
        <v>3500</v>
      </c>
    </row>
    <row r="31" spans="2:10" x14ac:dyDescent="0.3">
      <c r="B31" s="35"/>
      <c r="C31" s="5" t="s">
        <v>404</v>
      </c>
      <c r="D31" s="6">
        <v>5</v>
      </c>
      <c r="E31" s="37">
        <v>30</v>
      </c>
      <c r="F31" s="8">
        <f t="shared" si="3"/>
        <v>0.15</v>
      </c>
      <c r="G31" s="6">
        <f t="shared" si="5"/>
        <v>125</v>
      </c>
      <c r="H31" s="38">
        <f t="shared" si="4"/>
        <v>3.75</v>
      </c>
      <c r="I31" s="6">
        <f t="shared" si="6"/>
        <v>175</v>
      </c>
      <c r="J31" s="6">
        <f t="shared" si="7"/>
        <v>250</v>
      </c>
    </row>
    <row r="32" spans="2:10" x14ac:dyDescent="0.3">
      <c r="B32" s="35"/>
      <c r="C32" s="5" t="s">
        <v>72</v>
      </c>
      <c r="D32" s="6">
        <v>2</v>
      </c>
      <c r="E32" s="37">
        <v>25</v>
      </c>
      <c r="F32" s="8">
        <f t="shared" si="3"/>
        <v>0.05</v>
      </c>
      <c r="G32" s="6">
        <f t="shared" si="5"/>
        <v>50</v>
      </c>
      <c r="H32" s="38">
        <f t="shared" si="4"/>
        <v>1.25</v>
      </c>
      <c r="I32" s="6">
        <f t="shared" si="6"/>
        <v>70</v>
      </c>
      <c r="J32" s="6">
        <f t="shared" si="7"/>
        <v>100</v>
      </c>
    </row>
    <row r="33" spans="2:10" x14ac:dyDescent="0.3">
      <c r="B33" s="35"/>
      <c r="C33" s="5" t="s">
        <v>73</v>
      </c>
      <c r="D33" s="6">
        <v>1</v>
      </c>
      <c r="E33" s="37">
        <v>15</v>
      </c>
      <c r="F33" s="8">
        <f t="shared" si="3"/>
        <v>1.4999999999999999E-2</v>
      </c>
      <c r="G33" s="6">
        <f t="shared" si="5"/>
        <v>25</v>
      </c>
      <c r="H33" s="38">
        <f t="shared" si="4"/>
        <v>0.375</v>
      </c>
      <c r="I33" s="6">
        <f t="shared" si="6"/>
        <v>35</v>
      </c>
      <c r="J33" s="6">
        <f t="shared" si="7"/>
        <v>50</v>
      </c>
    </row>
    <row r="34" spans="2:10" x14ac:dyDescent="0.3">
      <c r="B34" s="35"/>
      <c r="C34" s="5" t="s">
        <v>418</v>
      </c>
      <c r="D34" s="6">
        <v>2.5</v>
      </c>
      <c r="E34" s="37">
        <v>120</v>
      </c>
      <c r="F34" s="8">
        <f t="shared" si="3"/>
        <v>0.3</v>
      </c>
      <c r="G34" s="6">
        <f t="shared" si="5"/>
        <v>62.5</v>
      </c>
      <c r="H34" s="38">
        <f t="shared" si="4"/>
        <v>7.5</v>
      </c>
      <c r="I34" s="6">
        <f t="shared" si="6"/>
        <v>87.5</v>
      </c>
      <c r="J34" s="6">
        <f t="shared" si="7"/>
        <v>125</v>
      </c>
    </row>
    <row r="35" spans="2:10" x14ac:dyDescent="0.3">
      <c r="B35" s="35"/>
      <c r="C35" s="5" t="s">
        <v>419</v>
      </c>
      <c r="D35" s="6">
        <v>1</v>
      </c>
      <c r="E35" s="37">
        <v>900</v>
      </c>
      <c r="F35" s="8">
        <f t="shared" si="3"/>
        <v>0.9</v>
      </c>
      <c r="G35" s="6">
        <f t="shared" si="5"/>
        <v>25</v>
      </c>
      <c r="H35" s="38">
        <f t="shared" si="4"/>
        <v>22.5</v>
      </c>
      <c r="I35" s="6">
        <f t="shared" si="6"/>
        <v>35</v>
      </c>
      <c r="J35" s="6">
        <f t="shared" si="7"/>
        <v>50</v>
      </c>
    </row>
    <row r="36" spans="2:10" x14ac:dyDescent="0.3">
      <c r="D36" s="13">
        <f>SUM(D28:D35)</f>
        <v>1001.5</v>
      </c>
      <c r="E36" s="14"/>
      <c r="F36" s="15">
        <f>SUM(F28:F35)</f>
        <v>5.7750000000000004</v>
      </c>
      <c r="G36" s="13">
        <f>SUM(G28:G35)</f>
        <v>25037.5</v>
      </c>
      <c r="H36" s="39">
        <f>SUM(H28:H35)</f>
        <v>144.375</v>
      </c>
      <c r="I36" s="13">
        <f>SUM(I28:I35)</f>
        <v>35052.5</v>
      </c>
      <c r="J36" s="84">
        <f>SUM(J28:J35)</f>
        <v>50075</v>
      </c>
    </row>
    <row r="39" spans="2:10" ht="23.4" x14ac:dyDescent="0.45">
      <c r="C39" s="269" t="s">
        <v>856</v>
      </c>
      <c r="D39" s="270"/>
      <c r="E39" s="270"/>
      <c r="F39" s="270"/>
      <c r="G39" s="270"/>
      <c r="H39" s="270"/>
      <c r="I39" s="270"/>
      <c r="J39" s="270"/>
    </row>
    <row r="40" spans="2:10" ht="62.4" x14ac:dyDescent="0.3">
      <c r="B40" s="224">
        <v>5</v>
      </c>
      <c r="C40" s="225" t="s">
        <v>0</v>
      </c>
      <c r="D40" s="226" t="s">
        <v>1</v>
      </c>
      <c r="E40" s="226" t="s">
        <v>2</v>
      </c>
      <c r="F40" s="226" t="s">
        <v>736</v>
      </c>
      <c r="G40" s="226" t="s">
        <v>115</v>
      </c>
      <c r="H40" s="226" t="s">
        <v>115</v>
      </c>
      <c r="I40" s="227"/>
      <c r="J40" s="227"/>
    </row>
    <row r="41" spans="2:10" x14ac:dyDescent="0.3">
      <c r="C41" s="233" t="s">
        <v>16</v>
      </c>
      <c r="D41" s="229">
        <v>776</v>
      </c>
      <c r="E41" s="271"/>
      <c r="F41" s="229"/>
      <c r="G41" s="229"/>
      <c r="H41" s="229"/>
      <c r="I41" s="228"/>
      <c r="J41" s="228"/>
    </row>
    <row r="42" spans="2:10" x14ac:dyDescent="0.3">
      <c r="C42" s="233" t="s">
        <v>857</v>
      </c>
      <c r="D42" s="229">
        <v>2</v>
      </c>
      <c r="E42" s="271"/>
      <c r="F42" s="229"/>
      <c r="G42" s="229"/>
      <c r="H42" s="229"/>
      <c r="I42" s="228"/>
      <c r="J42" s="228"/>
    </row>
    <row r="43" spans="2:10" x14ac:dyDescent="0.3">
      <c r="C43" s="233" t="s">
        <v>168</v>
      </c>
      <c r="D43" s="229">
        <v>2</v>
      </c>
      <c r="E43" s="271"/>
      <c r="F43" s="229"/>
      <c r="G43" s="229"/>
      <c r="H43" s="229"/>
      <c r="I43" s="228"/>
      <c r="J43" s="228"/>
    </row>
    <row r="44" spans="2:10" x14ac:dyDescent="0.3">
      <c r="C44" s="233" t="s">
        <v>779</v>
      </c>
      <c r="D44" s="229">
        <v>5</v>
      </c>
      <c r="E44" s="271"/>
      <c r="F44" s="229"/>
      <c r="G44" s="229"/>
      <c r="H44" s="229"/>
      <c r="I44" s="228"/>
      <c r="J44" s="228"/>
    </row>
    <row r="45" spans="2:10" x14ac:dyDescent="0.3">
      <c r="C45" s="233" t="s">
        <v>69</v>
      </c>
      <c r="D45" s="234">
        <v>150</v>
      </c>
      <c r="E45" s="272"/>
      <c r="F45" s="229"/>
      <c r="G45" s="229"/>
      <c r="H45" s="229"/>
      <c r="I45" s="228"/>
      <c r="J45" s="228"/>
    </row>
    <row r="46" spans="2:10" x14ac:dyDescent="0.3">
      <c r="C46" s="233" t="s">
        <v>858</v>
      </c>
      <c r="D46" s="234">
        <v>50</v>
      </c>
      <c r="E46" s="272"/>
      <c r="F46" s="229"/>
      <c r="G46" s="229"/>
      <c r="H46" s="229"/>
      <c r="I46" s="228"/>
      <c r="J46" s="228"/>
    </row>
    <row r="47" spans="2:10" x14ac:dyDescent="0.3">
      <c r="D47" s="236">
        <f>SUM(D41:D46)</f>
        <v>985</v>
      </c>
      <c r="E47" s="237"/>
      <c r="F47" s="236">
        <f>SUM(F41:F46)</f>
        <v>0</v>
      </c>
      <c r="G47" s="239">
        <f>SUM(G41:G46)</f>
        <v>0</v>
      </c>
      <c r="H47" s="239">
        <f>SUM(H41:H46)</f>
        <v>0</v>
      </c>
      <c r="I47" s="232"/>
      <c r="J47" s="232"/>
    </row>
  </sheetData>
  <mergeCells count="4">
    <mergeCell ref="C3:J3"/>
    <mergeCell ref="C13:J13"/>
    <mergeCell ref="C26:J26"/>
    <mergeCell ref="C39:J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ALFALION</vt:lpstr>
      <vt:lpstr>DANIEL ESPINOZA.</vt:lpstr>
      <vt:lpstr> GEYMA - LUIS G</vt:lpstr>
      <vt:lpstr>LUIS MARIN</vt:lpstr>
      <vt:lpstr>JHON CANTO</vt:lpstr>
      <vt:lpstr>ROBERTO CASTILLO</vt:lpstr>
      <vt:lpstr>JOSE PUELLES</vt:lpstr>
      <vt:lpstr>ÑAUPARI</vt:lpstr>
      <vt:lpstr>LUIS JURADO</vt:lpstr>
      <vt:lpstr>ERICK CHAVEZ </vt:lpstr>
      <vt:lpstr>DAVID SARMIENTO</vt:lpstr>
      <vt:lpstr>DANIEL MEZA</vt:lpstr>
      <vt:lpstr>JEAN</vt:lpstr>
      <vt:lpstr>CARLOS ESPARZA</vt:lpstr>
      <vt:lpstr>AUSTIN SANTOS</vt:lpstr>
      <vt:lpstr>RENZO</vt:lpstr>
      <vt:lpstr>ALONSO CHUNGA</vt:lpstr>
      <vt:lpstr>HENRY </vt:lpstr>
      <vt:lpstr>LEO HIDALGO</vt:lpstr>
      <vt:lpstr>FIESTAS</vt:lpstr>
      <vt:lpstr>JAIRO OCHOA</vt:lpstr>
      <vt:lpstr>NEXARA SAC</vt:lpstr>
      <vt:lpstr>CARLA RIVERA</vt:lpstr>
      <vt:lpstr>JHON AVILA</vt:lpstr>
      <vt:lpstr>ANGIE CRUZ</vt:lpstr>
      <vt:lpstr>KELLY PEÑA</vt:lpstr>
      <vt:lpstr>ALEXANDRA</vt:lpstr>
      <vt:lpstr>KENY </vt:lpstr>
      <vt:lpstr>Hoja1</vt:lpstr>
      <vt:lpstr>JUAN FORMULAS</vt:lpstr>
      <vt:lpstr>AUTOMOTRIZ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Cassana Ramón</dc:creator>
  <cp:lastModifiedBy>USER</cp:lastModifiedBy>
  <cp:lastPrinted>2026-06-08T17:42:43Z</cp:lastPrinted>
  <dcterms:created xsi:type="dcterms:W3CDTF">2024-12-23T13:14:28Z</dcterms:created>
  <dcterms:modified xsi:type="dcterms:W3CDTF">2026-08-15T18:39:41Z</dcterms:modified>
</cp:coreProperties>
</file>