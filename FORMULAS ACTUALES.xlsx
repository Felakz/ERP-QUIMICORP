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UM" sheetId="1" r:id="rId5"/>
    <sheet state="visible" name="GELES" sheetId="2" r:id="rId6"/>
    <sheet state="visible" name="CREMAS" sheetId="3" r:id="rId7"/>
    <sheet state="visible" name="BALSAMOS" sheetId="4" r:id="rId8"/>
    <sheet state="visible" name="ACEITES" sheetId="5" r:id="rId9"/>
    <sheet state="visible" name="LIQUIDOS" sheetId="6" r:id="rId10"/>
    <sheet state="visible" name="CHAMPU" sheetId="7" r:id="rId11"/>
  </sheets>
  <definedNames/>
  <calcPr/>
</workbook>
</file>

<file path=xl/sharedStrings.xml><?xml version="1.0" encoding="utf-8"?>
<sst xmlns="http://schemas.openxmlformats.org/spreadsheetml/2006/main" count="1641" uniqueCount="420">
  <si>
    <t xml:space="preserve">BALSAMO DE ARRUGAS - ALFALION </t>
  </si>
  <si>
    <t>BREATIFY</t>
  </si>
  <si>
    <t>SERUM DE SALMON</t>
  </si>
  <si>
    <t>CREMA  MICROTGHT - ALFALION</t>
  </si>
  <si>
    <t xml:space="preserve">PRODUCTO </t>
  </si>
  <si>
    <t>CANTIDAD PARA 1 KILO</t>
  </si>
  <si>
    <t>CANTIDAD PARA 1 LITRO</t>
  </si>
  <si>
    <t>PRECIO INSUMO                        1 LITRO</t>
  </si>
  <si>
    <t>PRECIO INSUMO                        1 KILO</t>
  </si>
  <si>
    <t>PRECIO PARA  1 LITRO</t>
  </si>
  <si>
    <t>CANTIDAD                               PARA 100 kg</t>
  </si>
  <si>
    <t>CANTIDAD                               PARA 500 gr</t>
  </si>
  <si>
    <t>CANTIDAD                               PARA 50 KG</t>
  </si>
  <si>
    <t>CANTIDAD                               PARA 30 LITROS</t>
  </si>
  <si>
    <t>CANTIDAD                               PARA 50 KILOS</t>
  </si>
  <si>
    <t xml:space="preserve">Vaselina Liquida </t>
  </si>
  <si>
    <t xml:space="preserve">Agua Desionizada </t>
  </si>
  <si>
    <t xml:space="preserve">Alcohol Cetilico </t>
  </si>
  <si>
    <t xml:space="preserve">Dehycuart </t>
  </si>
  <si>
    <t>%</t>
  </si>
  <si>
    <t>Cera de abeja virgen</t>
  </si>
  <si>
    <t xml:space="preserve">Glicerina vegetal </t>
  </si>
  <si>
    <t xml:space="preserve">Benzoato de sodio </t>
  </si>
  <si>
    <t>Cera Carnauba</t>
  </si>
  <si>
    <t xml:space="preserve">Cafeina </t>
  </si>
  <si>
    <t>Niacinamida</t>
  </si>
  <si>
    <t xml:space="preserve">Sorbato de potasio </t>
  </si>
  <si>
    <t>Alcohol Cetilico</t>
  </si>
  <si>
    <t xml:space="preserve">Colageno </t>
  </si>
  <si>
    <t>Propilenglicol</t>
  </si>
  <si>
    <t>Sacarina Sodica</t>
  </si>
  <si>
    <t>Vitamina E</t>
  </si>
  <si>
    <t xml:space="preserve">Glicerina </t>
  </si>
  <si>
    <t xml:space="preserve">Dioxido de Titanio </t>
  </si>
  <si>
    <t>Sorbitol</t>
  </si>
  <si>
    <t xml:space="preserve">Extracto de centella asiatica </t>
  </si>
  <si>
    <t xml:space="preserve">Fragancia Rosas </t>
  </si>
  <si>
    <t>Acido Hialuronico</t>
  </si>
  <si>
    <t>Alcohol Extra Nuetro</t>
  </si>
  <si>
    <t xml:space="preserve">Fragancia </t>
  </si>
  <si>
    <t xml:space="preserve">Cellosize </t>
  </si>
  <si>
    <t xml:space="preserve">Saborizante Canela </t>
  </si>
  <si>
    <t xml:space="preserve">Procide  cg </t>
  </si>
  <si>
    <t>Procide CG (conservante)</t>
  </si>
  <si>
    <t>Mentol en Cristal</t>
  </si>
  <si>
    <t xml:space="preserve">Colageno Hidrolizado </t>
  </si>
  <si>
    <t xml:space="preserve">POMODA DE ARNICA  </t>
  </si>
  <si>
    <t>Colorante alimenticio</t>
  </si>
  <si>
    <t xml:space="preserve">BASE MAQUILLAJE CON DIMETICONA - BLANCO </t>
  </si>
  <si>
    <t>Vaselina Solida</t>
  </si>
  <si>
    <t>35 KG</t>
  </si>
  <si>
    <t xml:space="preserve">Emulgade </t>
  </si>
  <si>
    <t>Trietanolamina</t>
  </si>
  <si>
    <t xml:space="preserve">Aceite esencial Arnica </t>
  </si>
  <si>
    <t>SERUM DE ALOE VERA</t>
  </si>
  <si>
    <t>Aceite esencial Lavanda</t>
  </si>
  <si>
    <t>Dimeticona (silicona 1501)</t>
  </si>
  <si>
    <t>Mentol en cristales</t>
  </si>
  <si>
    <t xml:space="preserve">Glicerina Vegetal </t>
  </si>
  <si>
    <t xml:space="preserve">Procide Cg </t>
  </si>
  <si>
    <t>GEL EXFOLIANTE - ALFALION, JOSE PUELLES</t>
  </si>
  <si>
    <t xml:space="preserve">Arcilla Blanca </t>
  </si>
  <si>
    <t xml:space="preserve">Dioxido de titanio </t>
  </si>
  <si>
    <t>Pantenol (Vitamina B5)</t>
  </si>
  <si>
    <t xml:space="preserve">Oxido de Zinc </t>
  </si>
  <si>
    <t>Extracto de Aloe Vera</t>
  </si>
  <si>
    <t xml:space="preserve">Vitamina E </t>
  </si>
  <si>
    <t xml:space="preserve">Niacinamida </t>
  </si>
  <si>
    <t>Talco</t>
  </si>
  <si>
    <t>Cellosize</t>
  </si>
  <si>
    <t xml:space="preserve">Trietanolamina </t>
  </si>
  <si>
    <t xml:space="preserve">Carbopol </t>
  </si>
  <si>
    <t xml:space="preserve">CREMA FACIAL HIDRATANTE </t>
  </si>
  <si>
    <t>Extracto de Hamamelis</t>
  </si>
  <si>
    <t>PRECIO PAR  1 LITRO DE FORMULA</t>
  </si>
  <si>
    <t>CANTIDAD                               PARA 10 KILOS</t>
  </si>
  <si>
    <t>CANTIDAD                               PARA 100 KILOS</t>
  </si>
  <si>
    <t>Alcohol cetilico</t>
  </si>
  <si>
    <t>Extracto de Té verde</t>
  </si>
  <si>
    <t xml:space="preserve">Acido Hialuronico </t>
  </si>
  <si>
    <t>Dehyquart</t>
  </si>
  <si>
    <t>SERUM DE OJERAS</t>
  </si>
  <si>
    <t xml:space="preserve">Aceite de ricino </t>
  </si>
  <si>
    <t xml:space="preserve">Extracto de Centella Asiatica </t>
  </si>
  <si>
    <t xml:space="preserve">Acido Citrico </t>
  </si>
  <si>
    <t>Fragancia</t>
  </si>
  <si>
    <t xml:space="preserve">Acido hialuronico </t>
  </si>
  <si>
    <t>Colorante (Opcional)</t>
  </si>
  <si>
    <t>Glicerina</t>
  </si>
  <si>
    <t xml:space="preserve">Colageno hidrolizado </t>
  </si>
  <si>
    <t xml:space="preserve">Procide cg </t>
  </si>
  <si>
    <t xml:space="preserve">Acido Ascorbico </t>
  </si>
  <si>
    <t>Fragancia  Vainilla</t>
  </si>
  <si>
    <t xml:space="preserve">Mentol en cristales </t>
  </si>
  <si>
    <t>GEL EXFOLIANTE - JHON CANTO</t>
  </si>
  <si>
    <t>Agua deionizada</t>
  </si>
  <si>
    <t xml:space="preserve">SERUM DE HIDRATANTE </t>
  </si>
  <si>
    <t>CREMA DERMA BEE, ESTRIAS Y REAFIRMANTE</t>
  </si>
  <si>
    <t>PRECIO PARA                      1 LITRO DE FORMULA</t>
  </si>
  <si>
    <t>CANTIDAD                               PARA 25 KILOS</t>
  </si>
  <si>
    <t>PRECIO PARA                        150 LT DE FORMULA</t>
  </si>
  <si>
    <t>PARA 35 KILOS</t>
  </si>
  <si>
    <t xml:space="preserve"> </t>
  </si>
  <si>
    <t xml:space="preserve">ACEITE ANTICELULITICO </t>
  </si>
  <si>
    <t>Agua desionizada</t>
  </si>
  <si>
    <t xml:space="preserve">Urea </t>
  </si>
  <si>
    <t xml:space="preserve">Vaselina liquida </t>
  </si>
  <si>
    <t xml:space="preserve">Alcohol cetilico </t>
  </si>
  <si>
    <t xml:space="preserve">Miritato de isopropilo </t>
  </si>
  <si>
    <t>Pantenol</t>
  </si>
  <si>
    <t xml:space="preserve">Aceite esencial romero </t>
  </si>
  <si>
    <t xml:space="preserve">Alantoina </t>
  </si>
  <si>
    <t xml:space="preserve">Aceite esencial Menta </t>
  </si>
  <si>
    <t>Colageno</t>
  </si>
  <si>
    <t xml:space="preserve">Aceite esencial Eucalipto </t>
  </si>
  <si>
    <t>Aceite esencial Limon</t>
  </si>
  <si>
    <t>Procide CG</t>
  </si>
  <si>
    <t>GEL MUSCULAR</t>
  </si>
  <si>
    <t xml:space="preserve">Fragancia manzanilla </t>
  </si>
  <si>
    <t xml:space="preserve">ACEITE ANTIVELLO CORPORAL </t>
  </si>
  <si>
    <t>Alcanfor</t>
  </si>
  <si>
    <t xml:space="preserve">Mentol en cristal </t>
  </si>
  <si>
    <t>Aceite de almendras</t>
  </si>
  <si>
    <t xml:space="preserve">Alcohol Extra Neutro </t>
  </si>
  <si>
    <t xml:space="preserve">CREMA DE CICATRICES </t>
  </si>
  <si>
    <t>KOREAN SILK COLLAGEN AMPOULE</t>
  </si>
  <si>
    <t>Aceite de Jojoba</t>
  </si>
  <si>
    <t>Producto: MAGEC – Collagen Fullerene Neck Cream ALFALION)</t>
  </si>
  <si>
    <t>Aceite de Rosa Mosqueta</t>
  </si>
  <si>
    <t>CANTIDAD                               PARA 22 KILOS</t>
  </si>
  <si>
    <t xml:space="preserve">  </t>
  </si>
  <si>
    <t>Aceite esencial árbol del té</t>
  </si>
  <si>
    <t xml:space="preserve">D - pantenol </t>
  </si>
  <si>
    <t>Colageno Hidrolizado</t>
  </si>
  <si>
    <t xml:space="preserve">SERUM ACEITOSO </t>
  </si>
  <si>
    <t xml:space="preserve">Aceite esencial Romero </t>
  </si>
  <si>
    <t xml:space="preserve">Propilenglicol </t>
  </si>
  <si>
    <t>D - Pantenol</t>
  </si>
  <si>
    <t xml:space="preserve">Fragancia Fresa </t>
  </si>
  <si>
    <t xml:space="preserve">Carpobol </t>
  </si>
  <si>
    <t xml:space="preserve">Colorante rojo </t>
  </si>
  <si>
    <t>GEL TENSOR FACIAL</t>
  </si>
  <si>
    <t xml:space="preserve">ACEITE PARA CABELLO </t>
  </si>
  <si>
    <t>Polisorbato 20</t>
  </si>
  <si>
    <r>
      <rPr>
        <rFont val="Calibri"/>
        <b/>
        <color theme="1"/>
        <sz val="12.0"/>
      </rPr>
      <t>PRECI</t>
    </r>
    <r>
      <rPr>
        <rFont val="Calibri"/>
        <b/>
        <color theme="1"/>
        <sz val="12.0"/>
      </rPr>
      <t>O PARA  1 LIT</t>
    </r>
    <r>
      <rPr>
        <rFont val="Calibri"/>
        <b/>
        <color theme="1"/>
        <sz val="12.0"/>
      </rPr>
      <t>RO</t>
    </r>
  </si>
  <si>
    <t xml:space="preserve">Silicato de sodio </t>
  </si>
  <si>
    <t>CREMA PARA HEMORROIDES</t>
  </si>
  <si>
    <t>Fragancia Tea Tree</t>
  </si>
  <si>
    <t xml:space="preserve">Aceite Esencial de romero </t>
  </si>
  <si>
    <t>SERUM DE ESTRIAS</t>
  </si>
  <si>
    <t>Cafeina</t>
  </si>
  <si>
    <t>PARA 30 KILOS</t>
  </si>
  <si>
    <t>CANTIDAD                               PARA 50 kilos</t>
  </si>
  <si>
    <t>CANTIDAD                               PARA 60 LITROS</t>
  </si>
  <si>
    <t>Extracto de hamamelis</t>
  </si>
  <si>
    <t xml:space="preserve">EXTRACTO PERFUMADOR DE CABELLO OLEOSO </t>
  </si>
  <si>
    <t xml:space="preserve">Agua desionizada </t>
  </si>
  <si>
    <t xml:space="preserve">Lidocaina </t>
  </si>
  <si>
    <r>
      <rPr>
        <rFont val="Calibri"/>
        <b/>
        <color theme="1"/>
        <sz val="12.0"/>
      </rPr>
      <t>PRECI</t>
    </r>
    <r>
      <rPr>
        <rFont val="Calibri"/>
        <b/>
        <color theme="1"/>
        <sz val="12.0"/>
      </rPr>
      <t>O PARA  1 LIT</t>
    </r>
    <r>
      <rPr>
        <rFont val="Calibri"/>
        <b/>
        <color theme="1"/>
        <sz val="12.0"/>
      </rPr>
      <t>RO</t>
    </r>
  </si>
  <si>
    <t>CANTIDAD                               PARA 50 LT</t>
  </si>
  <si>
    <t>Extracto de manzanilla</t>
  </si>
  <si>
    <t>CANTIDAD                               PARA 100 LT</t>
  </si>
  <si>
    <t xml:space="preserve">Vaselina Liquido </t>
  </si>
  <si>
    <t xml:space="preserve">Extracto de calendula </t>
  </si>
  <si>
    <t xml:space="preserve">extracto de castaña de indias </t>
  </si>
  <si>
    <t>GEL ANTIDOLOR</t>
  </si>
  <si>
    <t xml:space="preserve">Miristato de isopropolico </t>
  </si>
  <si>
    <t>CANTIDAD                               PARA 29 KG</t>
  </si>
  <si>
    <t xml:space="preserve">Cloruro de benzalconio </t>
  </si>
  <si>
    <t>Procide cg</t>
  </si>
  <si>
    <t>Niacinamida (Vitamina B3)</t>
  </si>
  <si>
    <t>ACEITE CORPORAL REAFIRMANTE</t>
  </si>
  <si>
    <t>Carbopol</t>
  </si>
  <si>
    <t xml:space="preserve">Acido Lactico </t>
  </si>
  <si>
    <r>
      <rPr>
        <rFont val="Calibri"/>
        <b/>
        <color theme="1"/>
        <sz val="12.0"/>
      </rPr>
      <t>PRECI</t>
    </r>
    <r>
      <rPr>
        <rFont val="Calibri"/>
        <b/>
        <color theme="1"/>
        <sz val="12.0"/>
      </rPr>
      <t>O PARA  1 LIT</t>
    </r>
    <r>
      <rPr>
        <rFont val="Calibri"/>
        <b/>
        <color theme="1"/>
        <sz val="12.0"/>
      </rPr>
      <t>RO</t>
    </r>
  </si>
  <si>
    <t>D- Pantenol</t>
  </si>
  <si>
    <t xml:space="preserve">CREMA PARA CALLOS </t>
  </si>
  <si>
    <t xml:space="preserve">EDTA </t>
  </si>
  <si>
    <t>Fragancia Vainilla</t>
  </si>
  <si>
    <t>Benzoato de Sodio</t>
  </si>
  <si>
    <t xml:space="preserve">Colorante </t>
  </si>
  <si>
    <t>Colorante a la grasa</t>
  </si>
  <si>
    <t>Urea</t>
  </si>
  <si>
    <t>Sorbato de sodio</t>
  </si>
  <si>
    <t xml:space="preserve">Acido lactico </t>
  </si>
  <si>
    <t xml:space="preserve">Acido Salicilico </t>
  </si>
  <si>
    <t>Fragancia Manzanilla</t>
  </si>
  <si>
    <t>Dehycuart</t>
  </si>
  <si>
    <t>Extracto de aloe vera</t>
  </si>
  <si>
    <t xml:space="preserve">Extracto de Arnica </t>
  </si>
  <si>
    <t>Aceite esenial tea tree</t>
  </si>
  <si>
    <t xml:space="preserve">Extracto de Jengibre </t>
  </si>
  <si>
    <t xml:space="preserve">SERUM PARA VERRUGAS BLANCO </t>
  </si>
  <si>
    <t xml:space="preserve">Aceite Esencial Lavanda </t>
  </si>
  <si>
    <t xml:space="preserve">Agua </t>
  </si>
  <si>
    <t xml:space="preserve">GEL BLANQUEADOR </t>
  </si>
  <si>
    <t xml:space="preserve">Allcohol Extra Neutro </t>
  </si>
  <si>
    <t xml:space="preserve">CREMA DE ELIMINADOR DE ACNE ACTIVO </t>
  </si>
  <si>
    <t xml:space="preserve">Acido Kojico </t>
  </si>
  <si>
    <t xml:space="preserve">Acido Mandelico </t>
  </si>
  <si>
    <t>Agua Desionizada</t>
  </si>
  <si>
    <t xml:space="preserve">Extracto de Aloe Vera </t>
  </si>
  <si>
    <t>Fragancia Coco</t>
  </si>
  <si>
    <t>Dehycuarth</t>
  </si>
  <si>
    <t xml:space="preserve">SERUM ANTIARRUGAS </t>
  </si>
  <si>
    <t xml:space="preserve">Procide CG </t>
  </si>
  <si>
    <t xml:space="preserve">GEL DE DRAGON </t>
  </si>
  <si>
    <t>Agua destilada</t>
  </si>
  <si>
    <t>CREMA BEE VENOM</t>
  </si>
  <si>
    <t xml:space="preserve">SPRAY ANTIPARASITO PARA PERROS </t>
  </si>
  <si>
    <t xml:space="preserve">Agua Destilada </t>
  </si>
  <si>
    <t xml:space="preserve">Vinagre de manzana </t>
  </si>
  <si>
    <t xml:space="preserve">Aceite de Neem </t>
  </si>
  <si>
    <t>Dioxido de Titanio</t>
  </si>
  <si>
    <t>Extracto de centellla asiatica</t>
  </si>
  <si>
    <t xml:space="preserve">Aceite esencial de Lavanda </t>
  </si>
  <si>
    <t>Extracto de castaña de indias</t>
  </si>
  <si>
    <t xml:space="preserve">Aceite esencial de Eucalipto </t>
  </si>
  <si>
    <t xml:space="preserve">Aceite esencial de Romero </t>
  </si>
  <si>
    <t xml:space="preserve">Aceite esencial de Citronella </t>
  </si>
  <si>
    <t>Acido Citrico</t>
  </si>
  <si>
    <t xml:space="preserve">SERUM DE HEMORROIDES </t>
  </si>
  <si>
    <t>RETARDANTE  EN GEL</t>
  </si>
  <si>
    <t xml:space="preserve">Fragancia Miel </t>
  </si>
  <si>
    <t xml:space="preserve">Polisorbato 20 </t>
  </si>
  <si>
    <t xml:space="preserve">Extracto de Hamamelis </t>
  </si>
  <si>
    <t>CREMA PARA RIZOS</t>
  </si>
  <si>
    <t>RETARDANTE LIQUIDO NORMAL</t>
  </si>
  <si>
    <t>Acido lactico</t>
  </si>
  <si>
    <t>Extacto de Manzanilla</t>
  </si>
  <si>
    <t>Benzoato de sodio</t>
  </si>
  <si>
    <t>Sorbato de potasio</t>
  </si>
  <si>
    <t xml:space="preserve">Extracto de Calendula </t>
  </si>
  <si>
    <t xml:space="preserve">Colorante negro </t>
  </si>
  <si>
    <t>PVP K30</t>
  </si>
  <si>
    <t>Edta tetrasodico</t>
  </si>
  <si>
    <t xml:space="preserve">Extracto de Castaña de Indias </t>
  </si>
  <si>
    <t xml:space="preserve">Cloruro de Benzalconio </t>
  </si>
  <si>
    <t>Silicona a la grasa 1000</t>
  </si>
  <si>
    <t>Aceite de ricino</t>
  </si>
  <si>
    <t>Lidocaina</t>
  </si>
  <si>
    <t>Acticide</t>
  </si>
  <si>
    <t>SPRAY BUCAL MENTA</t>
  </si>
  <si>
    <t>BLANQUEADOR DENTAL EN GEL 10 KILOS</t>
  </si>
  <si>
    <t>CANTIDAD                                    PARA 5 LITROS</t>
  </si>
  <si>
    <t>CREMA PARA PEINAR - KARSELL</t>
  </si>
  <si>
    <t xml:space="preserve">SERUM ELIMINADOR DE ACNE ACTIVO </t>
  </si>
  <si>
    <t>CANTIDAD                                    PARA 10 LITROS</t>
  </si>
  <si>
    <t>Alcohol extraneutro</t>
  </si>
  <si>
    <t xml:space="preserve">Saborizante  Menta </t>
  </si>
  <si>
    <t>Color al gusto sin color</t>
  </si>
  <si>
    <t xml:space="preserve">Betaina </t>
  </si>
  <si>
    <t xml:space="preserve">Colorante violeta dispersante </t>
  </si>
  <si>
    <t xml:space="preserve">TONICO DE MASCOTAS (RENOVAPET) </t>
  </si>
  <si>
    <t>Saborizante Menta</t>
  </si>
  <si>
    <t>mentol en cristales</t>
  </si>
  <si>
    <t xml:space="preserve">Sacarina </t>
  </si>
  <si>
    <t>Aceite Esencial Arbol del te</t>
  </si>
  <si>
    <t>Clorhexidina 20%</t>
  </si>
  <si>
    <t>GEL TENSOR</t>
  </si>
  <si>
    <t>CREMA PARA TATTO CARE</t>
  </si>
  <si>
    <t xml:space="preserve">SERUM CLAREADOR </t>
  </si>
  <si>
    <t>CANTIDAD                               PARA 5 LITROS</t>
  </si>
  <si>
    <t>PRECIO PARA                        20 LT DE FORMULA</t>
  </si>
  <si>
    <t>PRECIO PARA                        10 LT DE FORMULA</t>
  </si>
  <si>
    <t>PRECIO PARA                        15 LT DE FORMULA</t>
  </si>
  <si>
    <t>Alantoina</t>
  </si>
  <si>
    <t>Niacinamida (VITAMINA B3)</t>
  </si>
  <si>
    <t>Emulgade 1000</t>
  </si>
  <si>
    <t xml:space="preserve"> PARA REGULAR EL PH ACIDO CITRICO (EL PH TIENE QUE MEDIR 6-7) </t>
  </si>
  <si>
    <t>Aceite de Almendras</t>
  </si>
  <si>
    <t>ELHOE  4%</t>
  </si>
  <si>
    <t>Pantenol (Pro Vitamina B5)</t>
  </si>
  <si>
    <t>Minoxidil</t>
  </si>
  <si>
    <t xml:space="preserve">Alcohol extraneutro de 96% </t>
  </si>
  <si>
    <t xml:space="preserve">benzoato de sodio </t>
  </si>
  <si>
    <t>Aceite esencial de romero</t>
  </si>
  <si>
    <t>CREMA NEUROPATICA</t>
  </si>
  <si>
    <t>Acido Citrico  ( Ajustar ph 4.5 - 5.)</t>
  </si>
  <si>
    <t>ELHOE  0.03%</t>
  </si>
  <si>
    <t>Alcanfor en cristales</t>
  </si>
  <si>
    <t>Alcohol Extra neutro</t>
  </si>
  <si>
    <t xml:space="preserve">Aceite de calendula </t>
  </si>
  <si>
    <t>Agua</t>
  </si>
  <si>
    <t xml:space="preserve">Extraxto de centella asiatica </t>
  </si>
  <si>
    <t>extraxto de arnica</t>
  </si>
  <si>
    <t xml:space="preserve">Extracto de aloe vera </t>
  </si>
  <si>
    <t>SPRAY EXFOLIANTE</t>
  </si>
  <si>
    <t xml:space="preserve">Alcohol extra neutro  </t>
  </si>
  <si>
    <t>CREMA BLANQUEADORA CON ACIDO HIALURONICO</t>
  </si>
  <si>
    <t xml:space="preserve">Cellozise </t>
  </si>
  <si>
    <t xml:space="preserve">Benzoato  de sodio </t>
  </si>
  <si>
    <t>CHAMPU DE JENGIBRE, CANELA, CLAVO DE OLOR Y CEBOLLA</t>
  </si>
  <si>
    <t xml:space="preserve">Aceite esencial Arbol del te </t>
  </si>
  <si>
    <t>CANTIDAD                               PARA 300 kg</t>
  </si>
  <si>
    <t>Colorante</t>
  </si>
  <si>
    <t xml:space="preserve">Texapon </t>
  </si>
  <si>
    <t>SERUM CON VITAMINA C  (4.5 a 5.5 pH)</t>
  </si>
  <si>
    <t>Edta</t>
  </si>
  <si>
    <t>DIAMANTEX</t>
  </si>
  <si>
    <t xml:space="preserve">Coperland </t>
  </si>
  <si>
    <t>CREMA PARA DOLOR MUSCULAR - ÑAUPARI</t>
  </si>
  <si>
    <t xml:space="preserve">CREMA PARA ALFALION LLEVA 70 GR DE ALCOHOL CETILICO Y ES COLOR BLANCO </t>
  </si>
  <si>
    <t>Parafina</t>
  </si>
  <si>
    <t xml:space="preserve">Sal </t>
  </si>
  <si>
    <t>Cera carnauba</t>
  </si>
  <si>
    <t>Cellozice</t>
  </si>
  <si>
    <t xml:space="preserve">Alcanfor </t>
  </si>
  <si>
    <t xml:space="preserve">Cera de abeja </t>
  </si>
  <si>
    <t>Acido Ascorbico con poca agua</t>
  </si>
  <si>
    <t>Emulgador</t>
  </si>
  <si>
    <t>Aceite esencial de Romero</t>
  </si>
  <si>
    <t>Extracto de Romero</t>
  </si>
  <si>
    <t>Formol</t>
  </si>
  <si>
    <t>Trietanolamina (TEA)</t>
  </si>
  <si>
    <t>Extracto de Ortiga</t>
  </si>
  <si>
    <t>Colorante azul</t>
  </si>
  <si>
    <t>Colorante verde</t>
  </si>
  <si>
    <t>Conservante Procide CG</t>
  </si>
  <si>
    <t>CREMA TENSOR CON ACIDO HIALURONICO</t>
  </si>
  <si>
    <t>SPRAY TERBINAFINA AL 8%</t>
  </si>
  <si>
    <t>Terbinafina</t>
  </si>
  <si>
    <t xml:space="preserve">SERUM  ANTIARRUGAS O REAFIRMANTE  </t>
  </si>
  <si>
    <t>Vitamina C (acido Ascorbico)</t>
  </si>
  <si>
    <t>SPRAY ALISADOR, ANTI FRIZZ</t>
  </si>
  <si>
    <t>Vitamina e</t>
  </si>
  <si>
    <t>CREMA ANTIMICOTICA PARA HONGOS (EFECTO RAPIDO)</t>
  </si>
  <si>
    <t xml:space="preserve">Proteina hidrolizada de soya </t>
  </si>
  <si>
    <t xml:space="preserve">Sorbato de sodio </t>
  </si>
  <si>
    <t>Mentol en  cristal</t>
  </si>
  <si>
    <t xml:space="preserve">SERUM  BLANQUEADOR CON ACIDO KOJICO </t>
  </si>
  <si>
    <t xml:space="preserve">Colorante amarillo, marron y naranja </t>
  </si>
  <si>
    <t>Acido Kojico</t>
  </si>
  <si>
    <t>Aceite Esensial de Arbol del Té</t>
  </si>
  <si>
    <t xml:space="preserve">DESODORANTE DE NIÑOS </t>
  </si>
  <si>
    <t>CREMA ANTICELULITIS, ESTRIAS</t>
  </si>
  <si>
    <t xml:space="preserve">Clorhidrato de Aluminio </t>
  </si>
  <si>
    <t xml:space="preserve">Pantenol </t>
  </si>
  <si>
    <t>Trietil Citrato</t>
  </si>
  <si>
    <t xml:space="preserve">Polisorbato 20 para el trietil citrato </t>
  </si>
  <si>
    <t>Extracto de arnica</t>
  </si>
  <si>
    <t>Polisorbato 20 para la fragancia</t>
  </si>
  <si>
    <t>SERUM DE PESTAÑA</t>
  </si>
  <si>
    <t xml:space="preserve">DESODORANTE DE ADULTOS </t>
  </si>
  <si>
    <t>Polyquaternium 7</t>
  </si>
  <si>
    <t xml:space="preserve"> PARA REGULAR EL PH ACIDO CITRICO (EL PH TIENE QUE MEDIR 5) </t>
  </si>
  <si>
    <t>CREMA PARA VARICES</t>
  </si>
  <si>
    <t xml:space="preserve">Alcohol </t>
  </si>
  <si>
    <t xml:space="preserve">SERUM  FACIAL DE COLAGENO </t>
  </si>
  <si>
    <t>ANTIMICOTICO EN SPRAY PARA HONGOS DE UÑAS</t>
  </si>
  <si>
    <t>Acido Salicilico</t>
  </si>
  <si>
    <t>CREMA PARA DOLOR MUSCULAR CON MAGNESIO</t>
  </si>
  <si>
    <t>Aceite esencial de Arbol de té</t>
  </si>
  <si>
    <t>Alcohol Extra Neutro</t>
  </si>
  <si>
    <t>Colorante rojo</t>
  </si>
  <si>
    <t>SPRAY ALIVIO PARA PSORIASIS</t>
  </si>
  <si>
    <t>Cloruro de Magnesio</t>
  </si>
  <si>
    <t xml:space="preserve">Extracto de manzanilla </t>
  </si>
  <si>
    <t xml:space="preserve">CREMA BOTOX VENENO DE ABEJA </t>
  </si>
  <si>
    <t xml:space="preserve">sorbato de sodio </t>
  </si>
  <si>
    <t xml:space="preserve">Vitamina C </t>
  </si>
  <si>
    <t>SERUM DE HIDRATANTE CON CENTELLA ASIATICA</t>
  </si>
  <si>
    <t xml:space="preserve">Extraxto de Aloe Vera </t>
  </si>
  <si>
    <t>SPRAY DE MAGNESIO</t>
  </si>
  <si>
    <t>Extraxto de Te verde</t>
  </si>
  <si>
    <t xml:space="preserve">Aceite de Ricino </t>
  </si>
  <si>
    <t>Cloruro de mangnesio</t>
  </si>
  <si>
    <t>Dimeticona</t>
  </si>
  <si>
    <t>Agua desionixada</t>
  </si>
  <si>
    <t>Alcohol Cetlico</t>
  </si>
  <si>
    <t>DESENGRASANTE o QUITA OXIDO</t>
  </si>
  <si>
    <t>Nonil Fenol 10 M</t>
  </si>
  <si>
    <t>BLOQUEADOR</t>
  </si>
  <si>
    <t>Butilglicol</t>
  </si>
  <si>
    <t>Carbonato de sodio</t>
  </si>
  <si>
    <t>Edta Tetrasodico</t>
  </si>
  <si>
    <t>Betaina</t>
  </si>
  <si>
    <t xml:space="preserve">Acticide </t>
  </si>
  <si>
    <t>SERUM DE MIXSOON</t>
  </si>
  <si>
    <t>Colorante Alcalino</t>
  </si>
  <si>
    <t>Oxido de Zinc</t>
  </si>
  <si>
    <t>RETARDANTE LIQUIDO OPTIMIZADO</t>
  </si>
  <si>
    <t>Tetracaina</t>
  </si>
  <si>
    <t>Prilocaina</t>
  </si>
  <si>
    <t>Extracto de Avena</t>
  </si>
  <si>
    <t>Acido Lactico</t>
  </si>
  <si>
    <t>CREMA CON MINOXIDIL 5%</t>
  </si>
  <si>
    <t xml:space="preserve">Edta Tetrasodico </t>
  </si>
  <si>
    <t>PERFUME PACO RABANNE LUCKY</t>
  </si>
  <si>
    <t xml:space="preserve">SERUM DE SALMON </t>
  </si>
  <si>
    <t>Aceite esencial romero</t>
  </si>
  <si>
    <t>Galaxolide</t>
  </si>
  <si>
    <t>Vainillina</t>
  </si>
  <si>
    <t>Nicianimida</t>
  </si>
  <si>
    <t>Coumarina</t>
  </si>
  <si>
    <t>Fragancia Paco Rabanne</t>
  </si>
  <si>
    <t>SPRAY DE OIDOS - TRINNIDROP - daniel espinoza, luis marin</t>
  </si>
  <si>
    <t>Peroxido de Hidrogeno</t>
  </si>
  <si>
    <t>SPRAY DE OIDOS - DAVID SARMIENTO</t>
  </si>
  <si>
    <t>SELLADOR NANOCERAMICO</t>
  </si>
  <si>
    <t>Silicona 3031</t>
  </si>
  <si>
    <t xml:space="preserve">Varsol </t>
  </si>
  <si>
    <t xml:space="preserve">SPRAY BUCAL </t>
  </si>
  <si>
    <t xml:space="preserve">Saborizante Menta </t>
  </si>
  <si>
    <t>Mentol en cristal</t>
  </si>
  <si>
    <t>Color verde</t>
  </si>
  <si>
    <t>SPRAY TERBINAFINA 8%</t>
  </si>
  <si>
    <t xml:space="preserve">Terbinafina </t>
  </si>
  <si>
    <t xml:space="preserve">PET SKIN SOOTHING SPRAY </t>
  </si>
  <si>
    <t xml:space="preserve">Extracto de avena </t>
  </si>
  <si>
    <t>Extracto de Calendula</t>
  </si>
  <si>
    <t>Gluconato de Clorhexidina</t>
  </si>
  <si>
    <t xml:space="preserve">PERFUME ECONOMICO </t>
  </si>
  <si>
    <t>Alcohol Laurico Etoxilado</t>
  </si>
  <si>
    <t xml:space="preserve">Fragancia Paco Lucky </t>
  </si>
  <si>
    <t>Alcohol extra neutro</t>
  </si>
  <si>
    <t>PERFUME ESTANDAR ALTO</t>
  </si>
  <si>
    <t xml:space="preserve">Galaxolide </t>
  </si>
  <si>
    <t>SPRAY DE HEMORROIDES</t>
  </si>
  <si>
    <t>SPRAY DOLORES MUSCULARES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</si>
</sst>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_-[$S/-280A]* #,##0.00_-;\-[$S/-280A]* #,##0.00_-;_-[$S/-280A]* &quot;-&quot;??_-;_-@"/>
    <numFmt numFmtId="166" formatCode="_-&quot;S/&quot;\ * #,##0.00_-;\-&quot;S/&quot;\ * #,##0.00_-;_-&quot;S/&quot;\ * &quot;-&quot;??_-;_-@"/>
    <numFmt numFmtId="167" formatCode="_-[$S/-280A]\ * #,##0.00_-;\-[$S/-280A]\ * #,##0.00_-;_-[$S/-280A]\ * &quot;-&quot;??_-;_-@"/>
    <numFmt numFmtId="168" formatCode="_-[$S/-280A]* #,##0_-;\-[$S/-280A]* #,##0_-;_-[$S/-280A]* &quot;-&quot;??_-;_-@"/>
    <numFmt numFmtId="169" formatCode="0.000"/>
  </numFmts>
  <fonts count="13">
    <font>
      <sz val="11.0"/>
      <color theme="1"/>
      <name val="Calibri"/>
      <scheme val="minor"/>
    </font>
    <font>
      <b/>
      <sz val="18.0"/>
      <color theme="0"/>
      <name val="Calibri"/>
    </font>
    <font/>
    <font>
      <b/>
      <sz val="36.0"/>
      <color theme="0"/>
      <name val="Amasis MT Pro Black"/>
    </font>
    <font>
      <b/>
      <sz val="12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24.0"/>
      <color theme="1"/>
      <name val="Calibri"/>
    </font>
    <font>
      <sz val="12.0"/>
      <color theme="1"/>
      <name val="Calibri"/>
    </font>
    <font>
      <b/>
      <sz val="14.0"/>
      <color rgb="FF000000"/>
      <name val="Calibri"/>
    </font>
    <font>
      <b/>
      <color theme="1"/>
      <name val="Calibri"/>
      <scheme val="minor"/>
    </font>
    <font>
      <b/>
      <sz val="18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5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6" fillId="0" fontId="5" numFmtId="1" xfId="0" applyAlignment="1" applyBorder="1" applyFont="1" applyNumberFormat="1">
      <alignment horizontal="center"/>
    </xf>
    <xf borderId="6" fillId="0" fontId="5" numFmtId="164" xfId="0" applyAlignment="1" applyBorder="1" applyFont="1" applyNumberFormat="1">
      <alignment horizontal="center"/>
    </xf>
    <xf borderId="3" fillId="0" fontId="5" numFmtId="0" xfId="0" applyBorder="1" applyFont="1"/>
    <xf borderId="6" fillId="4" fontId="5" numFmtId="165" xfId="0" applyAlignment="1" applyBorder="1" applyFill="1" applyFont="1" applyNumberFormat="1">
      <alignment horizontal="center"/>
    </xf>
    <xf borderId="6" fillId="0" fontId="6" numFmtId="0" xfId="0" applyAlignment="1" applyBorder="1" applyFont="1">
      <alignment vertical="center"/>
    </xf>
    <xf borderId="7" fillId="0" fontId="5" numFmtId="0" xfId="0" applyBorder="1" applyFont="1"/>
    <xf borderId="8" fillId="0" fontId="5" numFmtId="1" xfId="0" applyAlignment="1" applyBorder="1" applyFont="1" applyNumberFormat="1">
      <alignment horizontal="center"/>
    </xf>
    <xf borderId="8" fillId="0" fontId="5" numFmtId="164" xfId="0" applyAlignment="1" applyBorder="1" applyFont="1" applyNumberFormat="1">
      <alignment horizontal="center"/>
    </xf>
    <xf borderId="9" fillId="4" fontId="5" numFmtId="165" xfId="0" applyAlignment="1" applyBorder="1" applyFont="1" applyNumberFormat="1">
      <alignment horizontal="center"/>
    </xf>
    <xf borderId="10" fillId="0" fontId="5" numFmtId="0" xfId="0" applyBorder="1" applyFont="1"/>
    <xf borderId="0" fillId="0" fontId="6" numFmtId="0" xfId="0" applyAlignment="1" applyFont="1">
      <alignment vertical="center"/>
    </xf>
    <xf borderId="9" fillId="5" fontId="5" numFmtId="1" xfId="0" applyAlignment="1" applyBorder="1" applyFill="1" applyFont="1" applyNumberFormat="1">
      <alignment horizontal="center" vertical="center"/>
    </xf>
    <xf borderId="8" fillId="0" fontId="5" numFmtId="0" xfId="0" applyAlignment="1" applyBorder="1" applyFont="1">
      <alignment horizontal="center" vertical="center"/>
    </xf>
    <xf borderId="9" fillId="5" fontId="5" numFmtId="165" xfId="0" applyAlignment="1" applyBorder="1" applyFont="1" applyNumberFormat="1">
      <alignment horizontal="center" vertical="center"/>
    </xf>
    <xf borderId="9" fillId="5" fontId="5" numFmtId="1" xfId="0" applyAlignment="1" applyBorder="1" applyFont="1" applyNumberFormat="1">
      <alignment horizontal="center"/>
    </xf>
    <xf borderId="11" fillId="0" fontId="5" numFmtId="1" xfId="0" applyAlignment="1" applyBorder="1" applyFont="1" applyNumberFormat="1">
      <alignment horizontal="center"/>
    </xf>
    <xf borderId="9" fillId="5" fontId="5" numFmtId="166" xfId="0" applyBorder="1" applyFont="1" applyNumberFormat="1"/>
    <xf borderId="6" fillId="5" fontId="5" numFmtId="166" xfId="0" applyBorder="1" applyFont="1" applyNumberFormat="1"/>
    <xf borderId="6" fillId="0" fontId="5" numFmtId="2" xfId="0" applyAlignment="1" applyBorder="1" applyFont="1" applyNumberFormat="1">
      <alignment horizontal="center"/>
    </xf>
    <xf borderId="6" fillId="5" fontId="5" numFmtId="1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horizontal="center" vertical="center"/>
    </xf>
    <xf borderId="6" fillId="5" fontId="5" numFmtId="165" xfId="0" applyAlignment="1" applyBorder="1" applyFont="1" applyNumberFormat="1">
      <alignment horizontal="center" vertical="center"/>
    </xf>
    <xf borderId="6" fillId="5" fontId="5" numFmtId="1" xfId="0" applyAlignment="1" applyBorder="1" applyFont="1" applyNumberFormat="1">
      <alignment horizontal="center"/>
    </xf>
    <xf borderId="11" fillId="0" fontId="5" numFmtId="164" xfId="0" applyAlignment="1" applyBorder="1" applyFont="1" applyNumberFormat="1">
      <alignment horizontal="center"/>
    </xf>
    <xf borderId="12" fillId="0" fontId="2" numFmtId="0" xfId="0" applyBorder="1" applyFont="1"/>
    <xf borderId="6" fillId="3" fontId="4" numFmtId="0" xfId="0" applyAlignment="1" applyBorder="1" applyFont="1">
      <alignment horizontal="center" vertical="center"/>
    </xf>
    <xf borderId="0" fillId="0" fontId="7" numFmtId="0" xfId="0" applyFont="1"/>
    <xf borderId="6" fillId="0" fontId="5" numFmtId="0" xfId="0" applyAlignment="1" applyBorder="1" applyFont="1">
      <alignment horizontal="center"/>
    </xf>
    <xf borderId="6" fillId="0" fontId="5" numFmtId="167" xfId="0" applyAlignment="1" applyBorder="1" applyFont="1" applyNumberFormat="1">
      <alignment horizontal="center"/>
    </xf>
    <xf borderId="6" fillId="0" fontId="5" numFmtId="168" xfId="0" applyAlignment="1" applyBorder="1" applyFont="1" applyNumberFormat="1">
      <alignment horizontal="center"/>
    </xf>
    <xf borderId="6" fillId="5" fontId="5" numFmtId="168" xfId="0" applyBorder="1" applyFont="1" applyNumberFormat="1"/>
    <xf borderId="0" fillId="0" fontId="7" numFmtId="0" xfId="0" applyAlignment="1" applyFont="1">
      <alignment readingOrder="0"/>
    </xf>
    <xf borderId="6" fillId="0" fontId="5" numFmtId="0" xfId="0" applyAlignment="1" applyBorder="1" applyFont="1">
      <alignment vertical="center"/>
    </xf>
    <xf borderId="6" fillId="0" fontId="5" numFmtId="1" xfId="0" applyAlignment="1" applyBorder="1" applyFont="1" applyNumberFormat="1">
      <alignment horizontal="center" vertical="center"/>
    </xf>
    <xf borderId="6" fillId="0" fontId="5" numFmtId="167" xfId="0" applyAlignment="1" applyBorder="1" applyFont="1" applyNumberFormat="1">
      <alignment horizontal="center" vertical="center"/>
    </xf>
    <xf borderId="6" fillId="4" fontId="5" numFmtId="165" xfId="0" applyAlignment="1" applyBorder="1" applyFont="1" applyNumberFormat="1">
      <alignment horizontal="center" vertical="center"/>
    </xf>
    <xf borderId="6" fillId="0" fontId="5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7" fillId="0" fontId="5" numFmtId="0" xfId="0" applyAlignment="1" applyBorder="1" applyFont="1">
      <alignment vertical="center"/>
    </xf>
    <xf borderId="13" fillId="2" fontId="1" numFmtId="0" xfId="0" applyAlignment="1" applyBorder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6" fillId="0" fontId="5" numFmtId="165" xfId="0" applyAlignment="1" applyBorder="1" applyFont="1" applyNumberFormat="1">
      <alignment horizontal="center" vertical="center"/>
    </xf>
    <xf borderId="0" fillId="0" fontId="8" numFmtId="0" xfId="0" applyFont="1"/>
    <xf borderId="0" fillId="0" fontId="9" numFmtId="0" xfId="0" applyAlignment="1" applyFont="1">
      <alignment horizontal="center"/>
    </xf>
    <xf borderId="6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center"/>
    </xf>
    <xf borderId="6" fillId="0" fontId="9" numFmtId="2" xfId="0" applyAlignment="1" applyBorder="1" applyFont="1" applyNumberFormat="1">
      <alignment horizontal="center"/>
    </xf>
    <xf borderId="11" fillId="0" fontId="5" numFmtId="0" xfId="0" applyBorder="1" applyFont="1"/>
    <xf borderId="9" fillId="5" fontId="5" numFmtId="165" xfId="0" applyBorder="1" applyFont="1" applyNumberFormat="1"/>
    <xf borderId="6" fillId="0" fontId="9" numFmtId="1" xfId="0" applyAlignment="1" applyBorder="1" applyFont="1" applyNumberFormat="1">
      <alignment horizontal="center"/>
    </xf>
    <xf borderId="6" fillId="0" fontId="5" numFmtId="169" xfId="0" applyAlignment="1" applyBorder="1" applyFont="1" applyNumberFormat="1">
      <alignment horizontal="center"/>
    </xf>
    <xf borderId="3" fillId="0" fontId="6" numFmtId="0" xfId="0" applyAlignment="1" applyBorder="1" applyFont="1">
      <alignment vertical="center"/>
    </xf>
    <xf borderId="6" fillId="0" fontId="5" numFmtId="166" xfId="0" applyAlignment="1" applyBorder="1" applyFont="1" applyNumberFormat="1">
      <alignment horizontal="center"/>
    </xf>
    <xf borderId="11" fillId="0" fontId="5" numFmtId="166" xfId="0" applyAlignment="1" applyBorder="1" applyFont="1" applyNumberFormat="1">
      <alignment horizontal="center"/>
    </xf>
    <xf borderId="1" fillId="0" fontId="6" numFmtId="0" xfId="0" applyAlignment="1" applyBorder="1" applyFont="1">
      <alignment vertical="center"/>
    </xf>
    <xf borderId="6" fillId="0" fontId="5" numFmtId="165" xfId="0" applyAlignment="1" applyBorder="1" applyFont="1" applyNumberFormat="1">
      <alignment horizontal="center"/>
    </xf>
    <xf borderId="16" fillId="5" fontId="5" numFmtId="1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 vertical="center"/>
    </xf>
    <xf borderId="16" fillId="5" fontId="5" numFmtId="165" xfId="0" applyAlignment="1" applyBorder="1" applyFont="1" applyNumberFormat="1">
      <alignment horizontal="center" vertical="center"/>
    </xf>
    <xf borderId="16" fillId="5" fontId="5" numFmtId="1" xfId="0" applyAlignment="1" applyBorder="1" applyFont="1" applyNumberFormat="1">
      <alignment horizontal="center"/>
    </xf>
    <xf borderId="16" fillId="5" fontId="5" numFmtId="166" xfId="0" applyBorder="1" applyFont="1" applyNumberFormat="1"/>
    <xf borderId="1" fillId="0" fontId="6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top"/>
    </xf>
    <xf borderId="9" fillId="5" fontId="5" numFmtId="0" xfId="0" applyAlignment="1" applyBorder="1" applyFont="1">
      <alignment horizontal="center"/>
    </xf>
    <xf borderId="8" fillId="0" fontId="4" numFmtId="0" xfId="0" applyAlignment="1" applyBorder="1" applyFont="1">
      <alignment horizontal="left" vertical="top"/>
    </xf>
    <xf borderId="0" fillId="0" fontId="4" numFmtId="0" xfId="0" applyAlignment="1" applyFont="1">
      <alignment horizontal="left" vertical="top"/>
    </xf>
    <xf borderId="8" fillId="0" fontId="5" numFmtId="1" xfId="0" applyAlignment="1" applyBorder="1" applyFont="1" applyNumberFormat="1">
      <alignment horizontal="center" vertical="center"/>
    </xf>
    <xf borderId="0" fillId="0" fontId="11" numFmtId="0" xfId="0" applyFont="1"/>
    <xf borderId="1" fillId="2" fontId="12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left" readingOrder="0" vertical="top"/>
    </xf>
    <xf borderId="6" fillId="0" fontId="5" numFmtId="1" xfId="0" applyAlignment="1" applyBorder="1" applyFont="1" applyNumberFormat="1">
      <alignment horizontal="center" readingOrder="0"/>
    </xf>
    <xf borderId="6" fillId="0" fontId="5" numFmtId="164" xfId="0" applyAlignment="1" applyBorder="1" applyFont="1" applyNumberFormat="1">
      <alignment horizontal="center" readingOrder="0"/>
    </xf>
    <xf borderId="8" fillId="6" fontId="5" numFmtId="1" xfId="0" applyAlignment="1" applyBorder="1" applyFill="1" applyFont="1" applyNumberFormat="1">
      <alignment horizontal="center" readingOrder="0" vertical="center"/>
    </xf>
    <xf borderId="8" fillId="6" fontId="5" numFmtId="0" xfId="0" applyAlignment="1" applyBorder="1" applyFont="1">
      <alignment horizontal="center" vertical="center"/>
    </xf>
    <xf borderId="8" fillId="6" fontId="5" numFmtId="165" xfId="0" applyAlignment="1" applyBorder="1" applyFont="1" applyNumberFormat="1">
      <alignment horizontal="center" vertical="center"/>
    </xf>
    <xf borderId="8" fillId="6" fontId="5" numFmtId="1" xfId="0" applyAlignment="1" applyBorder="1" applyFont="1" applyNumberFormat="1">
      <alignment horizontal="center" vertical="center"/>
    </xf>
    <xf borderId="8" fillId="6" fontId="5" numFmtId="0" xfId="0" applyAlignment="1" applyBorder="1" applyFont="1">
      <alignment horizontal="center"/>
    </xf>
    <xf borderId="6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8.57"/>
    <col customWidth="1" min="4" max="8" width="10.71"/>
    <col customWidth="1" min="9" max="9" width="12.71"/>
    <col customWidth="1" min="10" max="26" width="10.71"/>
  </cols>
  <sheetData>
    <row r="1" ht="14.25" customHeight="1"/>
    <row r="2" ht="14.25" customHeight="1">
      <c r="C2" s="1" t="s">
        <v>2</v>
      </c>
      <c r="D2" s="2"/>
      <c r="E2" s="2"/>
      <c r="F2" s="2"/>
      <c r="G2" s="2"/>
      <c r="H2" s="2"/>
      <c r="I2" s="2"/>
      <c r="J2" s="3"/>
    </row>
    <row r="3" ht="14.25" customHeight="1">
      <c r="B3" s="4">
        <v>1.0</v>
      </c>
      <c r="C3" s="5" t="s">
        <v>4</v>
      </c>
      <c r="D3" s="6" t="s">
        <v>5</v>
      </c>
      <c r="E3" s="6" t="s">
        <v>8</v>
      </c>
      <c r="F3" s="6" t="s">
        <v>9</v>
      </c>
      <c r="G3" s="6" t="s">
        <v>11</v>
      </c>
      <c r="H3" s="6" t="s">
        <v>13</v>
      </c>
      <c r="I3" s="6" t="s">
        <v>14</v>
      </c>
      <c r="J3" s="7"/>
    </row>
    <row r="4" ht="14.25" customHeight="1">
      <c r="C4" s="8" t="s">
        <v>16</v>
      </c>
      <c r="D4" s="9">
        <v>860.0</v>
      </c>
      <c r="E4" s="10"/>
      <c r="F4" s="12">
        <f t="shared" ref="F4:F12" si="1">(E4/1000)*D4</f>
        <v>0</v>
      </c>
      <c r="G4" s="9"/>
      <c r="H4" s="9"/>
      <c r="I4" s="9"/>
      <c r="J4" s="11" t="s">
        <v>19</v>
      </c>
    </row>
    <row r="5" ht="14.25" customHeight="1">
      <c r="C5" s="13" t="s">
        <v>21</v>
      </c>
      <c r="D5" s="9">
        <v>40.0</v>
      </c>
      <c r="E5" s="10"/>
      <c r="F5" s="12">
        <f t="shared" si="1"/>
        <v>0</v>
      </c>
      <c r="G5" s="9"/>
      <c r="H5" s="9"/>
      <c r="I5" s="9"/>
      <c r="J5" s="11"/>
    </row>
    <row r="6" ht="14.25" customHeight="1">
      <c r="C6" s="8" t="s">
        <v>25</v>
      </c>
      <c r="D6" s="9">
        <v>40.0</v>
      </c>
      <c r="E6" s="9"/>
      <c r="F6" s="12">
        <f t="shared" si="1"/>
        <v>0</v>
      </c>
      <c r="G6" s="9"/>
      <c r="H6" s="9"/>
      <c r="I6" s="9"/>
      <c r="J6" s="11" t="s">
        <v>19</v>
      </c>
    </row>
    <row r="7" ht="14.25" customHeight="1">
      <c r="C7" s="8" t="s">
        <v>29</v>
      </c>
      <c r="D7" s="9">
        <v>30.0</v>
      </c>
      <c r="E7" s="9"/>
      <c r="F7" s="12">
        <f t="shared" si="1"/>
        <v>0</v>
      </c>
      <c r="G7" s="9"/>
      <c r="H7" s="9"/>
      <c r="I7" s="9"/>
      <c r="J7" s="11"/>
    </row>
    <row r="8" ht="14.25" customHeight="1">
      <c r="C8" s="8" t="s">
        <v>24</v>
      </c>
      <c r="D8" s="9">
        <v>5.0</v>
      </c>
      <c r="E8" s="9"/>
      <c r="F8" s="12">
        <f t="shared" si="1"/>
        <v>0</v>
      </c>
      <c r="G8" s="9"/>
      <c r="H8" s="9"/>
      <c r="I8" s="9"/>
      <c r="J8" s="11"/>
    </row>
    <row r="9" ht="14.25" customHeight="1">
      <c r="C9" s="8" t="s">
        <v>37</v>
      </c>
      <c r="D9" s="9">
        <v>2.0</v>
      </c>
      <c r="E9" s="9"/>
      <c r="F9" s="12">
        <f t="shared" si="1"/>
        <v>0</v>
      </c>
      <c r="G9" s="9"/>
      <c r="H9" s="9"/>
      <c r="I9" s="9"/>
      <c r="J9" s="11" t="s">
        <v>19</v>
      </c>
    </row>
    <row r="10" ht="14.25" customHeight="1">
      <c r="C10" s="8" t="s">
        <v>40</v>
      </c>
      <c r="D10" s="9">
        <v>8.0</v>
      </c>
      <c r="E10" s="9"/>
      <c r="F10" s="12">
        <f t="shared" si="1"/>
        <v>0</v>
      </c>
      <c r="G10" s="9"/>
      <c r="H10" s="9"/>
      <c r="I10" s="9"/>
      <c r="J10" s="11" t="s">
        <v>19</v>
      </c>
    </row>
    <row r="11" ht="14.25" customHeight="1">
      <c r="C11" s="8" t="s">
        <v>43</v>
      </c>
      <c r="D11" s="9">
        <v>8.0</v>
      </c>
      <c r="E11" s="9"/>
      <c r="F11" s="12">
        <f t="shared" si="1"/>
        <v>0</v>
      </c>
      <c r="G11" s="9"/>
      <c r="H11" s="9"/>
      <c r="I11" s="9"/>
      <c r="J11" s="8" t="s">
        <v>19</v>
      </c>
    </row>
    <row r="12" ht="14.25" customHeight="1">
      <c r="C12" s="13" t="s">
        <v>45</v>
      </c>
      <c r="D12" s="24">
        <v>7.0</v>
      </c>
      <c r="E12" s="9"/>
      <c r="F12" s="12">
        <f t="shared" si="1"/>
        <v>0</v>
      </c>
      <c r="G12" s="9"/>
      <c r="H12" s="9"/>
      <c r="I12" s="9"/>
      <c r="J12" s="8"/>
    </row>
    <row r="13" ht="14.25" customHeight="1">
      <c r="C13" s="19"/>
      <c r="D13" s="28">
        <f>SUM(D4:D12)</f>
        <v>1000</v>
      </c>
      <c r="E13" s="29"/>
      <c r="F13" s="30">
        <f t="shared" ref="F13:I13" si="2">SUM(F4:F12)</f>
        <v>0</v>
      </c>
      <c r="G13" s="28">
        <f t="shared" si="2"/>
        <v>0</v>
      </c>
      <c r="H13" s="31">
        <f t="shared" si="2"/>
        <v>0</v>
      </c>
      <c r="I13" s="31">
        <f t="shared" si="2"/>
        <v>0</v>
      </c>
      <c r="J13" s="26"/>
    </row>
    <row r="14" ht="14.25" customHeight="1"/>
    <row r="15" ht="14.25" customHeight="1"/>
    <row r="16" ht="14.25" customHeight="1">
      <c r="C16" s="1" t="s">
        <v>54</v>
      </c>
      <c r="D16" s="2"/>
      <c r="E16" s="2"/>
      <c r="F16" s="2"/>
      <c r="G16" s="2"/>
      <c r="H16" s="2"/>
      <c r="I16" s="2"/>
      <c r="J16" s="3"/>
    </row>
    <row r="17" ht="14.25" customHeight="1">
      <c r="B17" s="4">
        <v>2.0</v>
      </c>
      <c r="C17" s="5" t="s">
        <v>4</v>
      </c>
      <c r="D17" s="6" t="s">
        <v>5</v>
      </c>
      <c r="E17" s="6" t="s">
        <v>8</v>
      </c>
      <c r="F17" s="6" t="s">
        <v>9</v>
      </c>
      <c r="G17" s="6" t="s">
        <v>11</v>
      </c>
      <c r="H17" s="6" t="s">
        <v>13</v>
      </c>
      <c r="I17" s="6" t="s">
        <v>14</v>
      </c>
      <c r="J17" s="7"/>
    </row>
    <row r="18" ht="14.25" customHeight="1">
      <c r="C18" s="8" t="s">
        <v>16</v>
      </c>
      <c r="D18" s="9">
        <v>889.0</v>
      </c>
      <c r="E18" s="10"/>
      <c r="F18" s="12">
        <f t="shared" ref="F18:F28" si="3">(E18/1000)*D18</f>
        <v>0</v>
      </c>
      <c r="G18" s="9"/>
      <c r="H18" s="9">
        <f t="shared" ref="H18:H28" si="4">+D18*6</f>
        <v>5334</v>
      </c>
      <c r="I18" s="9"/>
      <c r="J18" s="11" t="s">
        <v>19</v>
      </c>
    </row>
    <row r="19" ht="14.25" customHeight="1">
      <c r="C19" s="13" t="s">
        <v>21</v>
      </c>
      <c r="D19" s="9">
        <v>50.0</v>
      </c>
      <c r="E19" s="10"/>
      <c r="F19" s="12">
        <f t="shared" si="3"/>
        <v>0</v>
      </c>
      <c r="G19" s="9"/>
      <c r="H19" s="9">
        <f t="shared" si="4"/>
        <v>300</v>
      </c>
      <c r="I19" s="9"/>
      <c r="J19" s="11"/>
    </row>
    <row r="20" ht="14.25" customHeight="1">
      <c r="C20" s="8" t="s">
        <v>29</v>
      </c>
      <c r="D20" s="9">
        <v>30.0</v>
      </c>
      <c r="E20" s="9"/>
      <c r="F20" s="12">
        <f t="shared" si="3"/>
        <v>0</v>
      </c>
      <c r="G20" s="9"/>
      <c r="H20" s="9">
        <f t="shared" si="4"/>
        <v>180</v>
      </c>
      <c r="I20" s="9"/>
      <c r="J20" s="11" t="s">
        <v>19</v>
      </c>
    </row>
    <row r="21" ht="14.25" customHeight="1">
      <c r="C21" s="8" t="s">
        <v>63</v>
      </c>
      <c r="D21" s="9">
        <v>1.0</v>
      </c>
      <c r="E21" s="9"/>
      <c r="F21" s="12">
        <f t="shared" si="3"/>
        <v>0</v>
      </c>
      <c r="G21" s="9"/>
      <c r="H21" s="9">
        <f t="shared" si="4"/>
        <v>6</v>
      </c>
      <c r="I21" s="9"/>
      <c r="J21" s="11"/>
    </row>
    <row r="22" ht="14.25" customHeight="1">
      <c r="C22" s="8" t="s">
        <v>65</v>
      </c>
      <c r="D22" s="9">
        <v>10.0</v>
      </c>
      <c r="E22" s="9"/>
      <c r="F22" s="12">
        <f t="shared" si="3"/>
        <v>0</v>
      </c>
      <c r="G22" s="9"/>
      <c r="H22" s="9">
        <f t="shared" si="4"/>
        <v>60</v>
      </c>
      <c r="I22" s="9"/>
      <c r="J22" s="11"/>
    </row>
    <row r="23" ht="14.25" customHeight="1">
      <c r="C23" s="8" t="s">
        <v>67</v>
      </c>
      <c r="D23" s="9">
        <v>1.0</v>
      </c>
      <c r="E23" s="9"/>
      <c r="F23" s="12">
        <f t="shared" si="3"/>
        <v>0</v>
      </c>
      <c r="G23" s="9"/>
      <c r="H23" s="9">
        <f t="shared" si="4"/>
        <v>6</v>
      </c>
      <c r="I23" s="9"/>
      <c r="J23" s="11" t="s">
        <v>19</v>
      </c>
    </row>
    <row r="24" ht="14.25" customHeight="1">
      <c r="C24" s="8" t="s">
        <v>40</v>
      </c>
      <c r="D24" s="9">
        <v>11.0</v>
      </c>
      <c r="E24" s="9"/>
      <c r="F24" s="12">
        <f t="shared" si="3"/>
        <v>0</v>
      </c>
      <c r="G24" s="9"/>
      <c r="H24" s="9">
        <f t="shared" si="4"/>
        <v>66</v>
      </c>
      <c r="I24" s="9"/>
      <c r="J24" s="11" t="s">
        <v>19</v>
      </c>
    </row>
    <row r="25" ht="14.25" customHeight="1">
      <c r="C25" s="8" t="s">
        <v>70</v>
      </c>
      <c r="D25" s="9">
        <v>10.0</v>
      </c>
      <c r="E25" s="9"/>
      <c r="F25" s="12">
        <f t="shared" si="3"/>
        <v>0</v>
      </c>
      <c r="G25" s="9"/>
      <c r="H25" s="9">
        <f t="shared" si="4"/>
        <v>60</v>
      </c>
      <c r="I25" s="9"/>
      <c r="J25" s="8" t="s">
        <v>19</v>
      </c>
    </row>
    <row r="26" ht="14.25" customHeight="1">
      <c r="C26" s="8" t="s">
        <v>39</v>
      </c>
      <c r="D26" s="32">
        <v>0.2</v>
      </c>
      <c r="E26" s="9"/>
      <c r="F26" s="12">
        <f t="shared" si="3"/>
        <v>0</v>
      </c>
      <c r="G26" s="9"/>
      <c r="H26" s="9">
        <f t="shared" si="4"/>
        <v>1.2</v>
      </c>
      <c r="I26" s="9"/>
      <c r="J26" s="8"/>
    </row>
    <row r="27" ht="14.25" customHeight="1">
      <c r="C27" s="8" t="s">
        <v>22</v>
      </c>
      <c r="D27" s="24">
        <v>1.0</v>
      </c>
      <c r="E27" s="9"/>
      <c r="F27" s="12">
        <f t="shared" si="3"/>
        <v>0</v>
      </c>
      <c r="G27" s="9"/>
      <c r="H27" s="9">
        <f t="shared" si="4"/>
        <v>6</v>
      </c>
      <c r="I27" s="9"/>
      <c r="J27" s="8"/>
    </row>
    <row r="28" ht="14.25" customHeight="1">
      <c r="C28" s="8" t="s">
        <v>26</v>
      </c>
      <c r="D28" s="32">
        <v>0.5</v>
      </c>
      <c r="E28" s="9"/>
      <c r="F28" s="12">
        <f t="shared" si="3"/>
        <v>0</v>
      </c>
      <c r="G28" s="9"/>
      <c r="H28" s="9">
        <f t="shared" si="4"/>
        <v>3</v>
      </c>
      <c r="I28" s="9"/>
      <c r="J28" s="8"/>
    </row>
    <row r="29" ht="14.25" customHeight="1">
      <c r="C29" s="19"/>
      <c r="D29" s="28">
        <f>SUM(D18:D28)</f>
        <v>1003.7</v>
      </c>
      <c r="E29" s="29"/>
      <c r="F29" s="30">
        <f t="shared" ref="F29:I29" si="5">SUM(F18:F28)</f>
        <v>0</v>
      </c>
      <c r="G29" s="28">
        <f t="shared" si="5"/>
        <v>0</v>
      </c>
      <c r="H29" s="31">
        <f t="shared" si="5"/>
        <v>6022.2</v>
      </c>
      <c r="I29" s="31">
        <f t="shared" si="5"/>
        <v>0</v>
      </c>
      <c r="J29" s="26"/>
    </row>
    <row r="30" ht="14.25" customHeight="1"/>
    <row r="31" ht="14.25" customHeight="1"/>
    <row r="32" ht="14.25" customHeight="1">
      <c r="C32" s="1" t="s">
        <v>81</v>
      </c>
      <c r="D32" s="2"/>
      <c r="E32" s="2"/>
      <c r="F32" s="2"/>
      <c r="G32" s="2"/>
      <c r="H32" s="2"/>
      <c r="I32" s="2"/>
      <c r="J32" s="3"/>
    </row>
    <row r="33" ht="14.25" customHeight="1">
      <c r="B33" s="4">
        <v>3.0</v>
      </c>
      <c r="C33" s="5" t="s">
        <v>4</v>
      </c>
      <c r="D33" s="6" t="s">
        <v>5</v>
      </c>
      <c r="E33" s="6" t="s">
        <v>8</v>
      </c>
      <c r="F33" s="6" t="s">
        <v>9</v>
      </c>
      <c r="G33" s="6" t="s">
        <v>11</v>
      </c>
      <c r="H33" s="6" t="s">
        <v>13</v>
      </c>
      <c r="I33" s="6" t="s">
        <v>14</v>
      </c>
      <c r="J33" s="7"/>
    </row>
    <row r="34" ht="14.25" customHeight="1">
      <c r="C34" s="8" t="s">
        <v>16</v>
      </c>
      <c r="D34" s="9">
        <v>894.0</v>
      </c>
      <c r="E34" s="10"/>
      <c r="F34" s="12">
        <f t="shared" ref="F34:F42" si="6">(E34/1000)*D34</f>
        <v>0</v>
      </c>
      <c r="G34" s="9"/>
      <c r="H34" s="9"/>
      <c r="I34" s="9"/>
      <c r="J34" s="11" t="s">
        <v>19</v>
      </c>
    </row>
    <row r="35" ht="14.25" customHeight="1">
      <c r="C35" s="13" t="s">
        <v>40</v>
      </c>
      <c r="D35" s="9">
        <v>8.0</v>
      </c>
      <c r="E35" s="10"/>
      <c r="F35" s="12">
        <f t="shared" si="6"/>
        <v>0</v>
      </c>
      <c r="G35" s="9"/>
      <c r="H35" s="9"/>
      <c r="I35" s="9"/>
      <c r="J35" s="11"/>
    </row>
    <row r="36" ht="14.25" customHeight="1">
      <c r="C36" s="8" t="s">
        <v>29</v>
      </c>
      <c r="D36" s="9">
        <v>50.0</v>
      </c>
      <c r="E36" s="9"/>
      <c r="F36" s="12">
        <f t="shared" si="6"/>
        <v>0</v>
      </c>
      <c r="G36" s="9"/>
      <c r="H36" s="9"/>
      <c r="I36" s="9"/>
      <c r="J36" s="11" t="s">
        <v>19</v>
      </c>
    </row>
    <row r="37" ht="14.25" customHeight="1">
      <c r="C37" s="8" t="s">
        <v>24</v>
      </c>
      <c r="D37" s="9">
        <v>30.0</v>
      </c>
      <c r="E37" s="9"/>
      <c r="F37" s="12">
        <f t="shared" si="6"/>
        <v>0</v>
      </c>
      <c r="G37" s="9"/>
      <c r="H37" s="9"/>
      <c r="I37" s="9"/>
      <c r="J37" s="11"/>
    </row>
    <row r="38" ht="14.25" customHeight="1">
      <c r="C38" s="8" t="s">
        <v>89</v>
      </c>
      <c r="D38" s="9">
        <v>10.0</v>
      </c>
      <c r="E38" s="9"/>
      <c r="F38" s="12">
        <f t="shared" si="6"/>
        <v>0</v>
      </c>
      <c r="G38" s="9"/>
      <c r="H38" s="9"/>
      <c r="I38" s="9"/>
      <c r="J38" s="11"/>
    </row>
    <row r="39" ht="14.25" customHeight="1">
      <c r="C39" s="8" t="s">
        <v>91</v>
      </c>
      <c r="D39" s="9">
        <v>5.0</v>
      </c>
      <c r="E39" s="9"/>
      <c r="F39" s="12">
        <f t="shared" si="6"/>
        <v>0</v>
      </c>
      <c r="G39" s="9"/>
      <c r="H39" s="9"/>
      <c r="I39" s="9"/>
      <c r="J39" s="11" t="s">
        <v>19</v>
      </c>
    </row>
    <row r="40" ht="14.25" customHeight="1">
      <c r="C40" s="8" t="s">
        <v>93</v>
      </c>
      <c r="D40" s="9">
        <v>1.0</v>
      </c>
      <c r="E40" s="9"/>
      <c r="F40" s="12">
        <f t="shared" si="6"/>
        <v>0</v>
      </c>
      <c r="G40" s="9"/>
      <c r="H40" s="9"/>
      <c r="I40" s="9"/>
      <c r="J40" s="11" t="s">
        <v>19</v>
      </c>
    </row>
    <row r="41" ht="14.25" customHeight="1">
      <c r="C41" s="8" t="s">
        <v>22</v>
      </c>
      <c r="D41" s="24">
        <v>1.0</v>
      </c>
      <c r="E41" s="9"/>
      <c r="F41" s="12">
        <f t="shared" si="6"/>
        <v>0</v>
      </c>
      <c r="G41" s="9"/>
      <c r="H41" s="9"/>
      <c r="I41" s="9"/>
      <c r="J41" s="8"/>
    </row>
    <row r="42" ht="14.25" customHeight="1">
      <c r="C42" s="8" t="s">
        <v>26</v>
      </c>
      <c r="D42" s="32">
        <v>0.5</v>
      </c>
      <c r="E42" s="9"/>
      <c r="F42" s="12">
        <f t="shared" si="6"/>
        <v>0</v>
      </c>
      <c r="G42" s="9"/>
      <c r="H42" s="9"/>
      <c r="I42" s="9"/>
      <c r="J42" s="8"/>
    </row>
    <row r="43" ht="14.25" customHeight="1">
      <c r="C43" s="19"/>
      <c r="D43" s="28">
        <f>SUM(D34:D42)</f>
        <v>999.5</v>
      </c>
      <c r="E43" s="29"/>
      <c r="F43" s="30">
        <f t="shared" ref="F43:I43" si="7">SUM(F34:F42)</f>
        <v>0</v>
      </c>
      <c r="G43" s="28">
        <f t="shared" si="7"/>
        <v>0</v>
      </c>
      <c r="H43" s="31">
        <f t="shared" si="7"/>
        <v>0</v>
      </c>
      <c r="I43" s="31">
        <f t="shared" si="7"/>
        <v>0</v>
      </c>
      <c r="J43" s="26"/>
    </row>
    <row r="44" ht="14.25" customHeight="1"/>
    <row r="45" ht="14.25" customHeight="1"/>
    <row r="46" ht="14.25" customHeight="1"/>
    <row r="47" ht="14.25" customHeight="1">
      <c r="C47" s="1" t="s">
        <v>96</v>
      </c>
      <c r="D47" s="2"/>
      <c r="E47" s="2"/>
      <c r="F47" s="2"/>
      <c r="G47" s="2"/>
      <c r="H47" s="2"/>
      <c r="I47" s="2"/>
      <c r="J47" s="3"/>
    </row>
    <row r="48" ht="14.25" customHeight="1">
      <c r="B48" s="4">
        <v>3.0</v>
      </c>
      <c r="C48" s="5" t="s">
        <v>4</v>
      </c>
      <c r="D48" s="6" t="s">
        <v>5</v>
      </c>
      <c r="E48" s="6" t="s">
        <v>8</v>
      </c>
      <c r="F48" s="6" t="s">
        <v>9</v>
      </c>
      <c r="G48" s="6" t="s">
        <v>11</v>
      </c>
      <c r="H48" s="6" t="s">
        <v>13</v>
      </c>
      <c r="I48" s="6" t="s">
        <v>14</v>
      </c>
      <c r="J48" s="7"/>
    </row>
    <row r="49" ht="14.25" customHeight="1">
      <c r="C49" s="8" t="s">
        <v>16</v>
      </c>
      <c r="D49" s="9">
        <v>863.0</v>
      </c>
      <c r="E49" s="10"/>
      <c r="F49" s="12">
        <f t="shared" ref="F49:F51" si="8">(E49/1000)*D49</f>
        <v>0</v>
      </c>
      <c r="G49" s="9"/>
      <c r="H49" s="9"/>
      <c r="I49" s="9"/>
      <c r="J49" s="11" t="s">
        <v>19</v>
      </c>
    </row>
    <row r="50" ht="14.25" customHeight="1">
      <c r="C50" s="13" t="s">
        <v>32</v>
      </c>
      <c r="D50" s="9">
        <v>40.0</v>
      </c>
      <c r="E50" s="10"/>
      <c r="F50" s="12">
        <f t="shared" si="8"/>
        <v>0</v>
      </c>
      <c r="G50" s="9"/>
      <c r="H50" s="9"/>
      <c r="I50" s="9"/>
      <c r="J50" s="11"/>
    </row>
    <row r="51" ht="14.25" customHeight="1">
      <c r="C51" s="8" t="s">
        <v>29</v>
      </c>
      <c r="D51" s="9">
        <v>30.0</v>
      </c>
      <c r="E51" s="9"/>
      <c r="F51" s="12">
        <f t="shared" si="8"/>
        <v>0</v>
      </c>
      <c r="G51" s="9"/>
      <c r="H51" s="9"/>
      <c r="I51" s="9"/>
      <c r="J51" s="11" t="s">
        <v>19</v>
      </c>
    </row>
    <row r="52" ht="14.25" customHeight="1">
      <c r="C52" s="8" t="s">
        <v>105</v>
      </c>
      <c r="D52" s="9">
        <v>20.0</v>
      </c>
      <c r="E52" s="9"/>
      <c r="F52" s="12"/>
      <c r="G52" s="9"/>
      <c r="H52" s="9"/>
      <c r="I52" s="9"/>
      <c r="J52" s="11"/>
    </row>
    <row r="53" ht="14.25" customHeight="1">
      <c r="C53" s="8" t="s">
        <v>65</v>
      </c>
      <c r="D53" s="9">
        <v>10.0</v>
      </c>
      <c r="E53" s="9"/>
      <c r="F53" s="12"/>
      <c r="G53" s="9"/>
      <c r="H53" s="9"/>
      <c r="I53" s="9"/>
      <c r="J53" s="11"/>
    </row>
    <row r="54" ht="14.25" customHeight="1">
      <c r="C54" s="8" t="s">
        <v>25</v>
      </c>
      <c r="D54" s="9">
        <v>20.0</v>
      </c>
      <c r="E54" s="9"/>
      <c r="F54" s="12"/>
      <c r="G54" s="9"/>
      <c r="H54" s="9"/>
      <c r="I54" s="9"/>
      <c r="J54" s="11"/>
    </row>
    <row r="55" ht="14.25" customHeight="1">
      <c r="C55" s="8" t="s">
        <v>109</v>
      </c>
      <c r="D55" s="9">
        <v>1.0</v>
      </c>
      <c r="E55" s="9"/>
      <c r="F55" s="12">
        <f t="shared" ref="F55:F61" si="9">(E55/1000)*D55</f>
        <v>0</v>
      </c>
      <c r="G55" s="9"/>
      <c r="H55" s="9"/>
      <c r="I55" s="9"/>
      <c r="J55" s="11"/>
    </row>
    <row r="56" ht="14.25" customHeight="1">
      <c r="C56" s="8" t="s">
        <v>111</v>
      </c>
      <c r="D56" s="9">
        <v>3.0</v>
      </c>
      <c r="E56" s="9"/>
      <c r="F56" s="12">
        <f t="shared" si="9"/>
        <v>0</v>
      </c>
      <c r="G56" s="9"/>
      <c r="H56" s="9"/>
      <c r="I56" s="9"/>
      <c r="J56" s="11"/>
    </row>
    <row r="57" ht="14.25" customHeight="1">
      <c r="C57" s="8" t="s">
        <v>69</v>
      </c>
      <c r="D57" s="9">
        <v>8.0</v>
      </c>
      <c r="E57" s="9"/>
      <c r="F57" s="12">
        <f t="shared" si="9"/>
        <v>0</v>
      </c>
      <c r="G57" s="9"/>
      <c r="H57" s="9"/>
      <c r="I57" s="9"/>
      <c r="J57" s="11" t="s">
        <v>19</v>
      </c>
    </row>
    <row r="58" ht="14.25" customHeight="1">
      <c r="C58" s="8" t="s">
        <v>22</v>
      </c>
      <c r="D58" s="24">
        <v>1.0</v>
      </c>
      <c r="E58" s="9"/>
      <c r="F58" s="12">
        <f t="shared" si="9"/>
        <v>0</v>
      </c>
      <c r="G58" s="9"/>
      <c r="H58" s="9"/>
      <c r="I58" s="9"/>
      <c r="J58" s="8"/>
    </row>
    <row r="59" ht="14.25" customHeight="1">
      <c r="C59" s="8" t="s">
        <v>26</v>
      </c>
      <c r="D59" s="24">
        <v>1.0</v>
      </c>
      <c r="E59" s="9"/>
      <c r="F59" s="12">
        <f t="shared" si="9"/>
        <v>0</v>
      </c>
      <c r="G59" s="9"/>
      <c r="H59" s="9"/>
      <c r="I59" s="9"/>
      <c r="J59" s="8"/>
    </row>
    <row r="60" ht="14.25" customHeight="1">
      <c r="C60" s="14" t="s">
        <v>84</v>
      </c>
      <c r="D60" s="24">
        <v>1.0</v>
      </c>
      <c r="E60" s="9"/>
      <c r="F60" s="12">
        <f t="shared" si="9"/>
        <v>0</v>
      </c>
      <c r="G60" s="9"/>
      <c r="H60" s="9"/>
      <c r="I60" s="9"/>
      <c r="J60" s="8"/>
    </row>
    <row r="61" ht="14.25" customHeight="1">
      <c r="C61" s="14" t="s">
        <v>79</v>
      </c>
      <c r="D61" s="24">
        <v>2.0</v>
      </c>
      <c r="E61" s="9"/>
      <c r="F61" s="12">
        <f t="shared" si="9"/>
        <v>0</v>
      </c>
      <c r="G61" s="9"/>
      <c r="H61" s="9"/>
      <c r="I61" s="9"/>
      <c r="J61" s="8"/>
    </row>
    <row r="62" ht="14.25" customHeight="1">
      <c r="C62" s="19"/>
      <c r="D62" s="28">
        <f>SUM(D49:D61)</f>
        <v>1000</v>
      </c>
      <c r="E62" s="29"/>
      <c r="F62" s="30">
        <f>SUM(F49:F61)</f>
        <v>0</v>
      </c>
      <c r="G62" s="28">
        <f t="shared" ref="G62:I62" si="10">SUM(G49:G59)</f>
        <v>0</v>
      </c>
      <c r="H62" s="31">
        <f t="shared" si="10"/>
        <v>0</v>
      </c>
      <c r="I62" s="31">
        <f t="shared" si="10"/>
        <v>0</v>
      </c>
      <c r="J62" s="26"/>
    </row>
    <row r="63" ht="14.25" customHeight="1"/>
    <row r="64" ht="14.25" customHeight="1"/>
    <row r="65" ht="14.25" customHeight="1">
      <c r="C65" s="1" t="s">
        <v>125</v>
      </c>
      <c r="D65" s="2"/>
      <c r="E65" s="2"/>
      <c r="F65" s="2"/>
      <c r="G65" s="2"/>
      <c r="H65" s="2"/>
      <c r="I65" s="2"/>
      <c r="J65" s="3"/>
    </row>
    <row r="66" ht="14.25" customHeight="1">
      <c r="B66" s="4">
        <v>4.0</v>
      </c>
      <c r="C66" s="5" t="s">
        <v>4</v>
      </c>
      <c r="D66" s="6" t="s">
        <v>5</v>
      </c>
      <c r="E66" s="6" t="s">
        <v>8</v>
      </c>
      <c r="F66" s="6" t="s">
        <v>9</v>
      </c>
      <c r="G66" s="6" t="s">
        <v>11</v>
      </c>
      <c r="H66" s="6" t="s">
        <v>13</v>
      </c>
      <c r="I66" s="6" t="s">
        <v>14</v>
      </c>
      <c r="J66" s="7"/>
    </row>
    <row r="67" ht="14.25" customHeight="1">
      <c r="C67" s="8" t="s">
        <v>16</v>
      </c>
      <c r="D67" s="10">
        <v>902.5</v>
      </c>
      <c r="E67" s="10"/>
      <c r="F67" s="12">
        <f>(E67/1000)*D67</f>
        <v>0</v>
      </c>
      <c r="G67" s="9"/>
      <c r="H67" s="9"/>
      <c r="I67" s="9"/>
      <c r="J67" s="11" t="s">
        <v>19</v>
      </c>
    </row>
    <row r="68" ht="14.25" customHeight="1">
      <c r="C68" s="8" t="s">
        <v>32</v>
      </c>
      <c r="D68" s="9">
        <v>30.0</v>
      </c>
      <c r="E68" s="10"/>
      <c r="F68" s="12"/>
      <c r="G68" s="9"/>
      <c r="H68" s="9"/>
      <c r="I68" s="9"/>
      <c r="J68" s="11"/>
    </row>
    <row r="69" ht="14.25" customHeight="1">
      <c r="C69" s="8" t="s">
        <v>132</v>
      </c>
      <c r="D69" s="9">
        <v>5.0</v>
      </c>
      <c r="E69" s="10"/>
      <c r="F69" s="12"/>
      <c r="G69" s="9"/>
      <c r="H69" s="9"/>
      <c r="I69" s="9"/>
      <c r="J69" s="11"/>
    </row>
    <row r="70" ht="14.25" customHeight="1">
      <c r="C70" s="8" t="s">
        <v>133</v>
      </c>
      <c r="D70" s="9">
        <v>1.0</v>
      </c>
      <c r="E70" s="10"/>
      <c r="F70" s="12"/>
      <c r="G70" s="9"/>
      <c r="H70" s="9"/>
      <c r="I70" s="9"/>
      <c r="J70" s="11"/>
    </row>
    <row r="71" ht="14.25" customHeight="1">
      <c r="C71" s="8" t="s">
        <v>79</v>
      </c>
      <c r="D71" s="10">
        <v>1.5</v>
      </c>
      <c r="E71" s="10"/>
      <c r="F71" s="12"/>
      <c r="G71" s="9"/>
      <c r="H71" s="9"/>
      <c r="I71" s="9"/>
      <c r="J71" s="11"/>
    </row>
    <row r="72" ht="14.25" customHeight="1">
      <c r="C72" s="8" t="s">
        <v>25</v>
      </c>
      <c r="D72" s="9">
        <v>20.0</v>
      </c>
      <c r="E72" s="10"/>
      <c r="F72" s="12"/>
      <c r="G72" s="9"/>
      <c r="H72" s="9"/>
      <c r="I72" s="9"/>
      <c r="J72" s="11"/>
    </row>
    <row r="73" ht="14.25" customHeight="1">
      <c r="C73" s="13" t="s">
        <v>65</v>
      </c>
      <c r="D73" s="9">
        <v>20.0</v>
      </c>
      <c r="E73" s="10"/>
      <c r="F73" s="12">
        <f t="shared" ref="F73:F74" si="11">(E73/1000)*D73</f>
        <v>0</v>
      </c>
      <c r="G73" s="9"/>
      <c r="H73" s="9"/>
      <c r="I73" s="9"/>
      <c r="J73" s="11"/>
    </row>
    <row r="74" ht="14.25" customHeight="1">
      <c r="C74" s="8" t="s">
        <v>111</v>
      </c>
      <c r="D74" s="9">
        <v>2.0</v>
      </c>
      <c r="E74" s="9"/>
      <c r="F74" s="12">
        <f t="shared" si="11"/>
        <v>0</v>
      </c>
      <c r="G74" s="9"/>
      <c r="H74" s="9"/>
      <c r="I74" s="9"/>
      <c r="J74" s="11" t="s">
        <v>19</v>
      </c>
    </row>
    <row r="75" ht="14.25" customHeight="1">
      <c r="C75" s="8" t="s">
        <v>139</v>
      </c>
      <c r="D75" s="9">
        <v>9.0</v>
      </c>
      <c r="E75" s="9"/>
      <c r="F75" s="12"/>
      <c r="G75" s="9"/>
      <c r="H75" s="9"/>
      <c r="I75" s="9"/>
      <c r="J75" s="11"/>
    </row>
    <row r="76" ht="14.25" customHeight="1">
      <c r="C76" s="8" t="s">
        <v>116</v>
      </c>
      <c r="D76" s="9">
        <v>2.0</v>
      </c>
      <c r="E76" s="9"/>
      <c r="F76" s="12"/>
      <c r="G76" s="9"/>
      <c r="H76" s="9"/>
      <c r="I76" s="9"/>
      <c r="J76" s="11"/>
    </row>
    <row r="77" ht="14.25" customHeight="1">
      <c r="C77" s="8" t="s">
        <v>39</v>
      </c>
      <c r="D77" s="10">
        <v>1.0</v>
      </c>
      <c r="E77" s="9"/>
      <c r="F77" s="12"/>
      <c r="G77" s="9"/>
      <c r="H77" s="9"/>
      <c r="I77" s="9"/>
      <c r="J77" s="11"/>
    </row>
    <row r="78" ht="14.25" customHeight="1">
      <c r="C78" s="8" t="s">
        <v>143</v>
      </c>
      <c r="D78" s="9">
        <v>6.0</v>
      </c>
      <c r="E78" s="9"/>
      <c r="F78" s="12">
        <f>(E78/1000)*D78</f>
        <v>0</v>
      </c>
      <c r="G78" s="9"/>
      <c r="H78" s="9"/>
      <c r="I78" s="9"/>
      <c r="J78" s="11"/>
    </row>
    <row r="79" ht="14.25" customHeight="1">
      <c r="C79" s="19"/>
      <c r="D79" s="28">
        <f>SUM(D67:D78)</f>
        <v>1000</v>
      </c>
      <c r="E79" s="29"/>
      <c r="F79" s="30">
        <f t="shared" ref="F79:I79" si="12">SUM(F67:F78)</f>
        <v>0</v>
      </c>
      <c r="G79" s="28">
        <f t="shared" si="12"/>
        <v>0</v>
      </c>
      <c r="H79" s="31">
        <f t="shared" si="12"/>
        <v>0</v>
      </c>
      <c r="I79" s="31">
        <f t="shared" si="12"/>
        <v>0</v>
      </c>
      <c r="J79" s="26"/>
    </row>
    <row r="80" ht="14.25" customHeight="1"/>
    <row r="81" ht="14.25" customHeight="1"/>
    <row r="82" ht="14.25" customHeight="1">
      <c r="C82" s="1" t="s">
        <v>149</v>
      </c>
      <c r="D82" s="2"/>
      <c r="E82" s="2"/>
      <c r="F82" s="2"/>
      <c r="G82" s="2"/>
      <c r="H82" s="2"/>
      <c r="I82" s="2"/>
      <c r="J82" s="3"/>
    </row>
    <row r="83" ht="14.25" customHeight="1">
      <c r="B83" s="4">
        <v>8.0</v>
      </c>
      <c r="C83" s="5" t="s">
        <v>4</v>
      </c>
      <c r="D83" s="6" t="s">
        <v>5</v>
      </c>
      <c r="E83" s="6" t="s">
        <v>8</v>
      </c>
      <c r="F83" s="6" t="s">
        <v>74</v>
      </c>
      <c r="G83" s="6" t="s">
        <v>152</v>
      </c>
      <c r="H83" s="6" t="s">
        <v>153</v>
      </c>
      <c r="I83" s="6" t="s">
        <v>76</v>
      </c>
      <c r="J83" s="7"/>
    </row>
    <row r="84" ht="14.25" customHeight="1">
      <c r="C84" s="8" t="s">
        <v>156</v>
      </c>
      <c r="D84" s="9">
        <v>912.0</v>
      </c>
      <c r="E84" s="10">
        <v>0.6</v>
      </c>
      <c r="F84" s="12">
        <f t="shared" ref="F84:F94" si="13">(E84/1000)*D84</f>
        <v>0.5472</v>
      </c>
      <c r="G84" s="42">
        <f t="shared" ref="G84:G94" si="14">(D84*50)</f>
        <v>45600</v>
      </c>
      <c r="H84" s="42">
        <f>(E84*15)</f>
        <v>9</v>
      </c>
      <c r="I84" s="42">
        <f t="shared" ref="I84:I94" si="15">(D84*100)</f>
        <v>91200</v>
      </c>
      <c r="J84" s="11" t="s">
        <v>19</v>
      </c>
    </row>
    <row r="85" ht="14.25" customHeight="1">
      <c r="C85" s="8" t="s">
        <v>79</v>
      </c>
      <c r="D85" s="9">
        <v>6.0</v>
      </c>
      <c r="E85" s="9">
        <v>860.0</v>
      </c>
      <c r="F85" s="12">
        <f t="shared" si="13"/>
        <v>5.16</v>
      </c>
      <c r="G85" s="42">
        <f t="shared" si="14"/>
        <v>300</v>
      </c>
      <c r="H85" s="51">
        <f t="shared" ref="H85:H94" si="16">(E85/1000)*G85</f>
        <v>258</v>
      </c>
      <c r="I85" s="42">
        <f t="shared" si="15"/>
        <v>600</v>
      </c>
      <c r="J85" s="11" t="s">
        <v>19</v>
      </c>
    </row>
    <row r="86" ht="14.25" customHeight="1">
      <c r="C86" s="8" t="s">
        <v>45</v>
      </c>
      <c r="D86" s="9">
        <v>20.0</v>
      </c>
      <c r="E86" s="9">
        <v>60.0</v>
      </c>
      <c r="F86" s="12">
        <f t="shared" si="13"/>
        <v>1.2</v>
      </c>
      <c r="G86" s="42">
        <f t="shared" si="14"/>
        <v>1000</v>
      </c>
      <c r="H86" s="51">
        <f t="shared" si="16"/>
        <v>60</v>
      </c>
      <c r="I86" s="42">
        <f t="shared" si="15"/>
        <v>2000</v>
      </c>
      <c r="J86" s="11" t="s">
        <v>19</v>
      </c>
    </row>
    <row r="87" ht="12.75" customHeight="1">
      <c r="B87" s="52"/>
      <c r="C87" s="13" t="s">
        <v>83</v>
      </c>
      <c r="D87" s="42">
        <v>10.0</v>
      </c>
      <c r="E87" s="42">
        <v>124.0</v>
      </c>
      <c r="F87" s="12">
        <f t="shared" si="13"/>
        <v>1.24</v>
      </c>
      <c r="G87" s="42">
        <f t="shared" si="14"/>
        <v>500</v>
      </c>
      <c r="H87" s="51">
        <f t="shared" si="16"/>
        <v>62</v>
      </c>
      <c r="I87" s="42">
        <f t="shared" si="15"/>
        <v>1000</v>
      </c>
      <c r="J87" s="11"/>
    </row>
    <row r="88" ht="16.5" customHeight="1">
      <c r="B88" s="52"/>
      <c r="C88" s="41" t="s">
        <v>32</v>
      </c>
      <c r="D88" s="42">
        <v>30.0</v>
      </c>
      <c r="E88" s="42">
        <v>8.0</v>
      </c>
      <c r="F88" s="44">
        <f t="shared" si="13"/>
        <v>0.24</v>
      </c>
      <c r="G88" s="42">
        <f t="shared" si="14"/>
        <v>1500</v>
      </c>
      <c r="H88" s="51">
        <f t="shared" si="16"/>
        <v>12</v>
      </c>
      <c r="I88" s="42">
        <f t="shared" si="15"/>
        <v>3000</v>
      </c>
      <c r="J88" s="11" t="s">
        <v>19</v>
      </c>
    </row>
    <row r="89" ht="14.25" customHeight="1">
      <c r="B89" s="53"/>
      <c r="C89" s="54" t="s">
        <v>170</v>
      </c>
      <c r="D89" s="42">
        <v>5.0</v>
      </c>
      <c r="E89" s="42">
        <v>170.0</v>
      </c>
      <c r="F89" s="12">
        <f t="shared" si="13"/>
        <v>0.85</v>
      </c>
      <c r="G89" s="42">
        <f t="shared" si="14"/>
        <v>250</v>
      </c>
      <c r="H89" s="51">
        <f t="shared" si="16"/>
        <v>42.5</v>
      </c>
      <c r="I89" s="42">
        <f t="shared" si="15"/>
        <v>500</v>
      </c>
      <c r="J89" s="11"/>
    </row>
    <row r="90" ht="14.25" customHeight="1">
      <c r="B90" s="55"/>
      <c r="C90" s="13" t="s">
        <v>175</v>
      </c>
      <c r="D90" s="9">
        <v>5.0</v>
      </c>
      <c r="E90" s="9">
        <v>250.0</v>
      </c>
      <c r="F90" s="12">
        <f t="shared" si="13"/>
        <v>1.25</v>
      </c>
      <c r="G90" s="42">
        <f t="shared" si="14"/>
        <v>250</v>
      </c>
      <c r="H90" s="51">
        <f t="shared" si="16"/>
        <v>62.5</v>
      </c>
      <c r="I90" s="42">
        <f t="shared" si="15"/>
        <v>500</v>
      </c>
      <c r="J90" s="8" t="s">
        <v>19</v>
      </c>
    </row>
    <row r="91" ht="14.25" customHeight="1">
      <c r="B91" s="55"/>
      <c r="C91" s="13" t="s">
        <v>40</v>
      </c>
      <c r="D91" s="24">
        <v>9.0</v>
      </c>
      <c r="E91" s="9">
        <v>98.0</v>
      </c>
      <c r="F91" s="12">
        <f t="shared" si="13"/>
        <v>0.882</v>
      </c>
      <c r="G91" s="42">
        <f t="shared" si="14"/>
        <v>450</v>
      </c>
      <c r="H91" s="51">
        <f t="shared" si="16"/>
        <v>44.1</v>
      </c>
      <c r="I91" s="42">
        <f t="shared" si="15"/>
        <v>900</v>
      </c>
      <c r="J91" s="8" t="s">
        <v>19</v>
      </c>
    </row>
    <row r="92" ht="14.25" customHeight="1">
      <c r="B92" s="55"/>
      <c r="C92" s="13" t="s">
        <v>179</v>
      </c>
      <c r="D92" s="24">
        <v>1.0</v>
      </c>
      <c r="E92" s="9">
        <v>45.0</v>
      </c>
      <c r="F92" s="12">
        <f t="shared" si="13"/>
        <v>0.045</v>
      </c>
      <c r="G92" s="42">
        <f t="shared" si="14"/>
        <v>50</v>
      </c>
      <c r="H92" s="51">
        <f t="shared" si="16"/>
        <v>2.25</v>
      </c>
      <c r="I92" s="42">
        <f t="shared" si="15"/>
        <v>100</v>
      </c>
      <c r="J92" s="8"/>
    </row>
    <row r="93" ht="14.25" customHeight="1">
      <c r="B93" s="55"/>
      <c r="C93" s="13" t="s">
        <v>183</v>
      </c>
      <c r="D93" s="32">
        <v>0.5</v>
      </c>
      <c r="E93" s="24">
        <v>60.0</v>
      </c>
      <c r="F93" s="12">
        <f t="shared" si="13"/>
        <v>0.03</v>
      </c>
      <c r="G93" s="42">
        <f t="shared" si="14"/>
        <v>25</v>
      </c>
      <c r="H93" s="51">
        <f t="shared" si="16"/>
        <v>1.5</v>
      </c>
      <c r="I93" s="42">
        <f t="shared" si="15"/>
        <v>50</v>
      </c>
      <c r="J93" s="57"/>
    </row>
    <row r="94" ht="14.25" customHeight="1">
      <c r="B94" s="55"/>
      <c r="C94" s="13" t="s">
        <v>186</v>
      </c>
      <c r="D94" s="9">
        <v>1.0</v>
      </c>
      <c r="E94" s="9">
        <v>98.0</v>
      </c>
      <c r="F94" s="12">
        <f t="shared" si="13"/>
        <v>0.098</v>
      </c>
      <c r="G94" s="42">
        <f t="shared" si="14"/>
        <v>50</v>
      </c>
      <c r="H94" s="51">
        <f t="shared" si="16"/>
        <v>4.9</v>
      </c>
      <c r="I94" s="42">
        <f t="shared" si="15"/>
        <v>100</v>
      </c>
      <c r="J94" s="8" t="s">
        <v>19</v>
      </c>
    </row>
    <row r="95" ht="14.25" customHeight="1">
      <c r="C95" s="19"/>
      <c r="D95" s="20">
        <f>SUM(D84:D94)</f>
        <v>999.5</v>
      </c>
      <c r="E95" s="21"/>
      <c r="F95" s="22">
        <f>SUM(F84:F94)</f>
        <v>11.5422</v>
      </c>
      <c r="G95" s="20">
        <f>SUM(G84:H94)</f>
        <v>50533.75</v>
      </c>
      <c r="H95" s="58">
        <f t="shared" ref="H95:I95" si="17">SUM(H84:H94)</f>
        <v>558.75</v>
      </c>
      <c r="I95" s="25">
        <f t="shared" si="17"/>
        <v>99950</v>
      </c>
      <c r="J95" s="25"/>
    </row>
    <row r="96" ht="14.25" customHeight="1"/>
    <row r="97" ht="14.25" customHeight="1"/>
    <row r="98" ht="14.25" customHeight="1">
      <c r="C98" s="1" t="s">
        <v>192</v>
      </c>
      <c r="D98" s="2"/>
      <c r="E98" s="2"/>
      <c r="F98" s="2"/>
      <c r="G98" s="2"/>
      <c r="H98" s="2"/>
      <c r="I98" s="2"/>
      <c r="J98" s="3"/>
    </row>
    <row r="99" ht="14.25" customHeight="1">
      <c r="B99" s="4">
        <v>4.0</v>
      </c>
      <c r="C99" s="5" t="s">
        <v>4</v>
      </c>
      <c r="D99" s="6" t="s">
        <v>5</v>
      </c>
      <c r="E99" s="6" t="s">
        <v>8</v>
      </c>
      <c r="F99" s="6" t="s">
        <v>9</v>
      </c>
      <c r="G99" s="6" t="s">
        <v>11</v>
      </c>
      <c r="H99" s="6" t="s">
        <v>13</v>
      </c>
      <c r="I99" s="6" t="s">
        <v>14</v>
      </c>
      <c r="J99" s="7"/>
    </row>
    <row r="100" ht="14.25" customHeight="1">
      <c r="C100" s="8" t="s">
        <v>185</v>
      </c>
      <c r="D100" s="9">
        <v>50.0</v>
      </c>
      <c r="E100" s="10"/>
      <c r="F100" s="12">
        <f>(E100/1000)*D100</f>
        <v>0</v>
      </c>
      <c r="G100" s="9"/>
      <c r="H100" s="9"/>
      <c r="I100" s="9"/>
      <c r="J100" s="11" t="s">
        <v>19</v>
      </c>
    </row>
    <row r="101" ht="14.25" customHeight="1">
      <c r="C101" s="8" t="s">
        <v>196</v>
      </c>
      <c r="D101" s="9">
        <v>150.0</v>
      </c>
      <c r="E101" s="10"/>
      <c r="F101" s="12"/>
      <c r="G101" s="9"/>
      <c r="H101" s="9"/>
      <c r="I101" s="9"/>
      <c r="J101" s="11"/>
    </row>
    <row r="102" ht="14.25" customHeight="1">
      <c r="C102" s="8" t="s">
        <v>29</v>
      </c>
      <c r="D102" s="9">
        <v>150.0</v>
      </c>
      <c r="E102" s="10"/>
      <c r="F102" s="12"/>
      <c r="G102" s="9"/>
      <c r="H102" s="9"/>
      <c r="I102" s="9"/>
      <c r="J102" s="11"/>
    </row>
    <row r="103" ht="14.25" customHeight="1">
      <c r="C103" s="8" t="s">
        <v>32</v>
      </c>
      <c r="D103" s="9">
        <v>5.0</v>
      </c>
      <c r="E103" s="10"/>
      <c r="F103" s="12"/>
      <c r="G103" s="9"/>
      <c r="H103" s="9"/>
      <c r="I103" s="9"/>
      <c r="J103" s="11"/>
    </row>
    <row r="104" ht="14.25" customHeight="1">
      <c r="C104" s="8" t="s">
        <v>65</v>
      </c>
      <c r="D104" s="9">
        <v>5.0</v>
      </c>
      <c r="E104" s="10"/>
      <c r="F104" s="12"/>
      <c r="G104" s="9"/>
      <c r="H104" s="9"/>
      <c r="I104" s="9"/>
      <c r="J104" s="11"/>
    </row>
    <row r="105" ht="14.25" customHeight="1">
      <c r="C105" s="8" t="s">
        <v>200</v>
      </c>
      <c r="D105" s="9">
        <v>622.0</v>
      </c>
      <c r="E105" s="10"/>
      <c r="F105" s="12"/>
      <c r="G105" s="9"/>
      <c r="H105" s="9"/>
      <c r="I105" s="9"/>
      <c r="J105" s="11"/>
    </row>
    <row r="106" ht="14.25" customHeight="1">
      <c r="C106" s="13" t="s">
        <v>116</v>
      </c>
      <c r="D106" s="10">
        <v>0.5</v>
      </c>
      <c r="E106" s="10"/>
      <c r="F106" s="12">
        <f t="shared" ref="F106:F107" si="18">(E106/1000)*D106</f>
        <v>0</v>
      </c>
      <c r="G106" s="9"/>
      <c r="H106" s="9"/>
      <c r="I106" s="9"/>
      <c r="J106" s="11"/>
    </row>
    <row r="107" ht="14.25" customHeight="1">
      <c r="C107" s="8" t="s">
        <v>69</v>
      </c>
      <c r="D107" s="9">
        <v>9.0</v>
      </c>
      <c r="E107" s="9"/>
      <c r="F107" s="12">
        <f t="shared" si="18"/>
        <v>0</v>
      </c>
      <c r="G107" s="9"/>
      <c r="H107" s="9"/>
      <c r="I107" s="9"/>
      <c r="J107" s="11" t="s">
        <v>19</v>
      </c>
    </row>
    <row r="108" ht="14.25" customHeight="1">
      <c r="C108" s="8" t="s">
        <v>70</v>
      </c>
      <c r="D108" s="9">
        <v>9.0</v>
      </c>
      <c r="E108" s="9"/>
      <c r="F108" s="12"/>
      <c r="G108" s="9"/>
      <c r="H108" s="9"/>
      <c r="I108" s="9"/>
      <c r="J108" s="11"/>
    </row>
    <row r="109" ht="14.25" customHeight="1">
      <c r="C109" s="19"/>
      <c r="D109" s="28">
        <f>SUM(D100:D108)</f>
        <v>1000.5</v>
      </c>
      <c r="E109" s="29"/>
      <c r="F109" s="30">
        <f t="shared" ref="F109:I109" si="19">SUM(F100:F108)</f>
        <v>0</v>
      </c>
      <c r="G109" s="28">
        <f t="shared" si="19"/>
        <v>0</v>
      </c>
      <c r="H109" s="31">
        <f t="shared" si="19"/>
        <v>0</v>
      </c>
      <c r="I109" s="31">
        <f t="shared" si="19"/>
        <v>0</v>
      </c>
      <c r="J109" s="26"/>
    </row>
    <row r="110" ht="14.25" customHeight="1"/>
    <row r="111" ht="14.25" customHeight="1"/>
    <row r="112" ht="14.25" customHeight="1">
      <c r="C112" s="1" t="s">
        <v>204</v>
      </c>
      <c r="D112" s="2"/>
      <c r="E112" s="2"/>
      <c r="F112" s="2"/>
      <c r="G112" s="2"/>
      <c r="H112" s="2"/>
      <c r="I112" s="2"/>
      <c r="J112" s="3"/>
    </row>
    <row r="113" ht="14.25" customHeight="1">
      <c r="B113" s="4">
        <v>4.0</v>
      </c>
      <c r="C113" s="5" t="s">
        <v>4</v>
      </c>
      <c r="D113" s="6" t="s">
        <v>5</v>
      </c>
      <c r="E113" s="6" t="s">
        <v>8</v>
      </c>
      <c r="F113" s="6" t="s">
        <v>9</v>
      </c>
      <c r="G113" s="6" t="s">
        <v>11</v>
      </c>
      <c r="H113" s="6" t="s">
        <v>13</v>
      </c>
      <c r="I113" s="6" t="s">
        <v>14</v>
      </c>
      <c r="J113" s="7"/>
    </row>
    <row r="114" ht="14.25" customHeight="1">
      <c r="C114" s="8" t="s">
        <v>16</v>
      </c>
      <c r="D114" s="10">
        <v>927.0</v>
      </c>
      <c r="E114" s="10"/>
      <c r="F114" s="12">
        <f>(E114/1000)*D114</f>
        <v>0</v>
      </c>
      <c r="G114" s="9"/>
      <c r="H114" s="9"/>
      <c r="I114" s="9"/>
      <c r="J114" s="11" t="s">
        <v>19</v>
      </c>
    </row>
    <row r="115" ht="14.25" customHeight="1">
      <c r="C115" s="8" t="s">
        <v>28</v>
      </c>
      <c r="D115" s="9">
        <v>10.0</v>
      </c>
      <c r="E115" s="10"/>
      <c r="F115" s="12"/>
      <c r="G115" s="9"/>
      <c r="H115" s="9"/>
      <c r="I115" s="9"/>
      <c r="J115" s="11"/>
    </row>
    <row r="116" ht="14.25" customHeight="1">
      <c r="C116" s="8"/>
      <c r="D116" s="9"/>
      <c r="E116" s="10"/>
      <c r="F116" s="12"/>
      <c r="G116" s="9"/>
      <c r="H116" s="9"/>
      <c r="I116" s="9"/>
      <c r="J116" s="11"/>
    </row>
    <row r="117" ht="14.25" customHeight="1">
      <c r="C117" s="8"/>
      <c r="D117" s="9"/>
      <c r="E117" s="10"/>
      <c r="F117" s="12"/>
      <c r="G117" s="9"/>
      <c r="H117" s="9"/>
      <c r="I117" s="9"/>
      <c r="J117" s="11"/>
    </row>
    <row r="118" ht="14.25" customHeight="1">
      <c r="C118" s="8"/>
      <c r="D118" s="9"/>
      <c r="E118" s="10"/>
      <c r="F118" s="12"/>
      <c r="G118" s="9"/>
      <c r="H118" s="9"/>
      <c r="I118" s="9"/>
      <c r="J118" s="11"/>
    </row>
    <row r="119" ht="14.25" customHeight="1">
      <c r="C119" s="8" t="s">
        <v>91</v>
      </c>
      <c r="D119" s="9">
        <v>5.0</v>
      </c>
      <c r="E119" s="10"/>
      <c r="F119" s="12"/>
      <c r="G119" s="9"/>
      <c r="H119" s="9"/>
      <c r="I119" s="9"/>
      <c r="J119" s="11"/>
    </row>
    <row r="120" ht="14.25" customHeight="1">
      <c r="C120" s="8" t="s">
        <v>88</v>
      </c>
      <c r="D120" s="9">
        <v>50.0</v>
      </c>
      <c r="E120" s="10"/>
      <c r="F120" s="12"/>
      <c r="G120" s="9"/>
      <c r="H120" s="9"/>
      <c r="I120" s="9"/>
      <c r="J120" s="11"/>
    </row>
    <row r="121" ht="14.25" customHeight="1">
      <c r="C121" s="8" t="s">
        <v>70</v>
      </c>
      <c r="D121" s="10">
        <v>8.0</v>
      </c>
      <c r="E121" s="10"/>
      <c r="F121" s="12"/>
      <c r="G121" s="9"/>
      <c r="H121" s="9"/>
      <c r="I121" s="9"/>
      <c r="J121" s="11"/>
    </row>
    <row r="122" ht="14.25" customHeight="1">
      <c r="C122" s="8" t="s">
        <v>116</v>
      </c>
      <c r="D122" s="9">
        <v>1.0</v>
      </c>
      <c r="E122" s="10"/>
      <c r="F122" s="12"/>
      <c r="G122" s="9"/>
      <c r="H122" s="9"/>
      <c r="I122" s="9"/>
      <c r="J122" s="11"/>
    </row>
    <row r="123" ht="14.25" customHeight="1">
      <c r="C123" s="8" t="s">
        <v>39</v>
      </c>
      <c r="D123" s="9">
        <v>1.0</v>
      </c>
      <c r="E123" s="10"/>
      <c r="F123" s="12"/>
      <c r="G123" s="9"/>
      <c r="H123" s="9"/>
      <c r="I123" s="9"/>
      <c r="J123" s="11"/>
    </row>
    <row r="124" ht="14.25" customHeight="1">
      <c r="C124" s="19"/>
      <c r="D124" s="20">
        <f>SUM(D114:D123)</f>
        <v>1002</v>
      </c>
      <c r="E124" s="21"/>
      <c r="F124" s="22">
        <f t="shared" ref="F124:I124" si="20">SUM(F114:F122)</f>
        <v>0</v>
      </c>
      <c r="G124" s="20">
        <f t="shared" si="20"/>
        <v>0</v>
      </c>
      <c r="H124" s="23">
        <f t="shared" si="20"/>
        <v>0</v>
      </c>
      <c r="I124" s="23">
        <f t="shared" si="20"/>
        <v>0</v>
      </c>
      <c r="J124" s="25"/>
    </row>
    <row r="125" ht="14.25" customHeight="1"/>
    <row r="126" ht="14.25" customHeight="1"/>
    <row r="127" ht="14.25" customHeight="1">
      <c r="C127" s="1" t="s">
        <v>221</v>
      </c>
      <c r="D127" s="2"/>
      <c r="E127" s="2"/>
      <c r="F127" s="2"/>
      <c r="G127" s="2"/>
      <c r="H127" s="2"/>
      <c r="I127" s="2"/>
      <c r="J127" s="3"/>
    </row>
    <row r="128" ht="14.25" customHeight="1">
      <c r="B128" s="4">
        <v>4.0</v>
      </c>
      <c r="C128" s="5" t="s">
        <v>4</v>
      </c>
      <c r="D128" s="6" t="s">
        <v>5</v>
      </c>
      <c r="E128" s="6" t="s">
        <v>8</v>
      </c>
      <c r="F128" s="6" t="s">
        <v>9</v>
      </c>
      <c r="G128" s="6" t="s">
        <v>11</v>
      </c>
      <c r="H128" s="6" t="s">
        <v>13</v>
      </c>
      <c r="I128" s="6" t="s">
        <v>14</v>
      </c>
      <c r="J128" s="7"/>
    </row>
    <row r="129" ht="14.25" customHeight="1">
      <c r="C129" s="8" t="s">
        <v>16</v>
      </c>
      <c r="D129" s="9">
        <v>770.0</v>
      </c>
      <c r="E129" s="10"/>
      <c r="F129" s="12">
        <f>(E129/1000)*D129</f>
        <v>0</v>
      </c>
      <c r="G129" s="9"/>
      <c r="H129" s="9"/>
      <c r="I129" s="9"/>
      <c r="J129" s="11" t="s">
        <v>19</v>
      </c>
    </row>
    <row r="130" ht="14.25" customHeight="1">
      <c r="C130" s="8" t="s">
        <v>225</v>
      </c>
      <c r="D130" s="9">
        <v>100.0</v>
      </c>
      <c r="E130" s="10"/>
      <c r="F130" s="12"/>
      <c r="G130" s="9"/>
      <c r="H130" s="9"/>
      <c r="I130" s="9"/>
      <c r="J130" s="11"/>
    </row>
    <row r="131" ht="14.25" customHeight="1">
      <c r="C131" s="8" t="s">
        <v>69</v>
      </c>
      <c r="D131" s="9">
        <v>9.0</v>
      </c>
      <c r="E131" s="10"/>
      <c r="F131" s="12"/>
      <c r="G131" s="9"/>
      <c r="H131" s="9"/>
      <c r="I131" s="9"/>
      <c r="J131" s="11"/>
    </row>
    <row r="132" ht="14.25" customHeight="1">
      <c r="C132" s="8" t="s">
        <v>52</v>
      </c>
      <c r="D132" s="9">
        <v>9.0</v>
      </c>
      <c r="E132" s="10"/>
      <c r="F132" s="12"/>
      <c r="G132" s="9"/>
      <c r="H132" s="9"/>
      <c r="I132" s="9"/>
      <c r="J132" s="11"/>
    </row>
    <row r="133" ht="14.25" customHeight="1">
      <c r="C133" s="8" t="s">
        <v>88</v>
      </c>
      <c r="D133" s="9">
        <v>30.0</v>
      </c>
      <c r="E133" s="10"/>
      <c r="F133" s="12"/>
      <c r="G133" s="9"/>
      <c r="H133" s="9"/>
      <c r="I133" s="9"/>
      <c r="J133" s="11"/>
    </row>
    <row r="134" ht="14.25" customHeight="1">
      <c r="C134" s="8" t="s">
        <v>157</v>
      </c>
      <c r="D134" s="9">
        <v>20.0</v>
      </c>
      <c r="E134" s="10"/>
      <c r="F134" s="12"/>
      <c r="G134" s="9"/>
      <c r="H134" s="9"/>
      <c r="I134" s="9"/>
      <c r="J134" s="11"/>
    </row>
    <row r="135" ht="14.25" customHeight="1">
      <c r="C135" s="8" t="s">
        <v>229</v>
      </c>
      <c r="D135" s="9">
        <v>20.0</v>
      </c>
      <c r="E135" s="10"/>
      <c r="F135" s="12"/>
      <c r="G135" s="9"/>
      <c r="H135" s="9"/>
      <c r="I135" s="9"/>
      <c r="J135" s="11"/>
    </row>
    <row r="136" ht="14.25" customHeight="1">
      <c r="C136" s="8" t="s">
        <v>232</v>
      </c>
      <c r="D136" s="9">
        <v>20.0</v>
      </c>
      <c r="E136" s="10"/>
      <c r="F136" s="12"/>
      <c r="G136" s="9"/>
      <c r="H136" s="9"/>
      <c r="I136" s="9"/>
      <c r="J136" s="11"/>
    </row>
    <row r="137" ht="14.25" customHeight="1">
      <c r="C137" s="8" t="s">
        <v>236</v>
      </c>
      <c r="D137" s="9">
        <v>20.0</v>
      </c>
      <c r="E137" s="10"/>
      <c r="F137" s="12"/>
      <c r="G137" s="9"/>
      <c r="H137" s="9"/>
      <c r="I137" s="9"/>
      <c r="J137" s="11"/>
    </row>
    <row r="138" ht="14.25" customHeight="1">
      <c r="C138" s="8" t="s">
        <v>237</v>
      </c>
      <c r="D138" s="60">
        <v>0.125</v>
      </c>
      <c r="E138" s="10"/>
      <c r="F138" s="12"/>
      <c r="G138" s="9"/>
      <c r="H138" s="9"/>
      <c r="I138" s="9"/>
      <c r="J138" s="11"/>
    </row>
    <row r="139" ht="14.25" customHeight="1">
      <c r="C139" s="8" t="s">
        <v>22</v>
      </c>
      <c r="D139" s="15">
        <v>1.0</v>
      </c>
      <c r="E139" s="16"/>
      <c r="F139" s="17"/>
      <c r="G139" s="15"/>
      <c r="H139" s="15"/>
      <c r="I139" s="15"/>
      <c r="J139" s="18"/>
    </row>
    <row r="140" ht="14.25" customHeight="1">
      <c r="C140" s="8" t="s">
        <v>26</v>
      </c>
      <c r="D140" s="16">
        <v>0.5</v>
      </c>
      <c r="E140" s="16"/>
      <c r="F140" s="17"/>
      <c r="G140" s="15"/>
      <c r="H140" s="15"/>
      <c r="I140" s="15"/>
      <c r="J140" s="18"/>
    </row>
    <row r="141" ht="14.25" customHeight="1">
      <c r="C141" s="8" t="s">
        <v>84</v>
      </c>
      <c r="D141" s="16">
        <v>0.3</v>
      </c>
      <c r="E141" s="16"/>
      <c r="F141" s="17"/>
      <c r="G141" s="15"/>
      <c r="H141" s="15"/>
      <c r="I141" s="15"/>
      <c r="J141" s="18"/>
    </row>
    <row r="142" ht="14.25" customHeight="1">
      <c r="C142" s="19"/>
      <c r="D142" s="20">
        <f>SUM(D129:D141)</f>
        <v>999.925</v>
      </c>
      <c r="E142" s="21"/>
      <c r="F142" s="22">
        <f t="shared" ref="F142:I142" si="21">SUM(F129:F137)</f>
        <v>0</v>
      </c>
      <c r="G142" s="20">
        <f t="shared" si="21"/>
        <v>0</v>
      </c>
      <c r="H142" s="23">
        <f t="shared" si="21"/>
        <v>0</v>
      </c>
      <c r="I142" s="23">
        <f t="shared" si="21"/>
        <v>0</v>
      </c>
      <c r="J142" s="25"/>
    </row>
    <row r="143" ht="14.25" customHeight="1"/>
    <row r="144" ht="14.25" customHeight="1"/>
    <row r="145" ht="14.25" customHeight="1">
      <c r="C145" s="1" t="s">
        <v>246</v>
      </c>
      <c r="D145" s="2"/>
      <c r="E145" s="2"/>
      <c r="F145" s="2"/>
      <c r="G145" s="2"/>
      <c r="H145" s="2"/>
      <c r="I145" s="2"/>
      <c r="J145" s="3"/>
    </row>
    <row r="146" ht="14.25" customHeight="1">
      <c r="B146" s="4">
        <v>4.0</v>
      </c>
      <c r="C146" s="5" t="s">
        <v>4</v>
      </c>
      <c r="D146" s="6" t="s">
        <v>5</v>
      </c>
      <c r="E146" s="6" t="s">
        <v>8</v>
      </c>
      <c r="F146" s="6" t="s">
        <v>9</v>
      </c>
      <c r="G146" s="6" t="s">
        <v>11</v>
      </c>
      <c r="H146" s="6" t="s">
        <v>13</v>
      </c>
      <c r="I146" s="6" t="s">
        <v>14</v>
      </c>
      <c r="J146" s="7"/>
    </row>
    <row r="147" ht="14.25" customHeight="1">
      <c r="C147" s="8" t="s">
        <v>185</v>
      </c>
      <c r="D147" s="10">
        <v>2.5</v>
      </c>
      <c r="E147" s="10"/>
      <c r="F147" s="12">
        <f>(E147/1000)*D147</f>
        <v>0</v>
      </c>
      <c r="G147" s="9"/>
      <c r="H147" s="9"/>
      <c r="I147" s="9"/>
      <c r="J147" s="11" t="s">
        <v>19</v>
      </c>
    </row>
    <row r="148" ht="14.25" customHeight="1">
      <c r="C148" s="8" t="s">
        <v>67</v>
      </c>
      <c r="D148" s="9">
        <v>5.0</v>
      </c>
      <c r="E148" s="10"/>
      <c r="F148" s="12"/>
      <c r="G148" s="9"/>
      <c r="H148" s="9"/>
      <c r="I148" s="9"/>
      <c r="J148" s="11"/>
    </row>
    <row r="149" ht="14.25" customHeight="1">
      <c r="C149" s="8" t="s">
        <v>65</v>
      </c>
      <c r="D149" s="9">
        <v>50.0</v>
      </c>
      <c r="E149" s="10"/>
      <c r="F149" s="12"/>
      <c r="G149" s="9"/>
      <c r="H149" s="9"/>
      <c r="I149" s="9"/>
      <c r="J149" s="11"/>
    </row>
    <row r="150" ht="14.25" customHeight="1">
      <c r="C150" s="8" t="s">
        <v>136</v>
      </c>
      <c r="D150" s="9">
        <v>30.0</v>
      </c>
      <c r="E150" s="10"/>
      <c r="F150" s="12"/>
      <c r="G150" s="9"/>
      <c r="H150" s="9"/>
      <c r="I150" s="9"/>
      <c r="J150" s="11"/>
    </row>
    <row r="151" ht="14.25" customHeight="1">
      <c r="C151" s="8" t="s">
        <v>69</v>
      </c>
      <c r="D151" s="9">
        <v>8.0</v>
      </c>
      <c r="E151" s="10"/>
      <c r="F151" s="12"/>
      <c r="G151" s="9"/>
      <c r="H151" s="9"/>
      <c r="I151" s="9"/>
      <c r="J151" s="11"/>
    </row>
    <row r="152" ht="14.25" customHeight="1">
      <c r="C152" s="8" t="s">
        <v>70</v>
      </c>
      <c r="D152" s="9">
        <v>8.0</v>
      </c>
      <c r="E152" s="10"/>
      <c r="F152" s="12"/>
      <c r="G152" s="9"/>
      <c r="H152" s="9"/>
      <c r="I152" s="9"/>
      <c r="J152" s="11"/>
    </row>
    <row r="153" ht="14.25" customHeight="1">
      <c r="C153" s="8" t="s">
        <v>84</v>
      </c>
      <c r="D153" s="9">
        <v>3.0</v>
      </c>
      <c r="E153" s="10"/>
      <c r="F153" s="12"/>
      <c r="G153" s="9"/>
      <c r="H153" s="9"/>
      <c r="I153" s="9"/>
      <c r="J153" s="11"/>
    </row>
    <row r="154" ht="14.25" customHeight="1">
      <c r="C154" s="8" t="s">
        <v>22</v>
      </c>
      <c r="D154" s="10">
        <v>1.0</v>
      </c>
      <c r="E154" s="10"/>
      <c r="F154" s="12"/>
      <c r="G154" s="9"/>
      <c r="H154" s="9"/>
      <c r="I154" s="9"/>
      <c r="J154" s="11"/>
    </row>
    <row r="155" ht="14.25" customHeight="1">
      <c r="C155" s="8" t="s">
        <v>26</v>
      </c>
      <c r="D155" s="9">
        <v>0.5</v>
      </c>
      <c r="E155" s="10"/>
      <c r="F155" s="12"/>
      <c r="G155" s="9"/>
      <c r="H155" s="9"/>
      <c r="I155" s="9"/>
      <c r="J155" s="11"/>
    </row>
    <row r="156" ht="14.25" customHeight="1">
      <c r="C156" s="8" t="s">
        <v>16</v>
      </c>
      <c r="D156" s="9">
        <v>892.0</v>
      </c>
      <c r="E156" s="10"/>
      <c r="F156" s="12"/>
      <c r="G156" s="9"/>
      <c r="H156" s="9"/>
      <c r="I156" s="9"/>
      <c r="J156" s="11"/>
    </row>
    <row r="157" ht="14.25" customHeight="1">
      <c r="C157" s="19"/>
      <c r="D157" s="20">
        <f>SUM(D147:D156)</f>
        <v>1000</v>
      </c>
      <c r="E157" s="21"/>
      <c r="F157" s="22">
        <f t="shared" ref="F157:I157" si="22">SUM(F147:F155)</f>
        <v>0</v>
      </c>
      <c r="G157" s="20">
        <f t="shared" si="22"/>
        <v>0</v>
      </c>
      <c r="H157" s="23">
        <f t="shared" si="22"/>
        <v>0</v>
      </c>
      <c r="I157" s="23">
        <f t="shared" si="22"/>
        <v>0</v>
      </c>
      <c r="J157" s="25"/>
    </row>
    <row r="158" ht="14.25" customHeight="1"/>
    <row r="159" ht="14.25" customHeight="1"/>
    <row r="160" ht="14.25" customHeight="1">
      <c r="C160" s="1" t="s">
        <v>261</v>
      </c>
      <c r="D160" s="2"/>
      <c r="E160" s="2"/>
      <c r="F160" s="2"/>
      <c r="G160" s="2"/>
      <c r="H160" s="2"/>
      <c r="I160" s="2"/>
      <c r="J160" s="3"/>
    </row>
    <row r="161" ht="14.25" customHeight="1">
      <c r="B161" s="4">
        <v>22.0</v>
      </c>
      <c r="C161" s="5" t="s">
        <v>4</v>
      </c>
      <c r="D161" s="6" t="s">
        <v>5</v>
      </c>
      <c r="E161" s="6" t="s">
        <v>8</v>
      </c>
      <c r="F161" s="6" t="s">
        <v>74</v>
      </c>
      <c r="G161" s="6" t="s">
        <v>262</v>
      </c>
      <c r="H161" s="6" t="s">
        <v>263</v>
      </c>
      <c r="I161" s="6" t="s">
        <v>264</v>
      </c>
      <c r="J161" s="6" t="s">
        <v>265</v>
      </c>
    </row>
    <row r="162" ht="14.25" customHeight="1">
      <c r="B162" s="35">
        <v>6.0</v>
      </c>
      <c r="C162" s="13" t="s">
        <v>198</v>
      </c>
      <c r="D162" s="9">
        <v>5.0</v>
      </c>
      <c r="E162" s="65"/>
      <c r="F162" s="65"/>
      <c r="G162" s="9"/>
      <c r="H162" s="67"/>
      <c r="I162" s="67"/>
      <c r="J162" s="67"/>
    </row>
    <row r="163" ht="14.25" customHeight="1">
      <c r="B163" s="35">
        <v>7.0</v>
      </c>
      <c r="C163" s="13" t="s">
        <v>267</v>
      </c>
      <c r="D163" s="9">
        <v>10.0</v>
      </c>
      <c r="E163" s="65"/>
      <c r="F163" s="65"/>
      <c r="G163" s="9"/>
      <c r="H163" s="67"/>
      <c r="I163" s="67"/>
      <c r="J163" s="67"/>
    </row>
    <row r="164" ht="14.25" customHeight="1">
      <c r="B164" s="35">
        <v>5.0</v>
      </c>
      <c r="C164" s="13" t="s">
        <v>29</v>
      </c>
      <c r="D164" s="9">
        <v>30.0</v>
      </c>
      <c r="E164" s="65"/>
      <c r="F164" s="65"/>
      <c r="G164" s="9"/>
      <c r="H164" s="67"/>
      <c r="I164" s="67"/>
      <c r="J164" s="67"/>
    </row>
    <row r="165" ht="14.25" customHeight="1">
      <c r="B165" s="35">
        <v>9.0</v>
      </c>
      <c r="C165" s="13" t="s">
        <v>32</v>
      </c>
      <c r="D165" s="9">
        <v>20.0</v>
      </c>
      <c r="E165" s="65"/>
      <c r="F165" s="65"/>
      <c r="G165" s="9"/>
      <c r="H165" s="67"/>
      <c r="I165" s="67"/>
      <c r="J165" s="67"/>
    </row>
    <row r="166" ht="14.25" customHeight="1">
      <c r="B166" s="35">
        <v>8.0</v>
      </c>
      <c r="C166" s="13" t="s">
        <v>272</v>
      </c>
      <c r="D166" s="9">
        <v>10.0</v>
      </c>
      <c r="E166" s="65"/>
      <c r="F166" s="65"/>
      <c r="G166" s="9"/>
      <c r="H166" s="67"/>
      <c r="I166" s="67"/>
      <c r="J166" s="67"/>
    </row>
    <row r="167" ht="14.25" customHeight="1">
      <c r="B167" s="35">
        <v>4.0</v>
      </c>
      <c r="C167" s="13" t="s">
        <v>69</v>
      </c>
      <c r="D167" s="9">
        <v>8.0</v>
      </c>
      <c r="E167" s="65"/>
      <c r="F167" s="65"/>
      <c r="G167" s="9"/>
      <c r="H167" s="67"/>
      <c r="I167" s="67"/>
      <c r="J167" s="67"/>
    </row>
    <row r="168" ht="14.25" customHeight="1">
      <c r="B168" s="35">
        <v>3.0</v>
      </c>
      <c r="C168" s="13" t="s">
        <v>275</v>
      </c>
      <c r="D168" s="9">
        <v>1.0</v>
      </c>
      <c r="E168" s="65"/>
      <c r="F168" s="65"/>
      <c r="G168" s="9"/>
      <c r="H168" s="67"/>
      <c r="I168" s="67"/>
      <c r="J168" s="67"/>
    </row>
    <row r="169" ht="14.25" customHeight="1">
      <c r="B169" s="35">
        <v>2.0</v>
      </c>
      <c r="C169" s="13" t="s">
        <v>26</v>
      </c>
      <c r="D169" s="9">
        <v>0.5</v>
      </c>
      <c r="E169" s="65"/>
      <c r="F169" s="65"/>
      <c r="G169" s="9"/>
      <c r="H169" s="67"/>
      <c r="I169" s="67"/>
      <c r="J169" s="67"/>
    </row>
    <row r="170" ht="14.25" customHeight="1">
      <c r="B170" s="35">
        <v>1.0</v>
      </c>
      <c r="C170" s="13" t="s">
        <v>207</v>
      </c>
      <c r="D170" s="10">
        <v>918.0</v>
      </c>
      <c r="E170" s="65"/>
      <c r="F170" s="65"/>
      <c r="G170" s="9"/>
      <c r="H170" s="67"/>
      <c r="I170" s="67"/>
      <c r="J170" s="67"/>
    </row>
    <row r="171" ht="14.25" customHeight="1">
      <c r="C171" s="73" t="s">
        <v>278</v>
      </c>
      <c r="D171" s="2"/>
      <c r="E171" s="2"/>
      <c r="F171" s="2"/>
      <c r="G171" s="2"/>
      <c r="H171" s="2"/>
      <c r="I171" s="2"/>
      <c r="J171" s="3"/>
    </row>
    <row r="172" ht="14.25" customHeight="1">
      <c r="C172" s="19"/>
      <c r="D172" s="20">
        <f>SUM(D162:D170)</f>
        <v>1002.5</v>
      </c>
      <c r="E172" s="21"/>
      <c r="F172" s="22">
        <f>SUM(F162:F171)</f>
        <v>0</v>
      </c>
      <c r="G172" s="20">
        <f t="shared" ref="G172:H172" si="23">SUM(G162:G170)</f>
        <v>0</v>
      </c>
      <c r="H172" s="58">
        <f t="shared" si="23"/>
        <v>0</v>
      </c>
      <c r="I172" s="20">
        <f>SUM(I162:I171)</f>
        <v>0</v>
      </c>
      <c r="J172" s="75">
        <f>SUM(J162:J170)</f>
        <v>0</v>
      </c>
    </row>
    <row r="173" ht="14.25" customHeight="1"/>
    <row r="174" ht="14.25" customHeight="1"/>
    <row r="175" ht="14.25" customHeight="1">
      <c r="C175" s="1" t="s">
        <v>246</v>
      </c>
      <c r="D175" s="2"/>
      <c r="E175" s="2"/>
      <c r="F175" s="2"/>
      <c r="G175" s="2"/>
      <c r="H175" s="2"/>
      <c r="I175" s="2"/>
      <c r="J175" s="3"/>
    </row>
    <row r="176" ht="14.25" customHeight="1">
      <c r="B176" s="4">
        <v>4.0</v>
      </c>
      <c r="C176" s="5" t="s">
        <v>4</v>
      </c>
      <c r="D176" s="6" t="s">
        <v>5</v>
      </c>
      <c r="E176" s="6" t="s">
        <v>8</v>
      </c>
      <c r="F176" s="6" t="s">
        <v>9</v>
      </c>
      <c r="G176" s="6" t="s">
        <v>11</v>
      </c>
      <c r="H176" s="6" t="s">
        <v>13</v>
      </c>
      <c r="I176" s="6" t="s">
        <v>14</v>
      </c>
      <c r="J176" s="7"/>
    </row>
    <row r="177" ht="14.25" customHeight="1">
      <c r="C177" s="13" t="s">
        <v>185</v>
      </c>
      <c r="D177" s="9">
        <v>20.0</v>
      </c>
      <c r="E177" s="10"/>
      <c r="F177" s="12">
        <f>(E177/1000)*D177</f>
        <v>0</v>
      </c>
      <c r="G177" s="9"/>
      <c r="H177" s="9"/>
      <c r="I177" s="9"/>
      <c r="J177" s="11" t="s">
        <v>19</v>
      </c>
    </row>
    <row r="178" ht="14.25" customHeight="1">
      <c r="C178" s="13" t="s">
        <v>173</v>
      </c>
      <c r="D178" s="9">
        <v>10.0</v>
      </c>
      <c r="E178" s="10"/>
      <c r="F178" s="12"/>
      <c r="G178" s="9"/>
      <c r="H178" s="9"/>
      <c r="I178" s="9"/>
      <c r="J178" s="11"/>
    </row>
    <row r="179" ht="14.25" customHeight="1">
      <c r="C179" s="13" t="s">
        <v>288</v>
      </c>
      <c r="D179" s="9">
        <v>50.0</v>
      </c>
      <c r="E179" s="10"/>
      <c r="F179" s="12"/>
      <c r="G179" s="9"/>
      <c r="H179" s="9"/>
      <c r="I179" s="9"/>
      <c r="J179" s="11"/>
    </row>
    <row r="180" ht="14.25" customHeight="1">
      <c r="C180" s="13" t="s">
        <v>32</v>
      </c>
      <c r="D180" s="9">
        <v>20.0</v>
      </c>
      <c r="E180" s="10"/>
      <c r="F180" s="12"/>
      <c r="G180" s="9"/>
      <c r="H180" s="9"/>
      <c r="I180" s="9"/>
      <c r="J180" s="11"/>
    </row>
    <row r="181" ht="14.25" customHeight="1">
      <c r="C181" s="13" t="s">
        <v>136</v>
      </c>
      <c r="D181" s="9">
        <v>50.0</v>
      </c>
      <c r="E181" s="10"/>
      <c r="F181" s="12"/>
      <c r="G181" s="9"/>
      <c r="H181" s="9"/>
      <c r="I181" s="9"/>
      <c r="J181" s="11"/>
    </row>
    <row r="182" ht="14.25" customHeight="1">
      <c r="C182" s="13" t="s">
        <v>290</v>
      </c>
      <c r="D182" s="9">
        <v>6.0</v>
      </c>
      <c r="E182" s="10"/>
      <c r="F182" s="12"/>
      <c r="G182" s="9"/>
      <c r="H182" s="9"/>
      <c r="I182" s="9"/>
      <c r="J182" s="11"/>
    </row>
    <row r="183" ht="14.25" customHeight="1">
      <c r="C183" s="13" t="s">
        <v>291</v>
      </c>
      <c r="D183" s="9">
        <v>1.0</v>
      </c>
      <c r="E183" s="10"/>
      <c r="F183" s="12"/>
      <c r="G183" s="9"/>
      <c r="H183" s="9"/>
      <c r="I183" s="9"/>
      <c r="J183" s="11"/>
    </row>
    <row r="184" ht="14.25" customHeight="1">
      <c r="C184" s="13" t="s">
        <v>26</v>
      </c>
      <c r="D184" s="10">
        <v>0.5</v>
      </c>
      <c r="E184" s="10"/>
      <c r="F184" s="12"/>
      <c r="G184" s="9"/>
      <c r="H184" s="9"/>
      <c r="I184" s="9"/>
      <c r="J184" s="11"/>
    </row>
    <row r="185" ht="14.25" customHeight="1">
      <c r="C185" s="13" t="s">
        <v>207</v>
      </c>
      <c r="D185" s="10">
        <v>633.5</v>
      </c>
      <c r="E185" s="10"/>
      <c r="F185" s="12"/>
      <c r="G185" s="9"/>
      <c r="H185" s="9"/>
      <c r="I185" s="9"/>
      <c r="J185" s="11"/>
    </row>
    <row r="186" ht="14.25" customHeight="1">
      <c r="C186" s="13" t="s">
        <v>182</v>
      </c>
      <c r="D186" s="16">
        <v>200.0</v>
      </c>
      <c r="E186" s="10"/>
      <c r="F186" s="12"/>
      <c r="G186" s="9"/>
      <c r="H186" s="9"/>
      <c r="I186" s="9"/>
      <c r="J186" s="11"/>
    </row>
    <row r="187" ht="14.25" customHeight="1">
      <c r="C187" s="13" t="s">
        <v>293</v>
      </c>
      <c r="D187" s="16">
        <v>10.0</v>
      </c>
      <c r="E187" s="16"/>
      <c r="F187" s="17"/>
      <c r="G187" s="15"/>
      <c r="H187" s="15"/>
      <c r="I187" s="15"/>
      <c r="J187" s="18"/>
    </row>
    <row r="188" ht="14.25" customHeight="1">
      <c r="C188" s="19"/>
      <c r="D188" s="20">
        <f>SUM(D177:D186)</f>
        <v>991</v>
      </c>
      <c r="E188" s="21"/>
      <c r="F188" s="22">
        <f t="shared" ref="F188:I188" si="24">SUM(F177:F185)</f>
        <v>0</v>
      </c>
      <c r="G188" s="20">
        <f t="shared" si="24"/>
        <v>0</v>
      </c>
      <c r="H188" s="23">
        <f t="shared" si="24"/>
        <v>0</v>
      </c>
      <c r="I188" s="23">
        <f t="shared" si="24"/>
        <v>0</v>
      </c>
      <c r="J188" s="25"/>
    </row>
    <row r="189" ht="14.25" customHeight="1"/>
    <row r="190" ht="14.25" customHeight="1"/>
    <row r="191" ht="14.25" customHeight="1">
      <c r="C191" s="1" t="s">
        <v>297</v>
      </c>
      <c r="D191" s="2"/>
      <c r="E191" s="2"/>
      <c r="F191" s="2"/>
      <c r="G191" s="2"/>
      <c r="H191" s="2"/>
      <c r="I191" s="2"/>
      <c r="J191" s="3"/>
    </row>
    <row r="192" ht="14.25" customHeight="1">
      <c r="B192" s="4">
        <v>4.0</v>
      </c>
      <c r="C192" s="5" t="s">
        <v>4</v>
      </c>
      <c r="D192" s="6" t="s">
        <v>5</v>
      </c>
      <c r="E192" s="6" t="s">
        <v>8</v>
      </c>
      <c r="F192" s="6" t="s">
        <v>9</v>
      </c>
      <c r="G192" s="6" t="s">
        <v>11</v>
      </c>
      <c r="H192" s="6" t="s">
        <v>13</v>
      </c>
      <c r="I192" s="6" t="s">
        <v>14</v>
      </c>
      <c r="J192" s="7"/>
    </row>
    <row r="193" ht="14.25" customHeight="1">
      <c r="C193" s="8" t="s">
        <v>104</v>
      </c>
      <c r="D193" s="9">
        <v>927.0</v>
      </c>
      <c r="E193" s="10"/>
      <c r="F193" s="12">
        <f>(E193/1000)*D193</f>
        <v>0</v>
      </c>
      <c r="G193" s="9"/>
      <c r="H193" s="9"/>
      <c r="I193" s="9"/>
      <c r="J193" s="11" t="s">
        <v>19</v>
      </c>
    </row>
    <row r="194" ht="14.25" customHeight="1">
      <c r="C194" s="8" t="s">
        <v>306</v>
      </c>
      <c r="D194" s="9">
        <v>10.0</v>
      </c>
      <c r="E194" s="10"/>
      <c r="F194" s="12"/>
      <c r="G194" s="9"/>
      <c r="H194" s="9"/>
      <c r="I194" s="9"/>
      <c r="J194" s="11"/>
    </row>
    <row r="195" ht="14.25" customHeight="1">
      <c r="C195" s="8" t="s">
        <v>309</v>
      </c>
      <c r="D195" s="9">
        <v>5.0</v>
      </c>
      <c r="E195" s="10"/>
      <c r="F195" s="12"/>
      <c r="G195" s="9"/>
      <c r="H195" s="9"/>
      <c r="I195" s="9"/>
      <c r="J195" s="11"/>
    </row>
    <row r="196" ht="14.25" customHeight="1">
      <c r="C196" s="8" t="s">
        <v>32</v>
      </c>
      <c r="D196" s="9">
        <v>50.0</v>
      </c>
      <c r="E196" s="10"/>
      <c r="F196" s="12"/>
      <c r="G196" s="9"/>
      <c r="H196" s="9"/>
      <c r="I196" s="9"/>
      <c r="J196" s="11"/>
    </row>
    <row r="197" ht="14.25" customHeight="1">
      <c r="C197" s="8" t="s">
        <v>314</v>
      </c>
      <c r="D197" s="9">
        <v>8.0</v>
      </c>
      <c r="E197" s="10"/>
      <c r="F197" s="12"/>
      <c r="G197" s="9"/>
      <c r="H197" s="9"/>
      <c r="I197" s="9"/>
      <c r="J197" s="11"/>
    </row>
    <row r="198" ht="14.25" customHeight="1">
      <c r="C198" s="8" t="s">
        <v>318</v>
      </c>
      <c r="D198" s="9">
        <v>1.0</v>
      </c>
      <c r="E198" s="10"/>
      <c r="F198" s="12"/>
      <c r="G198" s="9"/>
      <c r="H198" s="9"/>
      <c r="I198" s="9"/>
      <c r="J198" s="11"/>
    </row>
    <row r="199" ht="14.25" customHeight="1">
      <c r="C199" s="8" t="s">
        <v>39</v>
      </c>
      <c r="D199" s="9">
        <v>0.5</v>
      </c>
      <c r="E199" s="10"/>
      <c r="F199" s="12"/>
      <c r="G199" s="9"/>
      <c r="H199" s="9"/>
      <c r="I199" s="9"/>
      <c r="J199" s="11"/>
    </row>
    <row r="200" ht="14.25" customHeight="1">
      <c r="C200" s="19"/>
      <c r="D200" s="20">
        <f>SUM(D193:D199)</f>
        <v>1001.5</v>
      </c>
      <c r="E200" s="21"/>
      <c r="F200" s="22">
        <f t="shared" ref="F200:I200" si="25">SUM(F193:F199)</f>
        <v>0</v>
      </c>
      <c r="G200" s="20">
        <f t="shared" si="25"/>
        <v>0</v>
      </c>
      <c r="H200" s="23">
        <f t="shared" si="25"/>
        <v>0</v>
      </c>
      <c r="I200" s="23">
        <f t="shared" si="25"/>
        <v>0</v>
      </c>
      <c r="J200" s="25"/>
    </row>
    <row r="201" ht="14.25" customHeight="1"/>
    <row r="202" ht="14.25" customHeight="1"/>
    <row r="203" ht="14.25" customHeight="1">
      <c r="C203" s="1" t="s">
        <v>322</v>
      </c>
      <c r="D203" s="2"/>
      <c r="E203" s="2"/>
      <c r="F203" s="2"/>
      <c r="G203" s="2"/>
      <c r="H203" s="2"/>
      <c r="I203" s="2"/>
      <c r="J203" s="3"/>
    </row>
    <row r="204" ht="14.25" customHeight="1">
      <c r="B204" s="4">
        <v>4.0</v>
      </c>
      <c r="C204" s="5" t="s">
        <v>4</v>
      </c>
      <c r="D204" s="6" t="s">
        <v>5</v>
      </c>
      <c r="E204" s="6" t="s">
        <v>8</v>
      </c>
      <c r="F204" s="6" t="s">
        <v>9</v>
      </c>
      <c r="G204" s="6" t="s">
        <v>11</v>
      </c>
      <c r="H204" s="6" t="s">
        <v>13</v>
      </c>
      <c r="I204" s="6" t="s">
        <v>14</v>
      </c>
      <c r="J204" s="7"/>
    </row>
    <row r="205" ht="14.25" customHeight="1">
      <c r="C205" s="8" t="s">
        <v>104</v>
      </c>
      <c r="D205" s="9">
        <v>860.0</v>
      </c>
      <c r="E205" s="10"/>
      <c r="F205" s="12">
        <f>(E205/1000)*D205</f>
        <v>0</v>
      </c>
      <c r="G205" s="9"/>
      <c r="H205" s="9"/>
      <c r="I205" s="9"/>
      <c r="J205" s="11" t="s">
        <v>19</v>
      </c>
    </row>
    <row r="206" ht="14.25" customHeight="1">
      <c r="C206" s="8" t="s">
        <v>113</v>
      </c>
      <c r="D206" s="9">
        <v>50.0</v>
      </c>
      <c r="E206" s="10"/>
      <c r="F206" s="12"/>
      <c r="G206" s="9"/>
      <c r="H206" s="9"/>
      <c r="I206" s="9"/>
      <c r="J206" s="11"/>
    </row>
    <row r="207" ht="14.25" customHeight="1">
      <c r="C207" s="8" t="s">
        <v>323</v>
      </c>
      <c r="D207" s="9">
        <v>5.0</v>
      </c>
      <c r="E207" s="10"/>
      <c r="F207" s="12"/>
      <c r="G207" s="9"/>
      <c r="H207" s="9"/>
      <c r="I207" s="9"/>
      <c r="J207" s="11"/>
    </row>
    <row r="208" ht="14.25" customHeight="1">
      <c r="C208" s="8" t="s">
        <v>24</v>
      </c>
      <c r="D208" s="9">
        <v>20.0</v>
      </c>
      <c r="E208" s="10"/>
      <c r="F208" s="12"/>
      <c r="G208" s="9"/>
      <c r="H208" s="9"/>
      <c r="I208" s="9"/>
      <c r="J208" s="11"/>
    </row>
    <row r="209" ht="14.25" customHeight="1">
      <c r="C209" s="8" t="s">
        <v>32</v>
      </c>
      <c r="D209" s="9">
        <v>50.0</v>
      </c>
      <c r="E209" s="10"/>
      <c r="F209" s="12"/>
      <c r="G209" s="9"/>
      <c r="H209" s="9"/>
      <c r="I209" s="9"/>
      <c r="J209" s="11"/>
    </row>
    <row r="210" ht="14.25" customHeight="1">
      <c r="C210" s="8" t="s">
        <v>188</v>
      </c>
      <c r="D210" s="9">
        <v>5.0</v>
      </c>
      <c r="E210" s="10"/>
      <c r="F210" s="12"/>
      <c r="G210" s="9"/>
      <c r="H210" s="9"/>
      <c r="I210" s="9"/>
      <c r="J210" s="11"/>
    </row>
    <row r="211" ht="14.25" customHeight="1">
      <c r="C211" s="8" t="s">
        <v>325</v>
      </c>
      <c r="D211" s="9">
        <v>1.0</v>
      </c>
      <c r="E211" s="10"/>
      <c r="F211" s="12"/>
      <c r="G211" s="9"/>
      <c r="H211" s="9"/>
      <c r="I211" s="9"/>
      <c r="J211" s="11"/>
    </row>
    <row r="212" ht="14.25" customHeight="1">
      <c r="C212" s="8" t="s">
        <v>318</v>
      </c>
      <c r="D212" s="10">
        <v>1.0</v>
      </c>
      <c r="E212" s="10"/>
      <c r="F212" s="12"/>
      <c r="G212" s="9"/>
      <c r="H212" s="9"/>
      <c r="I212" s="9"/>
      <c r="J212" s="11"/>
    </row>
    <row r="213" ht="14.25" customHeight="1">
      <c r="C213" s="8" t="s">
        <v>186</v>
      </c>
      <c r="D213" s="10">
        <v>2.5</v>
      </c>
      <c r="E213" s="10"/>
      <c r="F213" s="12"/>
      <c r="G213" s="9"/>
      <c r="H213" s="9"/>
      <c r="I213" s="9"/>
      <c r="J213" s="11"/>
    </row>
    <row r="214" ht="14.25" customHeight="1">
      <c r="C214" s="8" t="s">
        <v>224</v>
      </c>
      <c r="D214" s="78">
        <v>37.0</v>
      </c>
      <c r="E214" s="10"/>
      <c r="F214" s="12"/>
      <c r="G214" s="9"/>
      <c r="H214" s="9"/>
      <c r="I214" s="9"/>
      <c r="J214" s="11"/>
    </row>
    <row r="215" ht="14.25" customHeight="1">
      <c r="C215" s="13" t="s">
        <v>69</v>
      </c>
      <c r="D215" s="78">
        <v>8.0</v>
      </c>
      <c r="E215" s="16"/>
      <c r="F215" s="17"/>
      <c r="G215" s="15"/>
      <c r="H215" s="15"/>
      <c r="I215" s="15"/>
      <c r="J215" s="18"/>
    </row>
    <row r="216" ht="14.25" customHeight="1">
      <c r="C216" s="19"/>
      <c r="D216" s="20">
        <f>SUM(D205:D214)</f>
        <v>1031.5</v>
      </c>
      <c r="E216" s="21"/>
      <c r="F216" s="22">
        <f t="shared" ref="F216:I216" si="26">SUM(F205:F213)</f>
        <v>0</v>
      </c>
      <c r="G216" s="20">
        <f t="shared" si="26"/>
        <v>0</v>
      </c>
      <c r="H216" s="23">
        <f t="shared" si="26"/>
        <v>0</v>
      </c>
      <c r="I216" s="23">
        <f t="shared" si="26"/>
        <v>0</v>
      </c>
      <c r="J216" s="25"/>
    </row>
    <row r="217" ht="14.25" customHeight="1"/>
    <row r="218" ht="14.25" customHeight="1"/>
    <row r="219" ht="14.25" customHeight="1">
      <c r="C219" s="1" t="s">
        <v>330</v>
      </c>
      <c r="D219" s="2"/>
      <c r="E219" s="2"/>
      <c r="F219" s="2"/>
      <c r="G219" s="2"/>
      <c r="H219" s="2"/>
      <c r="I219" s="2"/>
      <c r="J219" s="3"/>
    </row>
    <row r="220" ht="14.25" customHeight="1">
      <c r="B220" s="4">
        <v>4.0</v>
      </c>
      <c r="C220" s="5" t="s">
        <v>4</v>
      </c>
      <c r="D220" s="6" t="s">
        <v>5</v>
      </c>
      <c r="E220" s="6" t="s">
        <v>8</v>
      </c>
      <c r="F220" s="6" t="s">
        <v>9</v>
      </c>
      <c r="G220" s="6" t="s">
        <v>11</v>
      </c>
      <c r="H220" s="6" t="s">
        <v>13</v>
      </c>
      <c r="I220" s="6" t="s">
        <v>14</v>
      </c>
      <c r="J220" s="7"/>
    </row>
    <row r="221" ht="14.25" customHeight="1">
      <c r="C221" s="8" t="s">
        <v>332</v>
      </c>
      <c r="D221" s="9">
        <v>7.0</v>
      </c>
      <c r="E221" s="10"/>
      <c r="F221" s="12">
        <f>(E221/1000)*D221</f>
        <v>0</v>
      </c>
      <c r="G221" s="9"/>
      <c r="H221" s="9"/>
      <c r="I221" s="9"/>
      <c r="J221" s="11" t="s">
        <v>19</v>
      </c>
    </row>
    <row r="222" ht="14.25" customHeight="1">
      <c r="C222" s="8" t="s">
        <v>69</v>
      </c>
      <c r="D222" s="9">
        <v>8.0</v>
      </c>
      <c r="E222" s="10"/>
      <c r="F222" s="12"/>
      <c r="G222" s="9"/>
      <c r="H222" s="9"/>
      <c r="I222" s="9"/>
      <c r="J222" s="11"/>
    </row>
    <row r="223" ht="14.25" customHeight="1">
      <c r="C223" s="8" t="s">
        <v>32</v>
      </c>
      <c r="D223" s="9">
        <v>30.0</v>
      </c>
      <c r="E223" s="10"/>
      <c r="F223" s="12"/>
      <c r="G223" s="9"/>
      <c r="H223" s="9"/>
      <c r="I223" s="9"/>
      <c r="J223" s="11"/>
    </row>
    <row r="224" ht="14.25" customHeight="1">
      <c r="C224" s="8" t="s">
        <v>136</v>
      </c>
      <c r="D224" s="9">
        <v>20.0</v>
      </c>
      <c r="E224" s="10"/>
      <c r="F224" s="12"/>
      <c r="G224" s="9"/>
      <c r="H224" s="9"/>
      <c r="I224" s="9"/>
      <c r="J224" s="11"/>
    </row>
    <row r="225" ht="14.25" customHeight="1">
      <c r="C225" s="8" t="s">
        <v>177</v>
      </c>
      <c r="D225" s="10">
        <v>0.5</v>
      </c>
      <c r="E225" s="10"/>
      <c r="F225" s="12"/>
      <c r="G225" s="9"/>
      <c r="H225" s="9"/>
      <c r="I225" s="9"/>
      <c r="J225" s="11"/>
    </row>
    <row r="226" ht="14.25" customHeight="1">
      <c r="C226" s="8" t="s">
        <v>31</v>
      </c>
      <c r="D226" s="10">
        <v>0.5</v>
      </c>
      <c r="E226" s="10"/>
      <c r="F226" s="12"/>
      <c r="G226" s="9"/>
      <c r="H226" s="9"/>
      <c r="I226" s="9"/>
      <c r="J226" s="11"/>
    </row>
    <row r="227" ht="14.25" customHeight="1">
      <c r="C227" s="8" t="s">
        <v>116</v>
      </c>
      <c r="D227" s="9">
        <v>2.0</v>
      </c>
      <c r="E227" s="10"/>
      <c r="F227" s="12"/>
      <c r="G227" s="9"/>
      <c r="H227" s="9"/>
      <c r="I227" s="9"/>
      <c r="J227" s="11"/>
    </row>
    <row r="228" ht="14.25" customHeight="1">
      <c r="C228" s="8" t="s">
        <v>39</v>
      </c>
      <c r="D228" s="9">
        <v>1.0</v>
      </c>
      <c r="E228" s="10"/>
      <c r="F228" s="12"/>
      <c r="G228" s="9"/>
      <c r="H228" s="9"/>
      <c r="I228" s="9"/>
      <c r="J228" s="11"/>
    </row>
    <row r="229" ht="14.25" customHeight="1">
      <c r="C229" s="8" t="s">
        <v>70</v>
      </c>
      <c r="D229" s="10">
        <v>2.5</v>
      </c>
      <c r="E229" s="10"/>
      <c r="F229" s="12"/>
      <c r="G229" s="9"/>
      <c r="H229" s="9"/>
      <c r="I229" s="9"/>
      <c r="J229" s="11"/>
    </row>
    <row r="230" ht="14.25" customHeight="1">
      <c r="C230" s="8" t="s">
        <v>16</v>
      </c>
      <c r="D230" s="78">
        <v>928.0</v>
      </c>
      <c r="E230" s="10"/>
      <c r="F230" s="12"/>
      <c r="G230" s="9"/>
      <c r="H230" s="9"/>
      <c r="I230" s="9"/>
      <c r="J230" s="11"/>
    </row>
    <row r="231" ht="14.25" customHeight="1">
      <c r="C231" s="19"/>
      <c r="D231" s="20">
        <f>SUM(D221:D230)</f>
        <v>999.5</v>
      </c>
      <c r="E231" s="21"/>
      <c r="F231" s="22">
        <f t="shared" ref="F231:I231" si="27">SUM(F221:F229)</f>
        <v>0</v>
      </c>
      <c r="G231" s="20">
        <f t="shared" si="27"/>
        <v>0</v>
      </c>
      <c r="H231" s="23">
        <f t="shared" si="27"/>
        <v>0</v>
      </c>
      <c r="I231" s="23">
        <f t="shared" si="27"/>
        <v>0</v>
      </c>
      <c r="J231" s="25"/>
    </row>
    <row r="232" ht="14.25" customHeight="1"/>
    <row r="233" ht="14.25" customHeight="1"/>
    <row r="234" ht="14.25" customHeight="1">
      <c r="C234" s="1" t="s">
        <v>342</v>
      </c>
      <c r="D234" s="2"/>
      <c r="E234" s="2"/>
      <c r="F234" s="2"/>
      <c r="G234" s="2"/>
      <c r="H234" s="2"/>
      <c r="I234" s="2"/>
      <c r="J234" s="3"/>
    </row>
    <row r="235" ht="14.25" customHeight="1">
      <c r="B235" s="4">
        <v>4.0</v>
      </c>
      <c r="C235" s="5" t="s">
        <v>4</v>
      </c>
      <c r="D235" s="6" t="s">
        <v>5</v>
      </c>
      <c r="E235" s="6" t="s">
        <v>8</v>
      </c>
      <c r="F235" s="6" t="s">
        <v>9</v>
      </c>
      <c r="G235" s="6" t="s">
        <v>11</v>
      </c>
      <c r="H235" s="6" t="s">
        <v>13</v>
      </c>
      <c r="I235" s="6" t="s">
        <v>14</v>
      </c>
      <c r="J235" s="7"/>
    </row>
    <row r="236" ht="14.25" customHeight="1">
      <c r="C236" s="8" t="s">
        <v>104</v>
      </c>
      <c r="D236" s="9">
        <v>911.0</v>
      </c>
      <c r="E236" s="10"/>
      <c r="F236" s="12">
        <f>(E236/1000)*D236</f>
        <v>0</v>
      </c>
      <c r="G236" s="9">
        <f t="shared" ref="G236:G244" si="28">32*D236</f>
        <v>29152</v>
      </c>
      <c r="H236" s="9"/>
      <c r="I236" s="9"/>
      <c r="J236" s="11" t="s">
        <v>19</v>
      </c>
    </row>
    <row r="237" ht="14.25" customHeight="1">
      <c r="C237" s="8" t="s">
        <v>306</v>
      </c>
      <c r="D237" s="9">
        <v>8.0</v>
      </c>
      <c r="E237" s="10"/>
      <c r="F237" s="12"/>
      <c r="G237" s="9">
        <f t="shared" si="28"/>
        <v>256</v>
      </c>
      <c r="H237" s="9"/>
      <c r="I237" s="9"/>
      <c r="J237" s="11"/>
    </row>
    <row r="238" ht="14.25" customHeight="1">
      <c r="C238" s="8" t="s">
        <v>344</v>
      </c>
      <c r="D238" s="9">
        <v>20.0</v>
      </c>
      <c r="E238" s="10"/>
      <c r="F238" s="12"/>
      <c r="G238" s="9">
        <f t="shared" si="28"/>
        <v>640</v>
      </c>
      <c r="H238" s="9"/>
      <c r="I238" s="9"/>
      <c r="J238" s="11"/>
    </row>
    <row r="239" ht="14.25" customHeight="1">
      <c r="C239" s="8" t="s">
        <v>88</v>
      </c>
      <c r="D239" s="9">
        <v>50.0</v>
      </c>
      <c r="E239" s="10"/>
      <c r="F239" s="12"/>
      <c r="G239" s="9">
        <f t="shared" si="28"/>
        <v>1600</v>
      </c>
      <c r="H239" s="9"/>
      <c r="I239" s="9"/>
      <c r="J239" s="11"/>
    </row>
    <row r="240" ht="14.25" customHeight="1">
      <c r="C240" s="8" t="s">
        <v>52</v>
      </c>
      <c r="D240" s="9">
        <v>8.0</v>
      </c>
      <c r="E240" s="10"/>
      <c r="F240" s="12"/>
      <c r="G240" s="9">
        <f t="shared" si="28"/>
        <v>256</v>
      </c>
      <c r="H240" s="9"/>
      <c r="I240" s="9"/>
      <c r="J240" s="11"/>
    </row>
    <row r="241" ht="14.25" customHeight="1">
      <c r="C241" s="8" t="s">
        <v>230</v>
      </c>
      <c r="D241" s="9">
        <v>1.0</v>
      </c>
      <c r="E241" s="10"/>
      <c r="F241" s="12"/>
      <c r="G241" s="9">
        <f t="shared" si="28"/>
        <v>32</v>
      </c>
      <c r="H241" s="9"/>
      <c r="I241" s="9"/>
      <c r="J241" s="11"/>
    </row>
    <row r="242" ht="14.25" customHeight="1">
      <c r="C242" s="8" t="s">
        <v>231</v>
      </c>
      <c r="D242" s="10">
        <v>0.5</v>
      </c>
      <c r="E242" s="10"/>
      <c r="F242" s="12"/>
      <c r="G242" s="9">
        <f t="shared" si="28"/>
        <v>16</v>
      </c>
      <c r="H242" s="9"/>
      <c r="I242" s="9"/>
      <c r="J242" s="11"/>
    </row>
    <row r="243" ht="14.25" customHeight="1">
      <c r="C243" s="8" t="s">
        <v>39</v>
      </c>
      <c r="D243" s="9">
        <v>1.0</v>
      </c>
      <c r="E243" s="10"/>
      <c r="F243" s="12"/>
      <c r="G243" s="9">
        <f t="shared" si="28"/>
        <v>32</v>
      </c>
      <c r="H243" s="9"/>
      <c r="I243" s="9"/>
      <c r="J243" s="11"/>
    </row>
    <row r="244" ht="14.25" customHeight="1">
      <c r="C244" s="8" t="s">
        <v>347</v>
      </c>
      <c r="D244" s="9">
        <v>1.0</v>
      </c>
      <c r="E244" s="10"/>
      <c r="F244" s="12"/>
      <c r="G244" s="9">
        <f t="shared" si="28"/>
        <v>32</v>
      </c>
      <c r="H244" s="9"/>
      <c r="I244" s="9"/>
      <c r="J244" s="11"/>
    </row>
    <row r="245" ht="14.25" customHeight="1">
      <c r="C245" s="19"/>
      <c r="D245" s="20">
        <f>SUM(D236:D244)</f>
        <v>1000.5</v>
      </c>
      <c r="E245" s="21"/>
      <c r="F245" s="22">
        <f t="shared" ref="F245:I245" si="29">SUM(F236:F244)</f>
        <v>0</v>
      </c>
      <c r="G245" s="20">
        <f t="shared" si="29"/>
        <v>32016</v>
      </c>
      <c r="H245" s="23">
        <f t="shared" si="29"/>
        <v>0</v>
      </c>
      <c r="I245" s="23">
        <f t="shared" si="29"/>
        <v>0</v>
      </c>
      <c r="J245" s="25"/>
    </row>
    <row r="246" ht="14.25" customHeight="1"/>
    <row r="247" ht="14.25" customHeight="1"/>
    <row r="248" ht="14.25" customHeight="1">
      <c r="C248" s="1" t="s">
        <v>348</v>
      </c>
      <c r="D248" s="2"/>
      <c r="E248" s="2"/>
      <c r="F248" s="2"/>
      <c r="G248" s="2"/>
      <c r="H248" s="2"/>
      <c r="I248" s="2"/>
      <c r="J248" s="3"/>
    </row>
    <row r="249" ht="14.25" customHeight="1">
      <c r="B249" s="4">
        <v>4.0</v>
      </c>
      <c r="C249" s="5" t="s">
        <v>4</v>
      </c>
      <c r="D249" s="6" t="s">
        <v>5</v>
      </c>
      <c r="E249" s="6" t="s">
        <v>8</v>
      </c>
      <c r="F249" s="6" t="s">
        <v>9</v>
      </c>
      <c r="G249" s="6" t="s">
        <v>11</v>
      </c>
      <c r="H249" s="6" t="s">
        <v>13</v>
      </c>
      <c r="I249" s="6" t="s">
        <v>14</v>
      </c>
      <c r="J249" s="7"/>
    </row>
    <row r="250" ht="14.25" customHeight="1">
      <c r="C250" s="8" t="s">
        <v>104</v>
      </c>
      <c r="D250" s="9">
        <v>858.0</v>
      </c>
      <c r="E250" s="10"/>
      <c r="F250" s="12">
        <f>(E250/1000)*D250</f>
        <v>0</v>
      </c>
      <c r="G250" s="9"/>
      <c r="H250" s="9"/>
      <c r="I250" s="9"/>
      <c r="J250" s="11" t="s">
        <v>19</v>
      </c>
    </row>
    <row r="251" ht="14.25" customHeight="1">
      <c r="C251" s="8" t="s">
        <v>88</v>
      </c>
      <c r="D251" s="9">
        <v>40.0</v>
      </c>
      <c r="E251" s="10"/>
      <c r="F251" s="12"/>
      <c r="G251" s="9"/>
      <c r="H251" s="9"/>
      <c r="I251" s="9"/>
      <c r="J251" s="11"/>
    </row>
    <row r="252" ht="14.25" customHeight="1">
      <c r="C252" s="8" t="s">
        <v>29</v>
      </c>
      <c r="D252" s="9">
        <v>30.0</v>
      </c>
      <c r="E252" s="10"/>
      <c r="F252" s="12"/>
      <c r="G252" s="9"/>
      <c r="H252" s="9"/>
      <c r="I252" s="9"/>
      <c r="J252" s="11"/>
    </row>
    <row r="253" ht="14.25" customHeight="1">
      <c r="C253" s="8" t="s">
        <v>69</v>
      </c>
      <c r="D253" s="9">
        <v>8.0</v>
      </c>
      <c r="E253" s="10"/>
      <c r="F253" s="12"/>
      <c r="G253" s="9"/>
      <c r="H253" s="9"/>
      <c r="I253" s="9"/>
      <c r="J253" s="11"/>
    </row>
    <row r="254" ht="14.25" customHeight="1">
      <c r="C254" s="8" t="s">
        <v>52</v>
      </c>
      <c r="D254" s="9">
        <v>8.0</v>
      </c>
      <c r="E254" s="10"/>
      <c r="F254" s="12"/>
      <c r="G254" s="9"/>
      <c r="H254" s="9"/>
      <c r="I254" s="9"/>
      <c r="J254" s="11"/>
    </row>
    <row r="255" ht="14.25" customHeight="1">
      <c r="C255" s="8" t="s">
        <v>45</v>
      </c>
      <c r="D255" s="9">
        <v>20.0</v>
      </c>
      <c r="E255" s="10"/>
      <c r="F255" s="12"/>
      <c r="G255" s="9"/>
      <c r="H255" s="9"/>
      <c r="I255" s="9"/>
      <c r="J255" s="11"/>
    </row>
    <row r="256" ht="14.25" customHeight="1">
      <c r="C256" s="8" t="s">
        <v>337</v>
      </c>
      <c r="D256" s="9">
        <v>10.0</v>
      </c>
      <c r="E256" s="10"/>
      <c r="F256" s="12"/>
      <c r="G256" s="9"/>
      <c r="H256" s="9"/>
      <c r="I256" s="9"/>
      <c r="J256" s="11"/>
    </row>
    <row r="257" ht="14.25" customHeight="1">
      <c r="C257" s="8" t="s">
        <v>67</v>
      </c>
      <c r="D257" s="9">
        <v>20.0</v>
      </c>
      <c r="E257" s="10"/>
      <c r="F257" s="12"/>
      <c r="G257" s="9"/>
      <c r="H257" s="9"/>
      <c r="I257" s="9"/>
      <c r="J257" s="11"/>
    </row>
    <row r="258" ht="14.25" customHeight="1">
      <c r="C258" s="8" t="s">
        <v>230</v>
      </c>
      <c r="D258" s="9">
        <v>2.0</v>
      </c>
      <c r="E258" s="10"/>
      <c r="F258" s="12"/>
      <c r="G258" s="9"/>
      <c r="H258" s="9"/>
      <c r="I258" s="9"/>
      <c r="J258" s="11"/>
    </row>
    <row r="259" ht="14.25" customHeight="1">
      <c r="C259" s="8" t="s">
        <v>231</v>
      </c>
      <c r="D259" s="9">
        <v>1.0</v>
      </c>
      <c r="E259" s="10"/>
      <c r="F259" s="12"/>
      <c r="G259" s="9"/>
      <c r="H259" s="9"/>
      <c r="I259" s="9"/>
      <c r="J259" s="11"/>
    </row>
    <row r="260" ht="14.25" customHeight="1">
      <c r="C260" s="8" t="s">
        <v>143</v>
      </c>
      <c r="D260" s="9">
        <v>1.0</v>
      </c>
      <c r="E260" s="10"/>
      <c r="F260" s="12"/>
      <c r="G260" s="9"/>
      <c r="H260" s="9"/>
      <c r="I260" s="9"/>
      <c r="J260" s="11"/>
    </row>
    <row r="261" ht="14.25" customHeight="1">
      <c r="C261" s="8" t="s">
        <v>39</v>
      </c>
      <c r="D261" s="10">
        <v>0.5</v>
      </c>
      <c r="E261" s="10"/>
      <c r="F261" s="12"/>
      <c r="G261" s="9"/>
      <c r="H261" s="9"/>
      <c r="I261" s="9"/>
      <c r="J261" s="11"/>
    </row>
    <row r="262" ht="14.25" customHeight="1">
      <c r="C262" s="8" t="s">
        <v>84</v>
      </c>
      <c r="D262" s="9">
        <v>1.0</v>
      </c>
      <c r="E262" s="10"/>
      <c r="F262" s="12"/>
      <c r="G262" s="9"/>
      <c r="H262" s="9"/>
      <c r="I262" s="9"/>
      <c r="J262" s="11"/>
    </row>
    <row r="263" ht="14.25" customHeight="1">
      <c r="C263" s="19"/>
      <c r="D263" s="20">
        <f>SUM(D250:D262)</f>
        <v>999.5</v>
      </c>
      <c r="E263" s="21"/>
      <c r="F263" s="22">
        <f t="shared" ref="F263:I263" si="30">SUM(F250:F262)</f>
        <v>0</v>
      </c>
      <c r="G263" s="20">
        <f t="shared" si="30"/>
        <v>0</v>
      </c>
      <c r="H263" s="23">
        <f t="shared" si="30"/>
        <v>0</v>
      </c>
      <c r="I263" s="23">
        <f t="shared" si="30"/>
        <v>0</v>
      </c>
      <c r="J263" s="25"/>
    </row>
    <row r="264" ht="14.25" customHeight="1"/>
    <row r="265" ht="14.25" customHeight="1"/>
    <row r="266" ht="14.25" customHeight="1">
      <c r="C266" s="1" t="s">
        <v>297</v>
      </c>
      <c r="D266" s="2"/>
      <c r="E266" s="2"/>
      <c r="F266" s="2"/>
      <c r="G266" s="2"/>
      <c r="H266" s="2"/>
      <c r="I266" s="2"/>
      <c r="J266" s="3"/>
    </row>
    <row r="267" ht="14.25" customHeight="1">
      <c r="B267" s="4">
        <v>4.0</v>
      </c>
      <c r="C267" s="5" t="s">
        <v>4</v>
      </c>
      <c r="D267" s="6" t="s">
        <v>5</v>
      </c>
      <c r="E267" s="6" t="s">
        <v>8</v>
      </c>
      <c r="F267" s="6" t="s">
        <v>9</v>
      </c>
      <c r="G267" s="6" t="s">
        <v>11</v>
      </c>
      <c r="H267" s="6" t="s">
        <v>13</v>
      </c>
      <c r="I267" s="6" t="s">
        <v>14</v>
      </c>
      <c r="J267" s="7"/>
    </row>
    <row r="268" ht="14.25" customHeight="1">
      <c r="C268" s="8" t="s">
        <v>104</v>
      </c>
      <c r="D268" s="9">
        <v>927.0</v>
      </c>
      <c r="E268" s="10"/>
      <c r="F268" s="12">
        <f>(E268/1000)*D268</f>
        <v>0</v>
      </c>
      <c r="G268" s="9"/>
      <c r="H268" s="9"/>
      <c r="I268" s="9"/>
      <c r="J268" s="11" t="s">
        <v>19</v>
      </c>
    </row>
    <row r="269" ht="14.25" customHeight="1">
      <c r="C269" s="8" t="s">
        <v>306</v>
      </c>
      <c r="D269" s="9">
        <v>10.0</v>
      </c>
      <c r="E269" s="10"/>
      <c r="F269" s="12"/>
      <c r="G269" s="9"/>
      <c r="H269" s="9"/>
      <c r="I269" s="9"/>
      <c r="J269" s="11"/>
    </row>
    <row r="270" ht="14.25" customHeight="1">
      <c r="C270" s="8" t="s">
        <v>309</v>
      </c>
      <c r="D270" s="9">
        <v>5.0</v>
      </c>
      <c r="E270" s="10"/>
      <c r="F270" s="12"/>
      <c r="G270" s="9"/>
      <c r="H270" s="9"/>
      <c r="I270" s="9"/>
      <c r="J270" s="11"/>
    </row>
    <row r="271" ht="14.25" customHeight="1">
      <c r="C271" s="8" t="s">
        <v>32</v>
      </c>
      <c r="D271" s="9">
        <v>50.0</v>
      </c>
      <c r="E271" s="10"/>
      <c r="F271" s="12"/>
      <c r="G271" s="9"/>
      <c r="H271" s="9"/>
      <c r="I271" s="9"/>
      <c r="J271" s="11"/>
    </row>
    <row r="272" ht="14.25" customHeight="1">
      <c r="C272" s="8" t="s">
        <v>314</v>
      </c>
      <c r="D272" s="9">
        <v>10.0</v>
      </c>
      <c r="E272" s="10"/>
      <c r="F272" s="12"/>
      <c r="G272" s="9"/>
      <c r="H272" s="9"/>
      <c r="I272" s="9"/>
      <c r="J272" s="11"/>
    </row>
    <row r="273" ht="14.25" customHeight="1">
      <c r="C273" s="8" t="s">
        <v>318</v>
      </c>
      <c r="D273" s="9">
        <v>1.0</v>
      </c>
      <c r="E273" s="10"/>
      <c r="F273" s="12"/>
      <c r="G273" s="9"/>
      <c r="H273" s="9"/>
      <c r="I273" s="9"/>
      <c r="J273" s="11"/>
    </row>
    <row r="274" ht="14.25" customHeight="1">
      <c r="C274" s="8" t="s">
        <v>39</v>
      </c>
      <c r="D274" s="9">
        <v>0.5</v>
      </c>
      <c r="E274" s="10"/>
      <c r="F274" s="12"/>
      <c r="G274" s="9"/>
      <c r="H274" s="9"/>
      <c r="I274" s="9"/>
      <c r="J274" s="11"/>
    </row>
    <row r="275" ht="14.25" customHeight="1">
      <c r="C275" s="14" t="s">
        <v>79</v>
      </c>
      <c r="D275" s="15">
        <v>2.0</v>
      </c>
      <c r="E275" s="16"/>
      <c r="F275" s="17"/>
      <c r="G275" s="15"/>
      <c r="H275" s="15"/>
      <c r="I275" s="15"/>
      <c r="J275" s="18"/>
    </row>
    <row r="276" ht="14.25" customHeight="1">
      <c r="C276" s="19"/>
      <c r="D276" s="20">
        <f>SUM(D268:D275)</f>
        <v>1005.5</v>
      </c>
      <c r="E276" s="21"/>
      <c r="F276" s="22">
        <f t="shared" ref="F276:I276" si="31">SUM(F268:F274)</f>
        <v>0</v>
      </c>
      <c r="G276" s="20">
        <f t="shared" si="31"/>
        <v>0</v>
      </c>
      <c r="H276" s="23">
        <f t="shared" si="31"/>
        <v>0</v>
      </c>
      <c r="I276" s="23">
        <f t="shared" si="31"/>
        <v>0</v>
      </c>
      <c r="J276" s="25"/>
    </row>
    <row r="277" ht="14.25" customHeight="1"/>
    <row r="278" ht="14.25" customHeight="1"/>
    <row r="279" ht="14.25" customHeight="1">
      <c r="C279" s="1" t="s">
        <v>361</v>
      </c>
      <c r="D279" s="2"/>
      <c r="E279" s="2"/>
      <c r="F279" s="2"/>
      <c r="G279" s="2"/>
      <c r="H279" s="2"/>
      <c r="I279" s="2"/>
      <c r="J279" s="3"/>
    </row>
    <row r="280" ht="14.25" customHeight="1">
      <c r="B280" s="4">
        <v>3.0</v>
      </c>
      <c r="C280" s="5" t="s">
        <v>4</v>
      </c>
      <c r="D280" s="6" t="s">
        <v>5</v>
      </c>
      <c r="E280" s="6" t="s">
        <v>8</v>
      </c>
      <c r="F280" s="6" t="s">
        <v>9</v>
      </c>
      <c r="G280" s="6" t="s">
        <v>11</v>
      </c>
      <c r="H280" s="6" t="s">
        <v>13</v>
      </c>
      <c r="I280" s="6" t="s">
        <v>14</v>
      </c>
      <c r="J280" s="7"/>
    </row>
    <row r="281" ht="14.25" customHeight="1">
      <c r="C281" s="8" t="s">
        <v>16</v>
      </c>
      <c r="D281" s="10">
        <v>867.0</v>
      </c>
      <c r="E281" s="10"/>
      <c r="F281" s="12">
        <f t="shared" ref="F281:F283" si="32">(E281/1000)*D281</f>
        <v>0</v>
      </c>
      <c r="G281" s="9"/>
      <c r="H281" s="9">
        <f t="shared" ref="H281:H294" si="33">+D281*8</f>
        <v>6936</v>
      </c>
      <c r="I281" s="9"/>
      <c r="J281" s="11" t="s">
        <v>19</v>
      </c>
    </row>
    <row r="282" ht="14.25" customHeight="1">
      <c r="C282" s="13" t="s">
        <v>32</v>
      </c>
      <c r="D282" s="9">
        <v>40.0</v>
      </c>
      <c r="E282" s="10"/>
      <c r="F282" s="12">
        <f t="shared" si="32"/>
        <v>0</v>
      </c>
      <c r="G282" s="9"/>
      <c r="H282" s="9">
        <f t="shared" si="33"/>
        <v>320</v>
      </c>
      <c r="I282" s="9"/>
      <c r="J282" s="11"/>
    </row>
    <row r="283" ht="14.25" customHeight="1">
      <c r="C283" s="8" t="s">
        <v>29</v>
      </c>
      <c r="D283" s="9">
        <v>30.0</v>
      </c>
      <c r="E283" s="9"/>
      <c r="F283" s="12">
        <f t="shared" si="32"/>
        <v>0</v>
      </c>
      <c r="G283" s="9"/>
      <c r="H283" s="9">
        <f t="shared" si="33"/>
        <v>240</v>
      </c>
      <c r="I283" s="9"/>
      <c r="J283" s="11" t="s">
        <v>19</v>
      </c>
    </row>
    <row r="284" ht="14.25" customHeight="1">
      <c r="C284" s="8" t="s">
        <v>105</v>
      </c>
      <c r="D284" s="9">
        <v>20.0</v>
      </c>
      <c r="E284" s="9"/>
      <c r="F284" s="12"/>
      <c r="G284" s="9"/>
      <c r="H284" s="9">
        <f t="shared" si="33"/>
        <v>160</v>
      </c>
      <c r="I284" s="9"/>
      <c r="J284" s="11"/>
    </row>
    <row r="285" ht="14.25" customHeight="1">
      <c r="C285" s="8" t="s">
        <v>65</v>
      </c>
      <c r="D285" s="9">
        <v>10.0</v>
      </c>
      <c r="E285" s="9"/>
      <c r="F285" s="12"/>
      <c r="G285" s="9"/>
      <c r="H285" s="9">
        <f t="shared" si="33"/>
        <v>80</v>
      </c>
      <c r="I285" s="9"/>
      <c r="J285" s="11"/>
    </row>
    <row r="286" ht="14.25" customHeight="1">
      <c r="C286" s="8" t="s">
        <v>25</v>
      </c>
      <c r="D286" s="9">
        <v>20.0</v>
      </c>
      <c r="E286" s="9"/>
      <c r="F286" s="12"/>
      <c r="G286" s="9"/>
      <c r="H286" s="9">
        <f t="shared" si="33"/>
        <v>160</v>
      </c>
      <c r="I286" s="9"/>
      <c r="J286" s="11"/>
    </row>
    <row r="287" ht="14.25" customHeight="1">
      <c r="C287" s="8" t="s">
        <v>109</v>
      </c>
      <c r="D287" s="9">
        <v>1.0</v>
      </c>
      <c r="E287" s="9"/>
      <c r="F287" s="12">
        <f t="shared" ref="F287:F294" si="34">(E287/1000)*D287</f>
        <v>0</v>
      </c>
      <c r="G287" s="9"/>
      <c r="H287" s="9">
        <f t="shared" si="33"/>
        <v>8</v>
      </c>
      <c r="I287" s="9"/>
      <c r="J287" s="11"/>
    </row>
    <row r="288" ht="14.25" customHeight="1">
      <c r="C288" s="8" t="s">
        <v>111</v>
      </c>
      <c r="D288" s="9">
        <v>3.0</v>
      </c>
      <c r="E288" s="9"/>
      <c r="F288" s="12">
        <f t="shared" si="34"/>
        <v>0</v>
      </c>
      <c r="G288" s="9"/>
      <c r="H288" s="9">
        <f t="shared" si="33"/>
        <v>24</v>
      </c>
      <c r="I288" s="9"/>
      <c r="J288" s="11"/>
    </row>
    <row r="289" ht="14.25" customHeight="1">
      <c r="C289" s="8" t="s">
        <v>69</v>
      </c>
      <c r="D289" s="9">
        <v>8.0</v>
      </c>
      <c r="E289" s="9"/>
      <c r="F289" s="12">
        <f t="shared" si="34"/>
        <v>0</v>
      </c>
      <c r="G289" s="9"/>
      <c r="H289" s="9">
        <f t="shared" si="33"/>
        <v>64</v>
      </c>
      <c r="I289" s="9"/>
      <c r="J289" s="11" t="s">
        <v>19</v>
      </c>
    </row>
    <row r="290" ht="14.25" customHeight="1">
      <c r="C290" s="8" t="s">
        <v>22</v>
      </c>
      <c r="D290" s="24">
        <v>1.0</v>
      </c>
      <c r="E290" s="9"/>
      <c r="F290" s="12">
        <f t="shared" si="34"/>
        <v>0</v>
      </c>
      <c r="G290" s="9"/>
      <c r="H290" s="9">
        <f t="shared" si="33"/>
        <v>8</v>
      </c>
      <c r="I290" s="9"/>
      <c r="J290" s="8"/>
    </row>
    <row r="291" ht="14.25" customHeight="1">
      <c r="C291" s="8" t="s">
        <v>26</v>
      </c>
      <c r="D291" s="32">
        <v>0.5</v>
      </c>
      <c r="E291" s="9"/>
      <c r="F291" s="12">
        <f t="shared" si="34"/>
        <v>0</v>
      </c>
      <c r="G291" s="9"/>
      <c r="H291" s="9">
        <f t="shared" si="33"/>
        <v>4</v>
      </c>
      <c r="I291" s="9"/>
      <c r="J291" s="8"/>
    </row>
    <row r="292" ht="14.25" customHeight="1">
      <c r="C292" s="14" t="s">
        <v>84</v>
      </c>
      <c r="D292" s="32">
        <v>2.0</v>
      </c>
      <c r="E292" s="9"/>
      <c r="F292" s="12">
        <f t="shared" si="34"/>
        <v>0</v>
      </c>
      <c r="G292" s="9"/>
      <c r="H292" s="9">
        <f t="shared" si="33"/>
        <v>16</v>
      </c>
      <c r="I292" s="9"/>
      <c r="J292" s="8"/>
    </row>
    <row r="293" ht="14.25" customHeight="1">
      <c r="C293" s="14" t="s">
        <v>79</v>
      </c>
      <c r="D293" s="24">
        <v>2.0</v>
      </c>
      <c r="E293" s="9"/>
      <c r="F293" s="12">
        <f t="shared" si="34"/>
        <v>0</v>
      </c>
      <c r="G293" s="9"/>
      <c r="H293" s="9">
        <f t="shared" si="33"/>
        <v>16</v>
      </c>
      <c r="I293" s="9"/>
      <c r="J293" s="8"/>
    </row>
    <row r="294" ht="14.25" customHeight="1">
      <c r="C294" s="14" t="s">
        <v>83</v>
      </c>
      <c r="D294" s="24">
        <v>2.0</v>
      </c>
      <c r="E294" s="9"/>
      <c r="F294" s="12">
        <f t="shared" si="34"/>
        <v>0</v>
      </c>
      <c r="G294" s="9"/>
      <c r="H294" s="9">
        <f t="shared" si="33"/>
        <v>16</v>
      </c>
      <c r="I294" s="9"/>
      <c r="J294" s="8"/>
    </row>
    <row r="295" ht="14.25" customHeight="1">
      <c r="C295" s="19"/>
      <c r="D295" s="28">
        <f>SUM(D281:D294)</f>
        <v>1006.5</v>
      </c>
      <c r="E295" s="29"/>
      <c r="F295" s="30">
        <f>SUM(F281:F294)</f>
        <v>0</v>
      </c>
      <c r="G295" s="28">
        <f t="shared" ref="G295:I295" si="35">SUM(G281:G291)</f>
        <v>0</v>
      </c>
      <c r="H295" s="31">
        <f t="shared" si="35"/>
        <v>8004</v>
      </c>
      <c r="I295" s="31">
        <f t="shared" si="35"/>
        <v>0</v>
      </c>
      <c r="J295" s="26"/>
    </row>
    <row r="296" ht="14.25" customHeight="1"/>
    <row r="297" ht="14.25" customHeight="1"/>
    <row r="298" ht="14.25" customHeight="1">
      <c r="C298" s="1" t="s">
        <v>378</v>
      </c>
      <c r="D298" s="2"/>
      <c r="E298" s="2"/>
      <c r="F298" s="2"/>
      <c r="G298" s="2"/>
      <c r="H298" s="2"/>
      <c r="I298" s="2"/>
      <c r="J298" s="3"/>
    </row>
    <row r="299" ht="14.25" customHeight="1">
      <c r="B299" s="4">
        <v>3.0</v>
      </c>
      <c r="C299" s="5" t="s">
        <v>4</v>
      </c>
      <c r="D299" s="6" t="s">
        <v>5</v>
      </c>
      <c r="E299" s="6" t="s">
        <v>8</v>
      </c>
      <c r="F299" s="6" t="s">
        <v>9</v>
      </c>
      <c r="G299" s="6" t="s">
        <v>11</v>
      </c>
      <c r="H299" s="6" t="s">
        <v>13</v>
      </c>
      <c r="I299" s="6" t="s">
        <v>14</v>
      </c>
      <c r="J299" s="7"/>
    </row>
    <row r="300" ht="14.25" customHeight="1">
      <c r="C300" s="8" t="s">
        <v>16</v>
      </c>
      <c r="D300" s="9">
        <v>975.0</v>
      </c>
      <c r="E300" s="10"/>
      <c r="F300" s="12">
        <f t="shared" ref="F300:F302" si="36">(E300/1000)*D300</f>
        <v>0</v>
      </c>
      <c r="G300" s="9"/>
      <c r="H300" s="9">
        <f t="shared" ref="H300:H310" si="37">+D300*8</f>
        <v>7800</v>
      </c>
      <c r="I300" s="9"/>
      <c r="J300" s="11" t="s">
        <v>19</v>
      </c>
    </row>
    <row r="301" ht="14.25" customHeight="1">
      <c r="C301" s="13" t="s">
        <v>32</v>
      </c>
      <c r="D301" s="9">
        <v>3.0</v>
      </c>
      <c r="E301" s="10"/>
      <c r="F301" s="12">
        <f t="shared" si="36"/>
        <v>0</v>
      </c>
      <c r="G301" s="9"/>
      <c r="H301" s="9">
        <f t="shared" si="37"/>
        <v>24</v>
      </c>
      <c r="I301" s="9"/>
      <c r="J301" s="11"/>
    </row>
    <row r="302" ht="14.25" customHeight="1">
      <c r="C302" s="8" t="s">
        <v>37</v>
      </c>
      <c r="D302" s="9">
        <v>2.0</v>
      </c>
      <c r="E302" s="9"/>
      <c r="F302" s="12">
        <f t="shared" si="36"/>
        <v>0</v>
      </c>
      <c r="G302" s="9"/>
      <c r="H302" s="9">
        <f t="shared" si="37"/>
        <v>16</v>
      </c>
      <c r="I302" s="9"/>
      <c r="J302" s="11" t="s">
        <v>19</v>
      </c>
    </row>
    <row r="303" ht="14.25" customHeight="1">
      <c r="C303" s="8" t="s">
        <v>69</v>
      </c>
      <c r="D303" s="9">
        <v>9.0</v>
      </c>
      <c r="E303" s="9"/>
      <c r="F303" s="12"/>
      <c r="G303" s="9"/>
      <c r="H303" s="9">
        <f t="shared" si="37"/>
        <v>72</v>
      </c>
      <c r="I303" s="9"/>
      <c r="J303" s="11"/>
    </row>
    <row r="304" ht="14.25" customHeight="1">
      <c r="C304" s="8" t="s">
        <v>52</v>
      </c>
      <c r="D304" s="9">
        <v>2.0</v>
      </c>
      <c r="E304" s="9"/>
      <c r="F304" s="12"/>
      <c r="G304" s="9"/>
      <c r="H304" s="9">
        <f t="shared" si="37"/>
        <v>16</v>
      </c>
      <c r="I304" s="9"/>
      <c r="J304" s="11"/>
    </row>
    <row r="305" ht="14.25" customHeight="1">
      <c r="C305" s="8" t="s">
        <v>173</v>
      </c>
      <c r="D305" s="9">
        <v>5.0</v>
      </c>
      <c r="E305" s="9"/>
      <c r="F305" s="12"/>
      <c r="G305" s="9"/>
      <c r="H305" s="9">
        <f t="shared" si="37"/>
        <v>40</v>
      </c>
      <c r="I305" s="9"/>
      <c r="J305" s="11"/>
    </row>
    <row r="306" ht="14.25" customHeight="1">
      <c r="C306" s="8" t="s">
        <v>384</v>
      </c>
      <c r="D306" s="9">
        <v>1.0</v>
      </c>
      <c r="E306" s="9"/>
      <c r="F306" s="12">
        <f t="shared" ref="F306:F310" si="38">(E306/1000)*D306</f>
        <v>0</v>
      </c>
      <c r="G306" s="9"/>
      <c r="H306" s="9">
        <f t="shared" si="37"/>
        <v>8</v>
      </c>
      <c r="I306" s="9"/>
      <c r="J306" s="11"/>
    </row>
    <row r="307" ht="14.25" customHeight="1">
      <c r="C307" s="8" t="s">
        <v>109</v>
      </c>
      <c r="D307" s="9">
        <v>1.0</v>
      </c>
      <c r="E307" s="9"/>
      <c r="F307" s="12">
        <f t="shared" si="38"/>
        <v>0</v>
      </c>
      <c r="G307" s="9"/>
      <c r="H307" s="9">
        <f t="shared" si="37"/>
        <v>8</v>
      </c>
      <c r="I307" s="9"/>
      <c r="J307" s="11"/>
    </row>
    <row r="308" ht="14.25" customHeight="1">
      <c r="C308" s="8" t="s">
        <v>31</v>
      </c>
      <c r="D308" s="10">
        <v>0.5</v>
      </c>
      <c r="E308" s="9"/>
      <c r="F308" s="12">
        <f t="shared" si="38"/>
        <v>0</v>
      </c>
      <c r="G308" s="9"/>
      <c r="H308" s="9">
        <f t="shared" si="37"/>
        <v>4</v>
      </c>
      <c r="I308" s="9"/>
      <c r="J308" s="11" t="s">
        <v>19</v>
      </c>
    </row>
    <row r="309" ht="14.25" customHeight="1">
      <c r="C309" s="8" t="s">
        <v>22</v>
      </c>
      <c r="D309" s="24">
        <v>1.0</v>
      </c>
      <c r="E309" s="9"/>
      <c r="F309" s="12">
        <f t="shared" si="38"/>
        <v>0</v>
      </c>
      <c r="G309" s="9"/>
      <c r="H309" s="9">
        <f t="shared" si="37"/>
        <v>8</v>
      </c>
      <c r="I309" s="9"/>
      <c r="J309" s="8"/>
    </row>
    <row r="310" ht="14.25" customHeight="1">
      <c r="C310" s="8" t="s">
        <v>26</v>
      </c>
      <c r="D310" s="32">
        <v>0.5</v>
      </c>
      <c r="E310" s="9"/>
      <c r="F310" s="12">
        <f t="shared" si="38"/>
        <v>0</v>
      </c>
      <c r="G310" s="9"/>
      <c r="H310" s="9">
        <f t="shared" si="37"/>
        <v>4</v>
      </c>
      <c r="I310" s="9"/>
      <c r="J310" s="8"/>
    </row>
    <row r="311" ht="14.25" customHeight="1">
      <c r="C311" s="19"/>
      <c r="D311" s="28">
        <f>SUM(D300:D310)</f>
        <v>1000</v>
      </c>
      <c r="E311" s="29"/>
      <c r="F311" s="30">
        <f t="shared" ref="F311:I311" si="39">SUM(F300:F310)</f>
        <v>0</v>
      </c>
      <c r="G311" s="28">
        <f t="shared" si="39"/>
        <v>0</v>
      </c>
      <c r="H311" s="31">
        <f t="shared" si="39"/>
        <v>8000</v>
      </c>
      <c r="I311" s="31">
        <f t="shared" si="39"/>
        <v>0</v>
      </c>
      <c r="J311" s="26"/>
    </row>
    <row r="312" ht="14.25" customHeight="1"/>
    <row r="313" ht="14.25" customHeight="1"/>
    <row r="314" ht="14.25" customHeight="1">
      <c r="C314" s="1" t="s">
        <v>389</v>
      </c>
      <c r="D314" s="2"/>
      <c r="E314" s="2"/>
      <c r="F314" s="2"/>
      <c r="G314" s="2"/>
      <c r="H314" s="2"/>
      <c r="I314" s="2"/>
      <c r="J314" s="3"/>
    </row>
    <row r="315" ht="14.25" customHeight="1">
      <c r="B315" s="4">
        <v>3.0</v>
      </c>
      <c r="C315" s="5" t="s">
        <v>4</v>
      </c>
      <c r="D315" s="6" t="s">
        <v>5</v>
      </c>
      <c r="E315" s="6" t="s">
        <v>8</v>
      </c>
      <c r="F315" s="6" t="s">
        <v>9</v>
      </c>
      <c r="G315" s="6" t="s">
        <v>11</v>
      </c>
      <c r="H315" s="6" t="s">
        <v>13</v>
      </c>
      <c r="I315" s="6" t="s">
        <v>14</v>
      </c>
      <c r="J315" s="7"/>
    </row>
    <row r="316" ht="14.25" customHeight="1">
      <c r="C316" s="8" t="s">
        <v>16</v>
      </c>
      <c r="D316" s="9">
        <v>860.0</v>
      </c>
      <c r="E316" s="10"/>
      <c r="F316" s="12">
        <f t="shared" ref="F316:F318" si="40">(E316/1000)*D316</f>
        <v>0</v>
      </c>
      <c r="G316" s="9"/>
      <c r="H316" s="9">
        <f t="shared" ref="H316:H324" si="41">+D316*8</f>
        <v>6880</v>
      </c>
      <c r="I316" s="9"/>
      <c r="J316" s="11" t="s">
        <v>19</v>
      </c>
    </row>
    <row r="317" ht="14.25" customHeight="1">
      <c r="C317" s="13" t="s">
        <v>32</v>
      </c>
      <c r="D317" s="9">
        <v>40.0</v>
      </c>
      <c r="E317" s="10"/>
      <c r="F317" s="12">
        <f t="shared" si="40"/>
        <v>0</v>
      </c>
      <c r="G317" s="9"/>
      <c r="H317" s="9">
        <f t="shared" si="41"/>
        <v>320</v>
      </c>
      <c r="I317" s="9"/>
      <c r="J317" s="11"/>
    </row>
    <row r="318" ht="14.25" customHeight="1">
      <c r="C318" s="8" t="s">
        <v>393</v>
      </c>
      <c r="D318" s="9">
        <v>40.0</v>
      </c>
      <c r="E318" s="9"/>
      <c r="F318" s="12">
        <f t="shared" si="40"/>
        <v>0</v>
      </c>
      <c r="G318" s="9"/>
      <c r="H318" s="9">
        <f t="shared" si="41"/>
        <v>320</v>
      </c>
      <c r="I318" s="9"/>
      <c r="J318" s="11" t="s">
        <v>19</v>
      </c>
    </row>
    <row r="319" ht="14.25" customHeight="1">
      <c r="C319" s="8" t="s">
        <v>29</v>
      </c>
      <c r="D319" s="9">
        <v>30.0</v>
      </c>
      <c r="E319" s="9"/>
      <c r="F319" s="12"/>
      <c r="G319" s="9"/>
      <c r="H319" s="9">
        <f t="shared" si="41"/>
        <v>240</v>
      </c>
      <c r="I319" s="9"/>
      <c r="J319" s="11"/>
    </row>
    <row r="320" ht="14.25" customHeight="1">
      <c r="C320" s="8" t="s">
        <v>150</v>
      </c>
      <c r="D320" s="9">
        <v>5.0</v>
      </c>
      <c r="E320" s="9"/>
      <c r="F320" s="12"/>
      <c r="G320" s="9"/>
      <c r="H320" s="9">
        <f t="shared" si="41"/>
        <v>40</v>
      </c>
      <c r="I320" s="9"/>
      <c r="J320" s="11"/>
    </row>
    <row r="321" ht="14.25" customHeight="1">
      <c r="C321" s="8" t="s">
        <v>37</v>
      </c>
      <c r="D321" s="9">
        <v>2.0</v>
      </c>
      <c r="E321" s="9"/>
      <c r="F321" s="12"/>
      <c r="G321" s="9"/>
      <c r="H321" s="9">
        <f t="shared" si="41"/>
        <v>16</v>
      </c>
      <c r="I321" s="9"/>
      <c r="J321" s="11"/>
    </row>
    <row r="322" ht="14.25" customHeight="1">
      <c r="C322" s="8" t="s">
        <v>69</v>
      </c>
      <c r="D322" s="9">
        <v>8.0</v>
      </c>
      <c r="E322" s="9"/>
      <c r="F322" s="12">
        <f t="shared" ref="F322:F324" si="42">(E322/1000)*D322</f>
        <v>0</v>
      </c>
      <c r="G322" s="9"/>
      <c r="H322" s="9">
        <f t="shared" si="41"/>
        <v>64</v>
      </c>
      <c r="I322" s="9"/>
      <c r="J322" s="11"/>
    </row>
    <row r="323" ht="14.25" customHeight="1">
      <c r="C323" s="8" t="s">
        <v>116</v>
      </c>
      <c r="D323" s="9">
        <v>8.0</v>
      </c>
      <c r="E323" s="9"/>
      <c r="F323" s="12">
        <f t="shared" si="42"/>
        <v>0</v>
      </c>
      <c r="G323" s="9"/>
      <c r="H323" s="9">
        <f t="shared" si="41"/>
        <v>64</v>
      </c>
      <c r="I323" s="9"/>
      <c r="J323" s="11"/>
    </row>
    <row r="324" ht="14.25" customHeight="1">
      <c r="C324" s="8" t="s">
        <v>133</v>
      </c>
      <c r="D324" s="9">
        <v>7.0</v>
      </c>
      <c r="E324" s="9"/>
      <c r="F324" s="12">
        <f t="shared" si="42"/>
        <v>0</v>
      </c>
      <c r="G324" s="9"/>
      <c r="H324" s="9">
        <f t="shared" si="41"/>
        <v>56</v>
      </c>
      <c r="I324" s="9"/>
      <c r="J324" s="11" t="s">
        <v>19</v>
      </c>
    </row>
    <row r="325" ht="14.25" customHeight="1">
      <c r="C325" s="19"/>
      <c r="D325" s="28">
        <f>SUM(D316:D324)</f>
        <v>1000</v>
      </c>
      <c r="E325" s="29"/>
      <c r="F325" s="30">
        <f t="shared" ref="F325:I325" si="43">SUM(F316:F324)</f>
        <v>0</v>
      </c>
      <c r="G325" s="28">
        <f t="shared" si="43"/>
        <v>0</v>
      </c>
      <c r="H325" s="31">
        <f t="shared" si="43"/>
        <v>8000</v>
      </c>
      <c r="I325" s="31">
        <f t="shared" si="43"/>
        <v>0</v>
      </c>
      <c r="J325" s="26"/>
    </row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C2:J2"/>
    <mergeCell ref="C16:J16"/>
    <mergeCell ref="C32:J32"/>
    <mergeCell ref="C47:J47"/>
    <mergeCell ref="C65:J65"/>
    <mergeCell ref="C82:J82"/>
    <mergeCell ref="C98:J98"/>
    <mergeCell ref="C203:J203"/>
    <mergeCell ref="C219:J219"/>
    <mergeCell ref="C234:J234"/>
    <mergeCell ref="C248:J248"/>
    <mergeCell ref="C266:J266"/>
    <mergeCell ref="C279:J279"/>
    <mergeCell ref="C298:J298"/>
    <mergeCell ref="C314:J314"/>
    <mergeCell ref="C112:J112"/>
    <mergeCell ref="C127:J127"/>
    <mergeCell ref="C145:J145"/>
    <mergeCell ref="C160:J160"/>
    <mergeCell ref="C171:J171"/>
    <mergeCell ref="C175:J175"/>
    <mergeCell ref="C191:J19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6.57"/>
    <col customWidth="1" min="4" max="26" width="10.71"/>
  </cols>
  <sheetData>
    <row r="1" ht="14.25" customHeight="1"/>
    <row r="2" ht="14.25" customHeight="1"/>
    <row r="3" ht="14.25" customHeight="1">
      <c r="C3" s="1" t="s">
        <v>1</v>
      </c>
      <c r="D3" s="2"/>
      <c r="E3" s="2"/>
      <c r="F3" s="2"/>
      <c r="G3" s="2"/>
      <c r="H3" s="2"/>
      <c r="I3" s="2"/>
      <c r="J3" s="3"/>
    </row>
    <row r="4" ht="14.25" customHeight="1">
      <c r="B4" s="4">
        <v>1.0</v>
      </c>
      <c r="C4" s="5" t="s">
        <v>4</v>
      </c>
      <c r="D4" s="6" t="s">
        <v>5</v>
      </c>
      <c r="E4" s="6" t="s">
        <v>8</v>
      </c>
      <c r="F4" s="6" t="s">
        <v>9</v>
      </c>
      <c r="G4" s="6" t="s">
        <v>11</v>
      </c>
      <c r="H4" s="6" t="s">
        <v>13</v>
      </c>
      <c r="I4" s="6" t="s">
        <v>14</v>
      </c>
      <c r="J4" s="7"/>
    </row>
    <row r="5" ht="14.25" customHeight="1">
      <c r="C5" s="8" t="s">
        <v>16</v>
      </c>
      <c r="D5" s="10">
        <v>268.5</v>
      </c>
      <c r="E5" s="10"/>
      <c r="F5" s="12">
        <f>(E5/1000)*D5</f>
        <v>0</v>
      </c>
      <c r="G5" s="9"/>
      <c r="H5" s="9"/>
      <c r="I5" s="9"/>
      <c r="J5" s="11" t="s">
        <v>19</v>
      </c>
    </row>
    <row r="6" ht="14.25" customHeight="1">
      <c r="C6" s="8" t="s">
        <v>22</v>
      </c>
      <c r="D6" s="9">
        <v>1.0</v>
      </c>
      <c r="E6" s="10"/>
      <c r="F6" s="12"/>
      <c r="G6" s="9"/>
      <c r="H6" s="9"/>
      <c r="I6" s="9"/>
      <c r="J6" s="11"/>
    </row>
    <row r="7" ht="14.25" customHeight="1">
      <c r="C7" s="8" t="s">
        <v>26</v>
      </c>
      <c r="D7" s="10">
        <v>0.5</v>
      </c>
      <c r="E7" s="10"/>
      <c r="F7" s="12"/>
      <c r="G7" s="9"/>
      <c r="H7" s="9"/>
      <c r="I7" s="9"/>
      <c r="J7" s="11"/>
    </row>
    <row r="8" ht="14.25" customHeight="1">
      <c r="C8" s="8" t="s">
        <v>30</v>
      </c>
      <c r="D8" s="9">
        <v>3.0</v>
      </c>
      <c r="E8" s="10"/>
      <c r="F8" s="12"/>
      <c r="G8" s="9"/>
      <c r="H8" s="9"/>
      <c r="I8" s="9"/>
      <c r="J8" s="11"/>
    </row>
    <row r="9" ht="14.25" customHeight="1">
      <c r="C9" s="8" t="s">
        <v>34</v>
      </c>
      <c r="D9" s="9">
        <v>100.0</v>
      </c>
      <c r="E9" s="10"/>
      <c r="F9" s="12"/>
      <c r="G9" s="9"/>
      <c r="H9" s="9"/>
      <c r="I9" s="9"/>
      <c r="J9" s="11"/>
    </row>
    <row r="10" ht="14.25" customHeight="1">
      <c r="C10" s="8" t="s">
        <v>38</v>
      </c>
      <c r="D10" s="9">
        <v>600.0</v>
      </c>
      <c r="E10" s="10"/>
      <c r="F10" s="12"/>
      <c r="G10" s="9"/>
      <c r="H10" s="9"/>
      <c r="I10" s="9"/>
      <c r="J10" s="11"/>
    </row>
    <row r="11" ht="14.25" customHeight="1">
      <c r="C11" s="8" t="s">
        <v>41</v>
      </c>
      <c r="D11" s="9">
        <v>10.0</v>
      </c>
      <c r="E11" s="10"/>
      <c r="F11" s="12"/>
      <c r="G11" s="9"/>
      <c r="H11" s="9"/>
      <c r="I11" s="9"/>
      <c r="J11" s="11"/>
    </row>
    <row r="12" ht="14.25" customHeight="1">
      <c r="C12" s="8" t="s">
        <v>44</v>
      </c>
      <c r="D12" s="9">
        <v>1.0</v>
      </c>
      <c r="E12" s="10"/>
      <c r="F12" s="12"/>
      <c r="G12" s="9"/>
      <c r="H12" s="9"/>
      <c r="I12" s="9"/>
      <c r="J12" s="11"/>
    </row>
    <row r="13" ht="14.25" customHeight="1">
      <c r="C13" s="8" t="s">
        <v>47</v>
      </c>
      <c r="D13" s="27">
        <v>0.02</v>
      </c>
      <c r="E13" s="10"/>
      <c r="F13" s="12"/>
      <c r="G13" s="9"/>
      <c r="H13" s="9"/>
      <c r="I13" s="9"/>
      <c r="J13" s="11"/>
    </row>
    <row r="14" ht="14.25" customHeight="1">
      <c r="C14" s="8" t="s">
        <v>40</v>
      </c>
      <c r="D14" s="9">
        <v>8.0</v>
      </c>
      <c r="E14" s="10"/>
      <c r="F14" s="12"/>
      <c r="G14" s="9"/>
      <c r="H14" s="9"/>
      <c r="I14" s="9"/>
      <c r="J14" s="11"/>
    </row>
    <row r="15" ht="14.25" customHeight="1">
      <c r="C15" s="8" t="s">
        <v>52</v>
      </c>
      <c r="D15" s="15">
        <v>8.0</v>
      </c>
      <c r="E15" s="16"/>
      <c r="F15" s="17"/>
      <c r="G15" s="15"/>
      <c r="H15" s="15"/>
      <c r="I15" s="15"/>
      <c r="J15" s="18"/>
    </row>
    <row r="16" ht="14.25" customHeight="1">
      <c r="C16" s="19"/>
      <c r="D16" s="20">
        <f>SUM(D5:D15)</f>
        <v>1000.02</v>
      </c>
      <c r="E16" s="21"/>
      <c r="F16" s="22">
        <f t="shared" ref="F16:I16" si="1">SUM(F5:F13)</f>
        <v>0</v>
      </c>
      <c r="G16" s="20">
        <f t="shared" si="1"/>
        <v>0</v>
      </c>
      <c r="H16" s="23">
        <f t="shared" si="1"/>
        <v>0</v>
      </c>
      <c r="I16" s="23">
        <f t="shared" si="1"/>
        <v>0</v>
      </c>
      <c r="J16" s="25"/>
    </row>
    <row r="17" ht="14.25" customHeight="1"/>
    <row r="18" ht="14.25" customHeight="1"/>
    <row r="19" ht="14.25" customHeight="1">
      <c r="C19" s="1" t="s">
        <v>60</v>
      </c>
      <c r="D19" s="2"/>
      <c r="E19" s="2"/>
      <c r="F19" s="2"/>
      <c r="G19" s="2"/>
      <c r="H19" s="2"/>
      <c r="I19" s="2"/>
      <c r="J19" s="3"/>
    </row>
    <row r="20" ht="14.25" customHeight="1">
      <c r="B20" s="4">
        <v>2.0</v>
      </c>
      <c r="C20" s="5" t="s">
        <v>4</v>
      </c>
      <c r="D20" s="6" t="s">
        <v>5</v>
      </c>
      <c r="E20" s="6" t="s">
        <v>8</v>
      </c>
      <c r="F20" s="6" t="s">
        <v>9</v>
      </c>
      <c r="G20" s="6" t="s">
        <v>11</v>
      </c>
      <c r="H20" s="6" t="s">
        <v>13</v>
      </c>
      <c r="I20" s="6" t="s">
        <v>14</v>
      </c>
      <c r="J20" s="7"/>
    </row>
    <row r="21" ht="14.25" customHeight="1">
      <c r="C21" s="8" t="s">
        <v>16</v>
      </c>
      <c r="D21" s="10">
        <v>805.0</v>
      </c>
      <c r="E21" s="10"/>
      <c r="F21" s="12">
        <f>(E21/1000)*D21</f>
        <v>0</v>
      </c>
      <c r="G21" s="9"/>
      <c r="H21" s="9"/>
      <c r="I21" s="9"/>
      <c r="J21" s="11" t="s">
        <v>19</v>
      </c>
    </row>
    <row r="22" ht="14.25" customHeight="1">
      <c r="C22" s="8" t="s">
        <v>32</v>
      </c>
      <c r="D22" s="10">
        <v>100.0</v>
      </c>
      <c r="E22" s="10"/>
      <c r="F22" s="12"/>
      <c r="G22" s="9"/>
      <c r="H22" s="9"/>
      <c r="I22" s="9"/>
      <c r="J22" s="11"/>
    </row>
    <row r="23" ht="14.25" customHeight="1">
      <c r="C23" s="8" t="s">
        <v>69</v>
      </c>
      <c r="D23" s="10">
        <v>12.0</v>
      </c>
      <c r="E23" s="10"/>
      <c r="F23" s="12"/>
      <c r="G23" s="9"/>
      <c r="H23" s="9"/>
      <c r="I23" s="9"/>
      <c r="J23" s="11"/>
    </row>
    <row r="24" ht="14.25" customHeight="1">
      <c r="C24" s="8" t="s">
        <v>71</v>
      </c>
      <c r="D24" s="10">
        <v>2.0</v>
      </c>
      <c r="E24" s="10"/>
      <c r="F24" s="12"/>
      <c r="G24" s="9"/>
      <c r="H24" s="9"/>
      <c r="I24" s="9"/>
      <c r="J24" s="11"/>
    </row>
    <row r="25" ht="14.25" customHeight="1">
      <c r="C25" s="8" t="s">
        <v>52</v>
      </c>
      <c r="D25" s="9">
        <v>2.5</v>
      </c>
      <c r="E25" s="10"/>
      <c r="F25" s="12"/>
      <c r="G25" s="9"/>
      <c r="H25" s="9"/>
      <c r="I25" s="9"/>
      <c r="J25" s="11"/>
    </row>
    <row r="26" ht="14.25" customHeight="1">
      <c r="C26" s="8" t="s">
        <v>65</v>
      </c>
      <c r="D26" s="10">
        <v>30.0</v>
      </c>
      <c r="E26" s="10"/>
      <c r="F26" s="12"/>
      <c r="G26" s="9"/>
      <c r="H26" s="9"/>
      <c r="I26" s="9"/>
      <c r="J26" s="11"/>
    </row>
    <row r="27" ht="14.25" customHeight="1">
      <c r="C27" s="8" t="s">
        <v>73</v>
      </c>
      <c r="D27" s="9">
        <v>20.0</v>
      </c>
      <c r="E27" s="10"/>
      <c r="F27" s="12"/>
      <c r="G27" s="9"/>
      <c r="H27" s="9"/>
      <c r="I27" s="9"/>
      <c r="J27" s="11"/>
    </row>
    <row r="28" ht="14.25" customHeight="1">
      <c r="C28" s="8" t="s">
        <v>78</v>
      </c>
      <c r="D28" s="9">
        <v>20.0</v>
      </c>
      <c r="E28" s="10"/>
      <c r="F28" s="12"/>
      <c r="G28" s="9"/>
      <c r="H28" s="9"/>
      <c r="I28" s="9"/>
      <c r="J28" s="11"/>
    </row>
    <row r="29" ht="14.25" customHeight="1">
      <c r="C29" s="8" t="s">
        <v>79</v>
      </c>
      <c r="D29" s="9">
        <v>0.1</v>
      </c>
      <c r="E29" s="10"/>
      <c r="F29" s="12"/>
      <c r="G29" s="9"/>
      <c r="H29" s="9"/>
      <c r="I29" s="9"/>
      <c r="J29" s="11"/>
    </row>
    <row r="30" ht="14.25" customHeight="1">
      <c r="C30" s="8" t="s">
        <v>22</v>
      </c>
      <c r="D30" s="9">
        <v>3.0</v>
      </c>
      <c r="E30" s="10"/>
      <c r="F30" s="12"/>
      <c r="G30" s="9"/>
      <c r="H30" s="9"/>
      <c r="I30" s="9"/>
      <c r="J30" s="11"/>
    </row>
    <row r="31" ht="14.25" customHeight="1">
      <c r="C31" s="8" t="s">
        <v>26</v>
      </c>
      <c r="D31" s="9">
        <v>2.0</v>
      </c>
      <c r="E31" s="10"/>
      <c r="F31" s="12"/>
      <c r="G31" s="9"/>
      <c r="H31" s="9"/>
      <c r="I31" s="9"/>
      <c r="J31" s="11"/>
    </row>
    <row r="32" ht="14.25" customHeight="1">
      <c r="C32" s="8" t="s">
        <v>84</v>
      </c>
      <c r="D32" s="27">
        <v>1.5</v>
      </c>
      <c r="E32" s="10"/>
      <c r="F32" s="12"/>
      <c r="G32" s="9"/>
      <c r="H32" s="9"/>
      <c r="I32" s="9"/>
      <c r="J32" s="11"/>
    </row>
    <row r="33" ht="14.25" customHeight="1">
      <c r="C33" s="8" t="s">
        <v>85</v>
      </c>
      <c r="D33" s="9">
        <v>2.0</v>
      </c>
      <c r="E33" s="10"/>
      <c r="F33" s="12"/>
      <c r="G33" s="9"/>
      <c r="H33" s="9"/>
      <c r="I33" s="9"/>
      <c r="J33" s="11"/>
    </row>
    <row r="34" ht="14.25" customHeight="1">
      <c r="C34" s="8" t="s">
        <v>87</v>
      </c>
      <c r="D34" s="15">
        <v>0.02</v>
      </c>
      <c r="E34" s="16"/>
      <c r="F34" s="17"/>
      <c r="G34" s="15"/>
      <c r="H34" s="15"/>
      <c r="I34" s="15"/>
      <c r="J34" s="18"/>
    </row>
    <row r="35" ht="14.25" customHeight="1">
      <c r="C35" s="19"/>
      <c r="D35" s="20">
        <f>SUM(D21:D34)</f>
        <v>1000.12</v>
      </c>
      <c r="E35" s="21"/>
      <c r="F35" s="22">
        <f t="shared" ref="F35:I35" si="2">SUM(F21:F32)</f>
        <v>0</v>
      </c>
      <c r="G35" s="20">
        <f t="shared" si="2"/>
        <v>0</v>
      </c>
      <c r="H35" s="23">
        <f t="shared" si="2"/>
        <v>0</v>
      </c>
      <c r="I35" s="23">
        <f t="shared" si="2"/>
        <v>0</v>
      </c>
      <c r="J35" s="25"/>
    </row>
    <row r="36" ht="14.25" customHeight="1"/>
    <row r="37" ht="14.25" customHeight="1"/>
    <row r="38" ht="14.25" customHeight="1">
      <c r="C38" s="1" t="s">
        <v>94</v>
      </c>
      <c r="D38" s="2"/>
      <c r="E38" s="2"/>
      <c r="F38" s="2"/>
      <c r="G38" s="2"/>
      <c r="H38" s="2"/>
      <c r="I38" s="2"/>
      <c r="J38" s="3"/>
    </row>
    <row r="39" ht="14.25" customHeight="1">
      <c r="B39" s="4">
        <v>3.0</v>
      </c>
      <c r="C39" s="5" t="s">
        <v>4</v>
      </c>
      <c r="D39" s="6" t="s">
        <v>5</v>
      </c>
      <c r="E39" s="6" t="s">
        <v>8</v>
      </c>
      <c r="F39" s="6" t="s">
        <v>9</v>
      </c>
      <c r="G39" s="6" t="s">
        <v>11</v>
      </c>
      <c r="H39" s="6" t="s">
        <v>13</v>
      </c>
      <c r="I39" s="6" t="s">
        <v>14</v>
      </c>
      <c r="J39" s="7"/>
    </row>
    <row r="40" ht="14.25" customHeight="1">
      <c r="C40" s="8" t="s">
        <v>16</v>
      </c>
      <c r="D40" s="10">
        <v>809.0</v>
      </c>
      <c r="E40" s="10"/>
      <c r="F40" s="12">
        <f>(E40/1000)*D40</f>
        <v>0</v>
      </c>
      <c r="G40" s="9"/>
      <c r="H40" s="9"/>
      <c r="I40" s="9"/>
      <c r="J40" s="11" t="s">
        <v>19</v>
      </c>
    </row>
    <row r="41" ht="14.25" customHeight="1">
      <c r="C41" s="8" t="s">
        <v>32</v>
      </c>
      <c r="D41" s="10">
        <v>100.0</v>
      </c>
      <c r="E41" s="10"/>
      <c r="F41" s="12"/>
      <c r="G41" s="9"/>
      <c r="H41" s="9"/>
      <c r="I41" s="9"/>
      <c r="J41" s="11"/>
    </row>
    <row r="42" ht="14.25" customHeight="1">
      <c r="C42" s="8" t="s">
        <v>69</v>
      </c>
      <c r="D42" s="10">
        <v>8.0</v>
      </c>
      <c r="E42" s="10"/>
      <c r="F42" s="12"/>
      <c r="G42" s="9"/>
      <c r="H42" s="9"/>
      <c r="I42" s="9"/>
      <c r="J42" s="11"/>
    </row>
    <row r="43" ht="14.25" customHeight="1">
      <c r="C43" s="8" t="s">
        <v>71</v>
      </c>
      <c r="D43" s="10">
        <v>2.0</v>
      </c>
      <c r="E43" s="10"/>
      <c r="F43" s="12"/>
      <c r="G43" s="9"/>
      <c r="H43" s="9"/>
      <c r="I43" s="9"/>
      <c r="J43" s="11"/>
    </row>
    <row r="44" ht="14.25" customHeight="1">
      <c r="C44" s="8" t="s">
        <v>52</v>
      </c>
      <c r="D44" s="9">
        <v>2.5</v>
      </c>
      <c r="E44" s="10"/>
      <c r="F44" s="12"/>
      <c r="G44" s="9"/>
      <c r="H44" s="9"/>
      <c r="I44" s="9"/>
      <c r="J44" s="11"/>
    </row>
    <row r="45" ht="14.25" customHeight="1">
      <c r="C45" s="8" t="s">
        <v>65</v>
      </c>
      <c r="D45" s="10">
        <v>30.0</v>
      </c>
      <c r="E45" s="10"/>
      <c r="F45" s="12"/>
      <c r="G45" s="9"/>
      <c r="H45" s="9"/>
      <c r="I45" s="9"/>
      <c r="J45" s="11"/>
    </row>
    <row r="46" ht="14.25" customHeight="1">
      <c r="C46" s="8" t="s">
        <v>73</v>
      </c>
      <c r="D46" s="9">
        <v>20.0</v>
      </c>
      <c r="E46" s="10"/>
      <c r="F46" s="12"/>
      <c r="G46" s="9"/>
      <c r="H46" s="9"/>
      <c r="I46" s="9"/>
      <c r="J46" s="11"/>
    </row>
    <row r="47" ht="14.25" customHeight="1">
      <c r="C47" s="8" t="s">
        <v>78</v>
      </c>
      <c r="D47" s="9">
        <v>20.0</v>
      </c>
      <c r="E47" s="10"/>
      <c r="F47" s="12"/>
      <c r="G47" s="9"/>
      <c r="H47" s="9"/>
      <c r="I47" s="9"/>
      <c r="J47" s="11"/>
    </row>
    <row r="48" ht="14.25" customHeight="1">
      <c r="C48" s="8" t="s">
        <v>79</v>
      </c>
      <c r="D48" s="9">
        <v>0.1</v>
      </c>
      <c r="E48" s="10"/>
      <c r="F48" s="12"/>
      <c r="G48" s="9"/>
      <c r="H48" s="9"/>
      <c r="I48" s="9"/>
      <c r="J48" s="11"/>
    </row>
    <row r="49" ht="14.25" customHeight="1">
      <c r="C49" s="8" t="s">
        <v>22</v>
      </c>
      <c r="D49" s="9">
        <v>3.0</v>
      </c>
      <c r="E49" s="10"/>
      <c r="F49" s="12"/>
      <c r="G49" s="9"/>
      <c r="H49" s="9"/>
      <c r="I49" s="9"/>
      <c r="J49" s="11"/>
    </row>
    <row r="50" ht="14.25" customHeight="1">
      <c r="C50" s="8" t="s">
        <v>26</v>
      </c>
      <c r="D50" s="9">
        <v>2.0</v>
      </c>
      <c r="E50" s="10"/>
      <c r="F50" s="12"/>
      <c r="G50" s="9"/>
      <c r="H50" s="9"/>
      <c r="I50" s="9"/>
      <c r="J50" s="11"/>
    </row>
    <row r="51" ht="14.25" customHeight="1">
      <c r="C51" s="8" t="s">
        <v>84</v>
      </c>
      <c r="D51" s="27">
        <v>1.5</v>
      </c>
      <c r="E51" s="10"/>
      <c r="F51" s="12"/>
      <c r="G51" s="9"/>
      <c r="H51" s="9"/>
      <c r="I51" s="9"/>
      <c r="J51" s="11"/>
    </row>
    <row r="52" ht="14.25" customHeight="1">
      <c r="C52" s="8" t="s">
        <v>85</v>
      </c>
      <c r="D52" s="9">
        <v>2.0</v>
      </c>
      <c r="E52" s="10"/>
      <c r="F52" s="12"/>
      <c r="G52" s="9"/>
      <c r="H52" s="9"/>
      <c r="I52" s="9"/>
      <c r="J52" s="11"/>
    </row>
    <row r="53" ht="14.25" customHeight="1">
      <c r="C53" s="8" t="s">
        <v>87</v>
      </c>
      <c r="D53" s="15">
        <v>0.02</v>
      </c>
      <c r="E53" s="16"/>
      <c r="F53" s="17"/>
      <c r="G53" s="15"/>
      <c r="H53" s="15"/>
      <c r="I53" s="15"/>
      <c r="J53" s="18"/>
    </row>
    <row r="54" ht="14.25" customHeight="1">
      <c r="C54" s="19"/>
      <c r="D54" s="20">
        <f>SUM(D40:D53)</f>
        <v>1000.12</v>
      </c>
      <c r="E54" s="21"/>
      <c r="F54" s="22">
        <f t="shared" ref="F54:I54" si="3">SUM(F40:F51)</f>
        <v>0</v>
      </c>
      <c r="G54" s="20">
        <f t="shared" si="3"/>
        <v>0</v>
      </c>
      <c r="H54" s="23">
        <f t="shared" si="3"/>
        <v>0</v>
      </c>
      <c r="I54" s="23">
        <f t="shared" si="3"/>
        <v>0</v>
      </c>
      <c r="J54" s="25"/>
    </row>
    <row r="55" ht="14.25" customHeight="1"/>
    <row r="56" ht="14.25" customHeight="1"/>
    <row r="57" ht="14.25" customHeight="1">
      <c r="C57" s="1" t="s">
        <v>117</v>
      </c>
      <c r="D57" s="2"/>
      <c r="E57" s="2"/>
      <c r="F57" s="2"/>
      <c r="G57" s="2"/>
      <c r="H57" s="2"/>
      <c r="I57" s="2"/>
      <c r="J57" s="3"/>
    </row>
    <row r="58" ht="14.25" customHeight="1">
      <c r="B58" s="4">
        <v>4.0</v>
      </c>
      <c r="C58" s="5" t="s">
        <v>4</v>
      </c>
      <c r="D58" s="6" t="s">
        <v>5</v>
      </c>
      <c r="E58" s="6" t="s">
        <v>8</v>
      </c>
      <c r="F58" s="6" t="s">
        <v>9</v>
      </c>
      <c r="G58" s="6" t="s">
        <v>11</v>
      </c>
      <c r="H58" s="6" t="s">
        <v>13</v>
      </c>
      <c r="I58" s="6" t="s">
        <v>14</v>
      </c>
      <c r="J58" s="7"/>
    </row>
    <row r="59" ht="14.25" customHeight="1">
      <c r="C59" s="8" t="s">
        <v>120</v>
      </c>
      <c r="D59" s="9">
        <v>10.0</v>
      </c>
      <c r="E59" s="10"/>
      <c r="F59" s="12"/>
      <c r="G59" s="9"/>
      <c r="H59" s="9"/>
      <c r="I59" s="9"/>
      <c r="J59" s="11"/>
    </row>
    <row r="60" ht="14.25" customHeight="1">
      <c r="C60" s="8" t="s">
        <v>121</v>
      </c>
      <c r="D60" s="9">
        <v>10.0</v>
      </c>
      <c r="E60" s="10"/>
      <c r="F60" s="12"/>
      <c r="G60" s="9"/>
      <c r="H60" s="9"/>
      <c r="I60" s="9"/>
      <c r="J60" s="11"/>
    </row>
    <row r="61" ht="14.25" customHeight="1">
      <c r="C61" s="8" t="s">
        <v>123</v>
      </c>
      <c r="D61" s="9">
        <v>575.0</v>
      </c>
      <c r="E61" s="10"/>
      <c r="F61" s="12"/>
      <c r="G61" s="9"/>
      <c r="H61" s="9"/>
      <c r="I61" s="9"/>
      <c r="J61" s="11"/>
    </row>
    <row r="62" ht="14.25" customHeight="1">
      <c r="C62" s="8" t="s">
        <v>16</v>
      </c>
      <c r="D62" s="9">
        <v>376.0</v>
      </c>
      <c r="E62" s="10"/>
      <c r="F62" s="12"/>
      <c r="G62" s="9"/>
      <c r="H62" s="9"/>
      <c r="I62" s="9"/>
      <c r="J62" s="11"/>
    </row>
    <row r="63" ht="14.25" customHeight="1">
      <c r="C63" s="8" t="s">
        <v>71</v>
      </c>
      <c r="D63" s="9">
        <v>12.0</v>
      </c>
      <c r="E63" s="10"/>
      <c r="F63" s="12"/>
      <c r="G63" s="9" t="s">
        <v>130</v>
      </c>
      <c r="H63" s="9"/>
      <c r="I63" s="9"/>
      <c r="J63" s="11"/>
    </row>
    <row r="64" ht="14.25" customHeight="1">
      <c r="C64" s="8" t="s">
        <v>22</v>
      </c>
      <c r="D64" s="9">
        <v>1.0</v>
      </c>
      <c r="E64" s="10"/>
      <c r="F64" s="12"/>
      <c r="G64" s="9"/>
      <c r="H64" s="9"/>
      <c r="I64" s="9"/>
      <c r="J64" s="11"/>
    </row>
    <row r="65" ht="14.25" customHeight="1">
      <c r="C65" s="8" t="s">
        <v>26</v>
      </c>
      <c r="D65" s="9">
        <v>1.0</v>
      </c>
      <c r="E65" s="10"/>
      <c r="F65" s="12"/>
      <c r="G65" s="9"/>
      <c r="H65" s="9"/>
      <c r="I65" s="9"/>
      <c r="J65" s="11"/>
    </row>
    <row r="66" ht="14.25" customHeight="1">
      <c r="C66" s="8" t="s">
        <v>52</v>
      </c>
      <c r="D66" s="9">
        <v>12.0</v>
      </c>
      <c r="E66" s="10"/>
      <c r="F66" s="12"/>
      <c r="G66" s="9"/>
      <c r="H66" s="9"/>
      <c r="I66" s="9"/>
      <c r="J66" s="11"/>
    </row>
    <row r="67" ht="14.25" customHeight="1">
      <c r="C67" s="8" t="s">
        <v>135</v>
      </c>
      <c r="D67" s="10">
        <v>2.5</v>
      </c>
      <c r="E67" s="10"/>
      <c r="F67" s="12"/>
      <c r="G67" s="9"/>
      <c r="H67" s="9"/>
      <c r="I67" s="9"/>
      <c r="J67" s="11"/>
    </row>
    <row r="68" ht="14.25" customHeight="1">
      <c r="C68" s="19"/>
      <c r="D68" s="20">
        <f>SUM(D59:D67)</f>
        <v>999.5</v>
      </c>
      <c r="E68" s="21"/>
      <c r="F68" s="22">
        <f t="shared" ref="F68:I68" si="4">SUM(F59:F67)</f>
        <v>0</v>
      </c>
      <c r="G68" s="20">
        <f t="shared" si="4"/>
        <v>0</v>
      </c>
      <c r="H68" s="23">
        <f t="shared" si="4"/>
        <v>0</v>
      </c>
      <c r="I68" s="23">
        <f t="shared" si="4"/>
        <v>0</v>
      </c>
      <c r="J68" s="25"/>
    </row>
    <row r="69" ht="14.25" customHeight="1"/>
    <row r="70" ht="14.25" customHeight="1"/>
    <row r="71" ht="14.25" customHeight="1">
      <c r="C71" s="1" t="s">
        <v>141</v>
      </c>
      <c r="D71" s="2"/>
      <c r="E71" s="2"/>
      <c r="F71" s="2"/>
      <c r="G71" s="2"/>
      <c r="H71" s="2"/>
      <c r="I71" s="2"/>
      <c r="J71" s="3"/>
    </row>
    <row r="72" ht="14.25" customHeight="1">
      <c r="B72" s="4">
        <v>5.0</v>
      </c>
      <c r="C72" s="5" t="s">
        <v>4</v>
      </c>
      <c r="D72" s="6" t="s">
        <v>5</v>
      </c>
      <c r="E72" s="6" t="s">
        <v>8</v>
      </c>
      <c r="F72" s="6" t="s">
        <v>9</v>
      </c>
      <c r="G72" s="6" t="s">
        <v>102</v>
      </c>
      <c r="H72" s="6" t="s">
        <v>13</v>
      </c>
      <c r="I72" s="6" t="s">
        <v>14</v>
      </c>
      <c r="J72" s="7"/>
    </row>
    <row r="73" ht="14.25" customHeight="1">
      <c r="C73" s="8" t="s">
        <v>71</v>
      </c>
      <c r="D73" s="9">
        <v>10.0</v>
      </c>
      <c r="E73" s="10"/>
      <c r="F73" s="12"/>
      <c r="G73" s="9"/>
      <c r="H73" s="9"/>
      <c r="I73" s="9"/>
      <c r="J73" s="11"/>
    </row>
    <row r="74" ht="14.25" customHeight="1">
      <c r="C74" s="8" t="s">
        <v>52</v>
      </c>
      <c r="D74" s="9">
        <v>10.0</v>
      </c>
      <c r="E74" s="10"/>
      <c r="F74" s="12"/>
      <c r="G74" s="9"/>
      <c r="H74" s="9"/>
      <c r="I74" s="9"/>
      <c r="J74" s="11"/>
    </row>
    <row r="75" ht="14.25" customHeight="1">
      <c r="C75" s="8" t="s">
        <v>145</v>
      </c>
      <c r="D75" s="9">
        <v>50.0</v>
      </c>
      <c r="E75" s="10"/>
      <c r="F75" s="12"/>
      <c r="G75" s="9"/>
      <c r="H75" s="9"/>
      <c r="I75" s="9"/>
      <c r="J75" s="11"/>
    </row>
    <row r="76" ht="14.25" customHeight="1">
      <c r="C76" s="8" t="s">
        <v>45</v>
      </c>
      <c r="D76" s="9">
        <v>20.0</v>
      </c>
      <c r="E76" s="10"/>
      <c r="F76" s="12"/>
      <c r="G76" s="9"/>
      <c r="H76" s="9"/>
      <c r="I76" s="9"/>
      <c r="J76" s="11"/>
    </row>
    <row r="77" ht="14.25" customHeight="1">
      <c r="C77" s="8" t="s">
        <v>150</v>
      </c>
      <c r="D77" s="9">
        <v>10.0</v>
      </c>
      <c r="E77" s="10"/>
      <c r="F77" s="12"/>
      <c r="G77" s="9"/>
      <c r="H77" s="9"/>
      <c r="I77" s="9"/>
      <c r="J77" s="11"/>
    </row>
    <row r="78" ht="14.25" customHeight="1">
      <c r="C78" s="8" t="s">
        <v>79</v>
      </c>
      <c r="D78" s="9">
        <v>5.0</v>
      </c>
      <c r="E78" s="10"/>
      <c r="F78" s="12"/>
      <c r="G78" s="9"/>
      <c r="H78" s="9"/>
      <c r="I78" s="9"/>
      <c r="J78" s="11"/>
    </row>
    <row r="79" ht="14.25" customHeight="1">
      <c r="C79" s="8" t="s">
        <v>32</v>
      </c>
      <c r="D79" s="9">
        <v>30.0</v>
      </c>
      <c r="E79" s="10"/>
      <c r="F79" s="12"/>
      <c r="G79" s="9"/>
      <c r="H79" s="9"/>
      <c r="I79" s="9"/>
      <c r="J79" s="11"/>
    </row>
    <row r="80" ht="14.25" customHeight="1">
      <c r="C80" s="8" t="s">
        <v>116</v>
      </c>
      <c r="D80" s="9">
        <v>2.0</v>
      </c>
      <c r="E80" s="10"/>
      <c r="F80" s="12"/>
      <c r="G80" s="9"/>
      <c r="H80" s="9"/>
      <c r="I80" s="9"/>
      <c r="J80" s="11"/>
    </row>
    <row r="81" ht="14.25" customHeight="1">
      <c r="C81" s="8" t="s">
        <v>104</v>
      </c>
      <c r="D81" s="10">
        <v>863.0</v>
      </c>
      <c r="E81" s="10"/>
      <c r="F81" s="12"/>
      <c r="G81" s="9"/>
      <c r="H81" s="9"/>
      <c r="I81" s="9"/>
      <c r="J81" s="11"/>
    </row>
    <row r="82" ht="14.25" customHeight="1">
      <c r="C82" s="19"/>
      <c r="D82" s="20">
        <f>SUM(D73:D81)</f>
        <v>1000</v>
      </c>
      <c r="E82" s="21"/>
      <c r="F82" s="22">
        <f t="shared" ref="F82:I82" si="5">SUM(F73:F81)</f>
        <v>0</v>
      </c>
      <c r="G82" s="20">
        <f t="shared" si="5"/>
        <v>0</v>
      </c>
      <c r="H82" s="23">
        <f t="shared" si="5"/>
        <v>0</v>
      </c>
      <c r="I82" s="23">
        <f t="shared" si="5"/>
        <v>0</v>
      </c>
      <c r="J82" s="25"/>
    </row>
    <row r="83" ht="14.25" customHeight="1"/>
    <row r="84" ht="14.25" customHeight="1"/>
    <row r="85" ht="14.25" customHeight="1">
      <c r="C85" s="1" t="s">
        <v>165</v>
      </c>
      <c r="D85" s="2"/>
      <c r="E85" s="2"/>
      <c r="F85" s="2"/>
      <c r="G85" s="2"/>
      <c r="H85" s="2"/>
      <c r="I85" s="2"/>
      <c r="J85" s="3"/>
    </row>
    <row r="86" ht="14.25" customHeight="1">
      <c r="B86" s="4">
        <v>5.0</v>
      </c>
      <c r="C86" s="5" t="s">
        <v>4</v>
      </c>
      <c r="D86" s="6" t="s">
        <v>5</v>
      </c>
      <c r="E86" s="6" t="s">
        <v>8</v>
      </c>
      <c r="F86" s="6" t="s">
        <v>9</v>
      </c>
      <c r="G86" s="6" t="s">
        <v>167</v>
      </c>
      <c r="H86" s="6" t="s">
        <v>13</v>
      </c>
      <c r="I86" s="6" t="s">
        <v>14</v>
      </c>
      <c r="J86" s="7"/>
    </row>
    <row r="87" ht="14.25" customHeight="1">
      <c r="C87" s="8" t="s">
        <v>104</v>
      </c>
      <c r="D87" s="9">
        <v>870.0</v>
      </c>
      <c r="E87" s="10"/>
      <c r="F87" s="12"/>
      <c r="G87" s="9">
        <f t="shared" ref="G87:G100" si="6">+D87*29</f>
        <v>25230</v>
      </c>
      <c r="H87" s="9"/>
      <c r="I87" s="9"/>
      <c r="J87" s="11"/>
    </row>
    <row r="88" ht="14.25" customHeight="1">
      <c r="C88" s="8" t="s">
        <v>172</v>
      </c>
      <c r="D88" s="9">
        <v>12.0</v>
      </c>
      <c r="E88" s="10"/>
      <c r="F88" s="12"/>
      <c r="G88" s="9">
        <f t="shared" si="6"/>
        <v>348</v>
      </c>
      <c r="H88" s="9"/>
      <c r="I88" s="9"/>
      <c r="J88" s="11"/>
    </row>
    <row r="89" ht="14.25" customHeight="1">
      <c r="C89" s="8" t="s">
        <v>173</v>
      </c>
      <c r="D89" s="9">
        <v>2.0</v>
      </c>
      <c r="E89" s="10"/>
      <c r="F89" s="12"/>
      <c r="G89" s="9">
        <f t="shared" si="6"/>
        <v>58</v>
      </c>
      <c r="H89" s="9"/>
      <c r="I89" s="9"/>
      <c r="J89" s="11"/>
    </row>
    <row r="90" ht="14.25" customHeight="1">
      <c r="C90" s="8" t="s">
        <v>22</v>
      </c>
      <c r="D90" s="9">
        <v>1.0</v>
      </c>
      <c r="E90" s="10"/>
      <c r="F90" s="12"/>
      <c r="G90" s="9">
        <f t="shared" si="6"/>
        <v>29</v>
      </c>
      <c r="H90" s="9"/>
      <c r="I90" s="9"/>
      <c r="J90" s="11"/>
    </row>
    <row r="91" ht="14.25" customHeight="1">
      <c r="C91" s="8" t="s">
        <v>26</v>
      </c>
      <c r="D91" s="10">
        <v>0.5</v>
      </c>
      <c r="E91" s="10"/>
      <c r="F91" s="12"/>
      <c r="G91" s="9">
        <f t="shared" si="6"/>
        <v>14.5</v>
      </c>
      <c r="H91" s="9"/>
      <c r="I91" s="9"/>
      <c r="J91" s="11"/>
    </row>
    <row r="92" ht="14.25" customHeight="1">
      <c r="C92" s="8" t="s">
        <v>177</v>
      </c>
      <c r="D92" s="10">
        <v>0.5</v>
      </c>
      <c r="E92" s="10"/>
      <c r="F92" s="12"/>
      <c r="G92" s="9">
        <f t="shared" si="6"/>
        <v>14.5</v>
      </c>
      <c r="H92" s="9"/>
      <c r="I92" s="9"/>
      <c r="J92" s="11"/>
    </row>
    <row r="93" ht="14.25" customHeight="1">
      <c r="C93" s="8" t="s">
        <v>70</v>
      </c>
      <c r="D93" s="9">
        <v>12.0</v>
      </c>
      <c r="E93" s="10"/>
      <c r="F93" s="12"/>
      <c r="G93" s="9">
        <f t="shared" si="6"/>
        <v>348</v>
      </c>
      <c r="H93" s="9"/>
      <c r="I93" s="9"/>
      <c r="J93" s="11"/>
    </row>
    <row r="94" ht="14.25" customHeight="1">
      <c r="C94" s="8" t="s">
        <v>180</v>
      </c>
      <c r="D94" s="56">
        <v>0.02</v>
      </c>
      <c r="E94" s="10"/>
      <c r="F94" s="12"/>
      <c r="G94" s="9">
        <f t="shared" si="6"/>
        <v>0.58</v>
      </c>
      <c r="H94" s="9"/>
      <c r="I94" s="9"/>
      <c r="J94" s="11"/>
    </row>
    <row r="95" ht="14.25" customHeight="1">
      <c r="C95" s="8" t="s">
        <v>32</v>
      </c>
      <c r="D95" s="9">
        <v>50.0</v>
      </c>
      <c r="E95" s="10"/>
      <c r="F95" s="12"/>
      <c r="G95" s="9">
        <f t="shared" si="6"/>
        <v>1450</v>
      </c>
      <c r="H95" s="9"/>
      <c r="I95" s="9"/>
      <c r="J95" s="11"/>
    </row>
    <row r="96" ht="14.25" customHeight="1">
      <c r="C96" s="8" t="s">
        <v>84</v>
      </c>
      <c r="D96" s="15">
        <v>3.0</v>
      </c>
      <c r="E96" s="16"/>
      <c r="F96" s="17"/>
      <c r="G96" s="9">
        <f t="shared" si="6"/>
        <v>87</v>
      </c>
      <c r="H96" s="15"/>
      <c r="I96" s="15"/>
      <c r="J96" s="18"/>
    </row>
    <row r="97" ht="14.25" customHeight="1">
      <c r="C97" s="8" t="s">
        <v>157</v>
      </c>
      <c r="D97" s="15">
        <v>20.0</v>
      </c>
      <c r="E97" s="16"/>
      <c r="F97" s="17"/>
      <c r="G97" s="9">
        <f t="shared" si="6"/>
        <v>580</v>
      </c>
      <c r="H97" s="15"/>
      <c r="I97" s="15"/>
      <c r="J97" s="18"/>
    </row>
    <row r="98" ht="14.25" customHeight="1">
      <c r="C98" s="8" t="s">
        <v>189</v>
      </c>
      <c r="D98" s="15">
        <v>15.0</v>
      </c>
      <c r="E98" s="16"/>
      <c r="F98" s="17"/>
      <c r="G98" s="9">
        <f t="shared" si="6"/>
        <v>435</v>
      </c>
      <c r="H98" s="15"/>
      <c r="I98" s="15"/>
      <c r="J98" s="18"/>
    </row>
    <row r="99" ht="14.25" customHeight="1">
      <c r="C99" s="8" t="s">
        <v>191</v>
      </c>
      <c r="D99" s="15">
        <v>15.0</v>
      </c>
      <c r="E99" s="16"/>
      <c r="F99" s="17"/>
      <c r="G99" s="9">
        <f t="shared" si="6"/>
        <v>435</v>
      </c>
      <c r="H99" s="15"/>
      <c r="I99" s="15"/>
      <c r="J99" s="18"/>
    </row>
    <row r="100" ht="14.25" customHeight="1">
      <c r="C100" s="8" t="s">
        <v>193</v>
      </c>
      <c r="D100" s="15">
        <v>2.0</v>
      </c>
      <c r="E100" s="16"/>
      <c r="F100" s="17"/>
      <c r="G100" s="9">
        <f t="shared" si="6"/>
        <v>58</v>
      </c>
      <c r="H100" s="15"/>
      <c r="I100" s="15"/>
      <c r="J100" s="18"/>
    </row>
    <row r="101" ht="14.25" customHeight="1">
      <c r="C101" s="19"/>
      <c r="D101" s="20">
        <f>SUM(D87:D100)</f>
        <v>1003.02</v>
      </c>
      <c r="E101" s="21"/>
      <c r="F101" s="22">
        <f t="shared" ref="F101:I101" si="7">SUM(F87:F95)</f>
        <v>0</v>
      </c>
      <c r="G101" s="20">
        <f t="shared" si="7"/>
        <v>27492.58</v>
      </c>
      <c r="H101" s="23">
        <f t="shared" si="7"/>
        <v>0</v>
      </c>
      <c r="I101" s="23">
        <f t="shared" si="7"/>
        <v>0</v>
      </c>
      <c r="J101" s="25"/>
    </row>
    <row r="102" ht="14.25" customHeight="1"/>
    <row r="103" ht="14.25" customHeight="1"/>
    <row r="104" ht="14.25" customHeight="1">
      <c r="C104" s="1" t="s">
        <v>195</v>
      </c>
      <c r="D104" s="2"/>
      <c r="E104" s="2"/>
      <c r="F104" s="2"/>
      <c r="G104" s="2"/>
      <c r="H104" s="2"/>
      <c r="I104" s="2"/>
      <c r="J104" s="3"/>
    </row>
    <row r="105" ht="14.25" customHeight="1">
      <c r="B105" s="4">
        <v>5.0</v>
      </c>
      <c r="C105" s="5" t="s">
        <v>4</v>
      </c>
      <c r="D105" s="6" t="s">
        <v>5</v>
      </c>
      <c r="E105" s="6" t="s">
        <v>8</v>
      </c>
      <c r="F105" s="6" t="s">
        <v>9</v>
      </c>
      <c r="G105" s="6" t="s">
        <v>11</v>
      </c>
      <c r="H105" s="6" t="s">
        <v>13</v>
      </c>
      <c r="I105" s="6" t="s">
        <v>14</v>
      </c>
      <c r="J105" s="7"/>
    </row>
    <row r="106" ht="14.25" customHeight="1">
      <c r="C106" s="8" t="s">
        <v>198</v>
      </c>
      <c r="D106" s="9">
        <v>2.0</v>
      </c>
      <c r="E106" s="10"/>
      <c r="F106" s="12"/>
      <c r="G106" s="9"/>
      <c r="H106" s="9"/>
      <c r="I106" s="9"/>
      <c r="J106" s="11"/>
    </row>
    <row r="107" ht="14.25" customHeight="1">
      <c r="C107" s="8" t="s">
        <v>172</v>
      </c>
      <c r="D107" s="9">
        <v>8.0</v>
      </c>
      <c r="E107" s="10"/>
      <c r="F107" s="12"/>
      <c r="G107" s="9"/>
      <c r="H107" s="9"/>
      <c r="I107" s="9"/>
      <c r="J107" s="11"/>
    </row>
    <row r="108" ht="14.25" customHeight="1">
      <c r="C108" s="8" t="s">
        <v>32</v>
      </c>
      <c r="D108" s="9">
        <v>30.0</v>
      </c>
      <c r="E108" s="10"/>
      <c r="F108" s="12"/>
      <c r="G108" s="9"/>
      <c r="H108" s="9"/>
      <c r="I108" s="9"/>
      <c r="J108" s="11"/>
    </row>
    <row r="109" ht="14.25" customHeight="1">
      <c r="C109" s="8" t="s">
        <v>29</v>
      </c>
      <c r="D109" s="9">
        <v>20.0</v>
      </c>
      <c r="E109" s="10"/>
      <c r="F109" s="12"/>
      <c r="G109" s="9"/>
      <c r="H109" s="9"/>
      <c r="I109" s="9"/>
      <c r="J109" s="11"/>
    </row>
    <row r="110" ht="14.25" customHeight="1">
      <c r="C110" s="8" t="s">
        <v>70</v>
      </c>
      <c r="D110" s="9">
        <v>8.0</v>
      </c>
      <c r="E110" s="10"/>
      <c r="F110" s="12"/>
      <c r="G110" s="9"/>
      <c r="H110" s="9"/>
      <c r="I110" s="9"/>
      <c r="J110" s="11"/>
    </row>
    <row r="111" ht="14.25" customHeight="1">
      <c r="C111" s="8" t="s">
        <v>116</v>
      </c>
      <c r="D111" s="9">
        <v>2.0</v>
      </c>
      <c r="E111" s="10"/>
      <c r="F111" s="12"/>
      <c r="G111" s="9"/>
      <c r="H111" s="9"/>
      <c r="I111" s="9"/>
      <c r="J111" s="11"/>
    </row>
    <row r="112" ht="14.25" customHeight="1">
      <c r="C112" s="8" t="s">
        <v>202</v>
      </c>
      <c r="D112" s="10">
        <v>2.5</v>
      </c>
      <c r="E112" s="10"/>
      <c r="F112" s="12"/>
      <c r="G112" s="9"/>
      <c r="H112" s="9"/>
      <c r="I112" s="9"/>
      <c r="J112" s="11"/>
    </row>
    <row r="113" ht="14.25" customHeight="1">
      <c r="C113" s="8" t="s">
        <v>104</v>
      </c>
      <c r="D113" s="59">
        <v>928.0</v>
      </c>
      <c r="E113" s="10"/>
      <c r="F113" s="12"/>
      <c r="G113" s="9"/>
      <c r="H113" s="9"/>
      <c r="I113" s="9"/>
      <c r="J113" s="11"/>
    </row>
    <row r="114" ht="14.25" customHeight="1">
      <c r="C114" s="19"/>
      <c r="D114" s="20">
        <f>SUM(D106:D113)</f>
        <v>1000.5</v>
      </c>
      <c r="E114" s="21"/>
      <c r="F114" s="22">
        <f t="shared" ref="F114:I114" si="8">SUM(F106:F113)</f>
        <v>0</v>
      </c>
      <c r="G114" s="20">
        <f t="shared" si="8"/>
        <v>0</v>
      </c>
      <c r="H114" s="23">
        <f t="shared" si="8"/>
        <v>0</v>
      </c>
      <c r="I114" s="23">
        <f t="shared" si="8"/>
        <v>0</v>
      </c>
      <c r="J114" s="25"/>
    </row>
    <row r="115" ht="14.25" customHeight="1"/>
    <row r="116" ht="14.25" customHeight="1"/>
    <row r="117" ht="14.25" customHeight="1">
      <c r="C117" s="1" t="s">
        <v>206</v>
      </c>
      <c r="D117" s="2"/>
      <c r="E117" s="2"/>
      <c r="F117" s="2"/>
      <c r="G117" s="2"/>
      <c r="H117" s="2"/>
      <c r="I117" s="2"/>
      <c r="J117" s="3"/>
    </row>
    <row r="118" ht="14.25" customHeight="1">
      <c r="B118" s="4">
        <v>5.0</v>
      </c>
      <c r="C118" s="5" t="s">
        <v>4</v>
      </c>
      <c r="D118" s="6" t="s">
        <v>5</v>
      </c>
      <c r="E118" s="6" t="s">
        <v>8</v>
      </c>
      <c r="F118" s="6" t="s">
        <v>9</v>
      </c>
      <c r="G118" s="6" t="s">
        <v>11</v>
      </c>
      <c r="H118" s="6" t="s">
        <v>13</v>
      </c>
      <c r="I118" s="6" t="s">
        <v>14</v>
      </c>
      <c r="J118" s="7"/>
    </row>
    <row r="119" ht="14.25" customHeight="1">
      <c r="C119" s="8" t="s">
        <v>104</v>
      </c>
      <c r="D119" s="9">
        <v>918.0</v>
      </c>
      <c r="E119" s="10"/>
      <c r="F119" s="12"/>
      <c r="G119" s="9"/>
      <c r="H119" s="9"/>
      <c r="I119" s="9"/>
      <c r="J119" s="11"/>
    </row>
    <row r="120" ht="14.25" customHeight="1">
      <c r="C120" s="8" t="s">
        <v>172</v>
      </c>
      <c r="D120" s="9">
        <v>12.0</v>
      </c>
      <c r="E120" s="10"/>
      <c r="F120" s="12"/>
      <c r="G120" s="9"/>
      <c r="H120" s="9"/>
      <c r="I120" s="9"/>
      <c r="J120" s="11"/>
    </row>
    <row r="121" ht="14.25" customHeight="1">
      <c r="C121" s="8" t="s">
        <v>22</v>
      </c>
      <c r="D121" s="9">
        <v>2.0</v>
      </c>
      <c r="E121" s="10"/>
      <c r="F121" s="12"/>
      <c r="G121" s="9"/>
      <c r="H121" s="9"/>
      <c r="I121" s="9"/>
      <c r="J121" s="11"/>
    </row>
    <row r="122" ht="14.25" customHeight="1">
      <c r="C122" s="8" t="s">
        <v>26</v>
      </c>
      <c r="D122" s="9">
        <v>2.0</v>
      </c>
      <c r="E122" s="10"/>
      <c r="F122" s="12"/>
      <c r="G122" s="9"/>
      <c r="H122" s="9"/>
      <c r="I122" s="9"/>
      <c r="J122" s="11"/>
    </row>
    <row r="123" ht="14.25" customHeight="1">
      <c r="C123" s="8" t="s">
        <v>70</v>
      </c>
      <c r="D123" s="9">
        <v>12.0</v>
      </c>
      <c r="E123" s="10"/>
      <c r="F123" s="12"/>
      <c r="G123" s="9"/>
      <c r="H123" s="9"/>
      <c r="I123" s="9"/>
      <c r="J123" s="11"/>
    </row>
    <row r="124" ht="14.25" customHeight="1">
      <c r="C124" s="8" t="s">
        <v>39</v>
      </c>
      <c r="D124" s="10">
        <v>2.5</v>
      </c>
      <c r="E124" s="10"/>
      <c r="F124" s="12"/>
      <c r="G124" s="9"/>
      <c r="H124" s="9"/>
      <c r="I124" s="9"/>
      <c r="J124" s="11"/>
    </row>
    <row r="125" ht="14.25" customHeight="1">
      <c r="C125" s="8" t="s">
        <v>32</v>
      </c>
      <c r="D125" s="9">
        <v>50.0</v>
      </c>
      <c r="E125" s="10"/>
      <c r="F125" s="12"/>
      <c r="G125" s="9"/>
      <c r="H125" s="9"/>
      <c r="I125" s="9"/>
      <c r="J125" s="11"/>
    </row>
    <row r="126" ht="14.25" customHeight="1">
      <c r="C126" s="8" t="s">
        <v>116</v>
      </c>
      <c r="D126" s="9">
        <v>2.0</v>
      </c>
      <c r="E126" s="10"/>
      <c r="F126" s="12"/>
      <c r="G126" s="9"/>
      <c r="H126" s="9"/>
      <c r="I126" s="9"/>
      <c r="J126" s="11"/>
    </row>
    <row r="127" ht="14.25" customHeight="1">
      <c r="C127" s="8" t="s">
        <v>213</v>
      </c>
      <c r="D127" s="10">
        <v>10.0</v>
      </c>
      <c r="E127" s="10"/>
      <c r="F127" s="12"/>
      <c r="G127" s="9"/>
      <c r="H127" s="9"/>
      <c r="I127" s="9"/>
      <c r="J127" s="11"/>
    </row>
    <row r="128" ht="14.25" customHeight="1">
      <c r="C128" s="19"/>
      <c r="D128" s="20">
        <f>SUM(D119:D127)</f>
        <v>1010.5</v>
      </c>
      <c r="E128" s="21"/>
      <c r="F128" s="22">
        <f t="shared" ref="F128:I128" si="9">SUM(F119:F127)</f>
        <v>0</v>
      </c>
      <c r="G128" s="20">
        <f t="shared" si="9"/>
        <v>0</v>
      </c>
      <c r="H128" s="23">
        <f t="shared" si="9"/>
        <v>0</v>
      </c>
      <c r="I128" s="23">
        <f t="shared" si="9"/>
        <v>0</v>
      </c>
      <c r="J128" s="25"/>
    </row>
    <row r="129" ht="14.25" customHeight="1"/>
    <row r="130" ht="14.25" customHeight="1"/>
    <row r="131" ht="14.25" customHeight="1"/>
    <row r="132" ht="14.25" customHeight="1">
      <c r="C132" s="1" t="s">
        <v>222</v>
      </c>
      <c r="D132" s="2"/>
      <c r="E132" s="2"/>
      <c r="F132" s="2"/>
      <c r="G132" s="2"/>
      <c r="H132" s="2"/>
      <c r="I132" s="2"/>
      <c r="J132" s="3"/>
    </row>
    <row r="133" ht="14.25" customHeight="1">
      <c r="B133" s="4">
        <v>5.0</v>
      </c>
      <c r="C133" s="5" t="s">
        <v>4</v>
      </c>
      <c r="D133" s="6" t="s">
        <v>5</v>
      </c>
      <c r="E133" s="6" t="s">
        <v>8</v>
      </c>
      <c r="F133" s="6" t="s">
        <v>9</v>
      </c>
      <c r="G133" s="6" t="s">
        <v>11</v>
      </c>
      <c r="H133" s="6" t="s">
        <v>13</v>
      </c>
      <c r="I133" s="6" t="s">
        <v>14</v>
      </c>
      <c r="J133" s="7"/>
    </row>
    <row r="134" ht="14.25" customHeight="1">
      <c r="C134" s="8" t="s">
        <v>104</v>
      </c>
      <c r="D134" s="9">
        <v>880.0</v>
      </c>
      <c r="E134" s="10"/>
      <c r="F134" s="12"/>
      <c r="G134" s="9"/>
      <c r="H134" s="9"/>
      <c r="I134" s="9"/>
      <c r="J134" s="11"/>
    </row>
    <row r="135" ht="14.25" customHeight="1">
      <c r="C135" s="8" t="s">
        <v>40</v>
      </c>
      <c r="D135" s="9">
        <v>11.0</v>
      </c>
      <c r="E135" s="10"/>
      <c r="F135" s="12"/>
      <c r="G135" s="9"/>
      <c r="H135" s="9"/>
      <c r="I135" s="9"/>
      <c r="J135" s="11"/>
    </row>
    <row r="136" ht="14.25" customHeight="1">
      <c r="C136" s="8" t="s">
        <v>173</v>
      </c>
      <c r="D136" s="9">
        <v>2.0</v>
      </c>
      <c r="E136" s="10"/>
      <c r="F136" s="12"/>
      <c r="G136" s="9"/>
      <c r="H136" s="9"/>
      <c r="I136" s="9"/>
      <c r="J136" s="11"/>
    </row>
    <row r="137" ht="14.25" customHeight="1">
      <c r="C137" s="8" t="s">
        <v>22</v>
      </c>
      <c r="D137" s="9">
        <v>1.0</v>
      </c>
      <c r="E137" s="10"/>
      <c r="F137" s="12"/>
      <c r="G137" s="9"/>
      <c r="H137" s="9"/>
      <c r="I137" s="9"/>
      <c r="J137" s="11"/>
    </row>
    <row r="138" ht="14.25" customHeight="1">
      <c r="C138" s="8" t="s">
        <v>26</v>
      </c>
      <c r="D138" s="10">
        <v>0.5</v>
      </c>
      <c r="E138" s="10"/>
      <c r="F138" s="12"/>
      <c r="G138" s="9"/>
      <c r="H138" s="9"/>
      <c r="I138" s="9"/>
      <c r="J138" s="11"/>
    </row>
    <row r="139" ht="14.25" customHeight="1">
      <c r="C139" s="8" t="s">
        <v>177</v>
      </c>
      <c r="D139" s="10">
        <v>0.5</v>
      </c>
      <c r="E139" s="10"/>
      <c r="F139" s="12"/>
      <c r="G139" s="9"/>
      <c r="H139" s="9"/>
      <c r="I139" s="9"/>
      <c r="J139" s="11"/>
    </row>
    <row r="140" ht="14.25" customHeight="1">
      <c r="C140" s="8" t="s">
        <v>70</v>
      </c>
      <c r="D140" s="9">
        <v>11.0</v>
      </c>
      <c r="E140" s="10"/>
      <c r="F140" s="12"/>
      <c r="G140" s="9"/>
      <c r="H140" s="9"/>
      <c r="I140" s="9"/>
      <c r="J140" s="11"/>
    </row>
    <row r="141" ht="14.25" customHeight="1">
      <c r="C141" s="8" t="s">
        <v>233</v>
      </c>
      <c r="D141" s="9">
        <v>1.0</v>
      </c>
      <c r="E141" s="10"/>
      <c r="F141" s="12"/>
      <c r="G141" s="9"/>
      <c r="H141" s="9"/>
      <c r="I141" s="9"/>
      <c r="J141" s="11"/>
    </row>
    <row r="142" ht="14.25" customHeight="1">
      <c r="C142" s="8" t="s">
        <v>32</v>
      </c>
      <c r="D142" s="9">
        <v>50.0</v>
      </c>
      <c r="E142" s="10"/>
      <c r="F142" s="12"/>
      <c r="G142" s="9"/>
      <c r="H142" s="9"/>
      <c r="I142" s="9"/>
      <c r="J142" s="11"/>
    </row>
    <row r="143" ht="14.25" customHeight="1">
      <c r="C143" s="8" t="s">
        <v>84</v>
      </c>
      <c r="D143" s="9">
        <v>3.0</v>
      </c>
      <c r="E143" s="10"/>
      <c r="F143" s="17"/>
      <c r="G143" s="15"/>
      <c r="H143" s="15"/>
      <c r="I143" s="15"/>
      <c r="J143" s="18"/>
    </row>
    <row r="144" ht="14.25" customHeight="1">
      <c r="C144" s="8" t="s">
        <v>157</v>
      </c>
      <c r="D144" s="9">
        <v>40.0</v>
      </c>
      <c r="E144" s="10"/>
      <c r="F144" s="17"/>
      <c r="G144" s="15"/>
      <c r="H144" s="15"/>
      <c r="I144" s="15"/>
      <c r="J144" s="18"/>
    </row>
    <row r="145" ht="14.25" customHeight="1">
      <c r="C145" s="19"/>
      <c r="D145" s="20">
        <f>SUM(D134:D144)</f>
        <v>1000</v>
      </c>
      <c r="E145" s="21"/>
      <c r="F145" s="22">
        <f t="shared" ref="F145:I145" si="10">SUM(F134:F142)</f>
        <v>0</v>
      </c>
      <c r="G145" s="20">
        <f t="shared" si="10"/>
        <v>0</v>
      </c>
      <c r="H145" s="23">
        <f t="shared" si="10"/>
        <v>0</v>
      </c>
      <c r="I145" s="23">
        <f t="shared" si="10"/>
        <v>0</v>
      </c>
      <c r="J145" s="25"/>
    </row>
    <row r="146" ht="14.25" customHeight="1"/>
    <row r="147" ht="14.25" customHeight="1"/>
    <row r="148" ht="14.25" customHeight="1">
      <c r="C148" s="48" t="s">
        <v>243</v>
      </c>
      <c r="D148" s="49"/>
      <c r="E148" s="49"/>
      <c r="F148" s="49"/>
      <c r="G148" s="49"/>
      <c r="H148" s="49"/>
      <c r="I148" s="49"/>
      <c r="J148" s="50"/>
    </row>
    <row r="149" ht="14.25" customHeight="1">
      <c r="B149" s="4">
        <v>5.0</v>
      </c>
      <c r="C149" s="5" t="s">
        <v>4</v>
      </c>
      <c r="D149" s="6" t="s">
        <v>5</v>
      </c>
      <c r="E149" s="6" t="s">
        <v>8</v>
      </c>
      <c r="F149" s="6" t="s">
        <v>244</v>
      </c>
      <c r="G149" s="6" t="s">
        <v>247</v>
      </c>
      <c r="H149" s="6" t="s">
        <v>247</v>
      </c>
      <c r="I149" s="7"/>
      <c r="J149" s="7"/>
    </row>
    <row r="150" ht="14.25" customHeight="1">
      <c r="C150" s="13" t="s">
        <v>104</v>
      </c>
      <c r="D150" s="9">
        <v>904.0</v>
      </c>
      <c r="E150" s="62"/>
      <c r="F150" s="9"/>
      <c r="G150" s="9"/>
      <c r="H150" s="9"/>
      <c r="I150" s="8"/>
      <c r="J150" s="8"/>
    </row>
    <row r="151" ht="14.25" customHeight="1">
      <c r="C151" s="13" t="s">
        <v>88</v>
      </c>
      <c r="D151" s="9">
        <v>20.0</v>
      </c>
      <c r="E151" s="62"/>
      <c r="F151" s="9"/>
      <c r="G151" s="9"/>
      <c r="H151" s="9"/>
      <c r="I151" s="8"/>
      <c r="J151" s="8"/>
    </row>
    <row r="152" ht="14.25" customHeight="1">
      <c r="C152" s="13" t="s">
        <v>34</v>
      </c>
      <c r="D152" s="9">
        <v>20.0</v>
      </c>
      <c r="E152" s="62"/>
      <c r="F152" s="9"/>
      <c r="G152" s="9"/>
      <c r="H152" s="9"/>
      <c r="I152" s="8"/>
      <c r="J152" s="8"/>
    </row>
    <row r="153" ht="14.25" customHeight="1">
      <c r="C153" s="13" t="s">
        <v>69</v>
      </c>
      <c r="D153" s="9">
        <v>20.0</v>
      </c>
      <c r="E153" s="62"/>
      <c r="F153" s="9"/>
      <c r="G153" s="9"/>
      <c r="H153" s="9"/>
      <c r="I153" s="8"/>
      <c r="J153" s="8"/>
    </row>
    <row r="154" ht="14.25" customHeight="1">
      <c r="C154" s="13" t="s">
        <v>70</v>
      </c>
      <c r="D154" s="24">
        <v>10.0</v>
      </c>
      <c r="E154" s="63"/>
      <c r="F154" s="9"/>
      <c r="G154" s="9"/>
      <c r="H154" s="9"/>
      <c r="I154" s="8"/>
      <c r="J154" s="8"/>
    </row>
    <row r="155" ht="14.25" customHeight="1">
      <c r="C155" s="13" t="s">
        <v>251</v>
      </c>
      <c r="D155" s="24">
        <v>5.0</v>
      </c>
      <c r="E155" s="63"/>
      <c r="F155" s="9"/>
      <c r="G155" s="9"/>
      <c r="H155" s="9"/>
      <c r="I155" s="8"/>
      <c r="J155" s="8"/>
    </row>
    <row r="156" ht="14.25" customHeight="1">
      <c r="C156" s="13" t="s">
        <v>252</v>
      </c>
      <c r="D156" s="24">
        <v>10.0</v>
      </c>
      <c r="E156" s="63"/>
      <c r="F156" s="9"/>
      <c r="G156" s="9"/>
      <c r="H156" s="9"/>
      <c r="I156" s="8"/>
      <c r="J156" s="8"/>
    </row>
    <row r="157" ht="14.25" customHeight="1">
      <c r="C157" s="13" t="s">
        <v>254</v>
      </c>
      <c r="D157" s="24">
        <v>5.0</v>
      </c>
      <c r="E157" s="63"/>
      <c r="F157" s="9"/>
      <c r="G157" s="9"/>
      <c r="H157" s="9"/>
      <c r="I157" s="8"/>
      <c r="J157" s="8"/>
    </row>
    <row r="158" ht="14.25" customHeight="1">
      <c r="C158" s="13" t="s">
        <v>255</v>
      </c>
      <c r="D158" s="32">
        <v>0.5</v>
      </c>
      <c r="E158" s="63"/>
      <c r="F158" s="9"/>
      <c r="G158" s="9"/>
      <c r="H158" s="9"/>
      <c r="I158" s="8"/>
      <c r="J158" s="8"/>
    </row>
    <row r="159" ht="14.25" customHeight="1">
      <c r="C159" s="13" t="s">
        <v>256</v>
      </c>
      <c r="D159" s="24">
        <v>1.0</v>
      </c>
      <c r="E159" s="63"/>
      <c r="F159" s="9"/>
      <c r="G159" s="9"/>
      <c r="H159" s="9"/>
      <c r="I159" s="8"/>
      <c r="J159" s="8"/>
    </row>
    <row r="160" ht="14.25" customHeight="1">
      <c r="C160" s="13" t="s">
        <v>205</v>
      </c>
      <c r="D160" s="24">
        <v>10.0</v>
      </c>
      <c r="E160" s="63"/>
      <c r="F160" s="9"/>
      <c r="G160" s="9"/>
      <c r="H160" s="9"/>
      <c r="I160" s="8"/>
      <c r="J160" s="8"/>
    </row>
    <row r="161" ht="14.25" customHeight="1">
      <c r="D161" s="28">
        <f>SUM(D150:D160)</f>
        <v>1005.5</v>
      </c>
      <c r="E161" s="29"/>
      <c r="F161" s="28">
        <f t="shared" ref="F161:H161" si="11">SUM(F150:F160)</f>
        <v>0</v>
      </c>
      <c r="G161" s="31">
        <f t="shared" si="11"/>
        <v>0</v>
      </c>
      <c r="H161" s="31">
        <f t="shared" si="11"/>
        <v>0</v>
      </c>
      <c r="I161" s="11"/>
      <c r="J161" s="11"/>
    </row>
    <row r="162" ht="14.25" customHeight="1"/>
    <row r="163" ht="14.25" customHeight="1"/>
    <row r="164" ht="14.25" customHeight="1">
      <c r="C164" s="48" t="s">
        <v>259</v>
      </c>
      <c r="D164" s="49"/>
      <c r="E164" s="49"/>
      <c r="F164" s="49"/>
      <c r="G164" s="49"/>
      <c r="H164" s="49"/>
      <c r="I164" s="49"/>
      <c r="J164" s="50"/>
    </row>
    <row r="165" ht="14.25" customHeight="1">
      <c r="B165" s="4">
        <v>5.0</v>
      </c>
      <c r="C165" s="5" t="s">
        <v>4</v>
      </c>
      <c r="D165" s="6" t="s">
        <v>5</v>
      </c>
      <c r="E165" s="6" t="s">
        <v>8</v>
      </c>
      <c r="F165" s="6" t="s">
        <v>244</v>
      </c>
      <c r="G165" s="6" t="s">
        <v>247</v>
      </c>
      <c r="H165" s="6" t="s">
        <v>247</v>
      </c>
      <c r="I165" s="7"/>
      <c r="J165" s="7"/>
    </row>
    <row r="166" ht="14.25" customHeight="1">
      <c r="C166" s="13" t="s">
        <v>172</v>
      </c>
      <c r="D166" s="9">
        <v>10.0</v>
      </c>
      <c r="E166" s="62"/>
      <c r="F166" s="9"/>
      <c r="G166" s="9"/>
      <c r="H166" s="9"/>
      <c r="I166" s="8"/>
      <c r="J166" s="8"/>
    </row>
    <row r="167" ht="14.25" customHeight="1">
      <c r="C167" s="13" t="s">
        <v>70</v>
      </c>
      <c r="D167" s="9">
        <v>10.0</v>
      </c>
      <c r="E167" s="62"/>
      <c r="F167" s="9"/>
      <c r="G167" s="9"/>
      <c r="H167" s="9"/>
      <c r="I167" s="8"/>
      <c r="J167" s="8"/>
    </row>
    <row r="168" ht="14.25" customHeight="1">
      <c r="C168" s="13" t="s">
        <v>145</v>
      </c>
      <c r="D168" s="9">
        <v>50.0</v>
      </c>
      <c r="E168" s="62"/>
      <c r="F168" s="9"/>
      <c r="G168" s="9"/>
      <c r="H168" s="9"/>
      <c r="I168" s="8"/>
      <c r="J168" s="8"/>
    </row>
    <row r="169" ht="14.25" customHeight="1">
      <c r="C169" s="13" t="s">
        <v>113</v>
      </c>
      <c r="D169" s="9">
        <v>20.0</v>
      </c>
      <c r="E169" s="62"/>
      <c r="F169" s="9"/>
      <c r="G169" s="9"/>
      <c r="H169" s="9"/>
      <c r="I169" s="8"/>
      <c r="J169" s="8"/>
    </row>
    <row r="170" ht="14.25" customHeight="1">
      <c r="C170" s="13" t="s">
        <v>150</v>
      </c>
      <c r="D170" s="24">
        <v>10.0</v>
      </c>
      <c r="E170" s="63"/>
      <c r="F170" s="9"/>
      <c r="G170" s="9"/>
      <c r="H170" s="9"/>
      <c r="I170" s="8"/>
      <c r="J170" s="8"/>
    </row>
    <row r="171" ht="14.25" customHeight="1">
      <c r="C171" s="13" t="s">
        <v>37</v>
      </c>
      <c r="D171" s="24">
        <v>5.0</v>
      </c>
      <c r="E171" s="63"/>
      <c r="F171" s="9"/>
      <c r="G171" s="9"/>
      <c r="H171" s="9"/>
      <c r="I171" s="8"/>
      <c r="J171" s="8"/>
    </row>
    <row r="172" ht="14.25" customHeight="1">
      <c r="C172" s="13" t="s">
        <v>88</v>
      </c>
      <c r="D172" s="24">
        <v>30.0</v>
      </c>
      <c r="E172" s="63"/>
      <c r="F172" s="9"/>
      <c r="G172" s="9"/>
      <c r="H172" s="9"/>
      <c r="I172" s="8"/>
      <c r="J172" s="8"/>
    </row>
    <row r="173" ht="14.25" customHeight="1">
      <c r="C173" s="13" t="s">
        <v>116</v>
      </c>
      <c r="D173" s="24">
        <v>2.0</v>
      </c>
      <c r="E173" s="63"/>
      <c r="F173" s="9"/>
      <c r="G173" s="9"/>
      <c r="H173" s="9"/>
      <c r="I173" s="8"/>
      <c r="J173" s="8"/>
    </row>
    <row r="174" ht="14.25" customHeight="1">
      <c r="C174" s="13" t="s">
        <v>104</v>
      </c>
      <c r="D174" s="32">
        <v>863.0</v>
      </c>
      <c r="E174" s="63"/>
      <c r="F174" s="9"/>
      <c r="G174" s="9"/>
      <c r="H174" s="9"/>
      <c r="I174" s="8"/>
      <c r="J174" s="8"/>
    </row>
    <row r="175" ht="14.25" customHeight="1">
      <c r="D175" s="28">
        <f>SUM(D166:D174)</f>
        <v>1000</v>
      </c>
      <c r="E175" s="29"/>
      <c r="F175" s="28">
        <f t="shared" ref="F175:H175" si="12">SUM(F166:F174)</f>
        <v>0</v>
      </c>
      <c r="G175" s="31">
        <f t="shared" si="12"/>
        <v>0</v>
      </c>
      <c r="H175" s="31">
        <f t="shared" si="12"/>
        <v>0</v>
      </c>
      <c r="I175" s="11"/>
      <c r="J175" s="11"/>
    </row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C117:J117"/>
    <mergeCell ref="C132:J132"/>
    <mergeCell ref="C148:J148"/>
    <mergeCell ref="C164:J164"/>
    <mergeCell ref="C3:J3"/>
    <mergeCell ref="C19:J19"/>
    <mergeCell ref="C38:J38"/>
    <mergeCell ref="C57:J57"/>
    <mergeCell ref="C71:J71"/>
    <mergeCell ref="C85:J85"/>
    <mergeCell ref="C104:J10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9.86"/>
    <col customWidth="1" min="4" max="5" width="10.71"/>
    <col customWidth="1" hidden="1" min="6" max="6" width="10.71"/>
    <col customWidth="1" min="7" max="26" width="10.71"/>
  </cols>
  <sheetData>
    <row r="1" ht="14.25" customHeight="1"/>
    <row r="2" ht="14.25" customHeight="1"/>
    <row r="3" ht="14.25" customHeight="1"/>
    <row r="4" ht="14.25" customHeight="1"/>
    <row r="5" ht="14.25" customHeight="1">
      <c r="C5" s="1" t="s">
        <v>3</v>
      </c>
      <c r="D5" s="2"/>
      <c r="E5" s="2"/>
      <c r="F5" s="2"/>
      <c r="G5" s="2"/>
      <c r="H5" s="2"/>
      <c r="I5" s="3"/>
    </row>
    <row r="6" ht="14.25" customHeight="1">
      <c r="B6" s="4">
        <v>1.0</v>
      </c>
      <c r="C6" s="5" t="s">
        <v>4</v>
      </c>
      <c r="D6" s="6" t="s">
        <v>5</v>
      </c>
      <c r="E6" s="6" t="s">
        <v>8</v>
      </c>
      <c r="F6" s="6" t="s">
        <v>10</v>
      </c>
      <c r="G6" s="6" t="s">
        <v>12</v>
      </c>
      <c r="H6" s="6" t="s">
        <v>14</v>
      </c>
      <c r="I6" s="7"/>
    </row>
    <row r="7" ht="14.25" customHeight="1">
      <c r="C7" s="8" t="s">
        <v>16</v>
      </c>
      <c r="D7" s="10">
        <v>775.0</v>
      </c>
      <c r="E7" s="10"/>
      <c r="F7" s="9"/>
      <c r="G7" s="9"/>
      <c r="H7" s="9"/>
      <c r="I7" s="11"/>
    </row>
    <row r="8" ht="14.25" customHeight="1">
      <c r="C8" s="8" t="s">
        <v>17</v>
      </c>
      <c r="D8" s="10">
        <v>70.0</v>
      </c>
      <c r="E8" s="10"/>
      <c r="F8" s="9"/>
      <c r="G8" s="9"/>
      <c r="H8" s="9"/>
      <c r="I8" s="11"/>
    </row>
    <row r="9" ht="14.25" customHeight="1">
      <c r="C9" s="8" t="s">
        <v>18</v>
      </c>
      <c r="D9" s="10">
        <v>70.0</v>
      </c>
      <c r="E9" s="10"/>
      <c r="F9" s="9"/>
      <c r="G9" s="9"/>
      <c r="H9" s="9"/>
      <c r="I9" s="11"/>
    </row>
    <row r="10" ht="14.25" customHeight="1">
      <c r="C10" s="8" t="s">
        <v>24</v>
      </c>
      <c r="D10" s="10">
        <v>30.0</v>
      </c>
      <c r="E10" s="10"/>
      <c r="F10" s="9"/>
      <c r="G10" s="9"/>
      <c r="H10" s="9"/>
      <c r="I10" s="11"/>
    </row>
    <row r="11" ht="14.25" customHeight="1">
      <c r="C11" s="8" t="s">
        <v>28</v>
      </c>
      <c r="D11" s="10">
        <v>30.0</v>
      </c>
      <c r="E11" s="10"/>
      <c r="F11" s="9"/>
      <c r="G11" s="9"/>
      <c r="H11" s="9"/>
      <c r="I11" s="11"/>
    </row>
    <row r="12" ht="14.25" customHeight="1">
      <c r="C12" s="8" t="s">
        <v>32</v>
      </c>
      <c r="D12" s="10">
        <v>10.0</v>
      </c>
      <c r="E12" s="10"/>
      <c r="F12" s="9"/>
      <c r="G12" s="9"/>
      <c r="H12" s="9"/>
      <c r="I12" s="11"/>
    </row>
    <row r="13" ht="14.25" customHeight="1">
      <c r="C13" s="13" t="s">
        <v>35</v>
      </c>
      <c r="D13" s="10">
        <v>10.0</v>
      </c>
      <c r="E13" s="10"/>
      <c r="F13" s="9"/>
      <c r="G13" s="9"/>
      <c r="H13" s="9"/>
      <c r="I13" s="11"/>
    </row>
    <row r="14" ht="14.25" customHeight="1">
      <c r="C14" s="8" t="s">
        <v>39</v>
      </c>
      <c r="D14" s="10">
        <v>2.5</v>
      </c>
      <c r="E14" s="9"/>
      <c r="F14" s="9"/>
      <c r="G14" s="9"/>
      <c r="H14" s="9"/>
      <c r="I14" s="11" t="s">
        <v>19</v>
      </c>
    </row>
    <row r="15" ht="14.25" customHeight="1">
      <c r="C15" s="8" t="s">
        <v>42</v>
      </c>
      <c r="D15" s="10">
        <v>2.5</v>
      </c>
      <c r="E15" s="9"/>
      <c r="F15" s="9"/>
      <c r="G15" s="9"/>
      <c r="H15" s="9"/>
      <c r="I15" s="11"/>
    </row>
    <row r="16" ht="14.25" customHeight="1">
      <c r="C16" s="19"/>
      <c r="D16" s="20">
        <f>SUM(D7:D15)</f>
        <v>1000</v>
      </c>
      <c r="E16" s="21"/>
      <c r="F16" s="20"/>
      <c r="G16" s="23"/>
      <c r="H16" s="23"/>
      <c r="I16" s="26"/>
    </row>
    <row r="17" ht="14.25" customHeight="1"/>
    <row r="18" ht="14.25" customHeight="1"/>
    <row r="19" ht="14.25" customHeight="1">
      <c r="C19" s="1" t="s">
        <v>48</v>
      </c>
      <c r="D19" s="2"/>
      <c r="E19" s="2"/>
      <c r="F19" s="2"/>
      <c r="G19" s="2"/>
      <c r="H19" s="2"/>
      <c r="I19" s="3"/>
    </row>
    <row r="20" ht="14.25" customHeight="1">
      <c r="B20" s="4">
        <v>2.0</v>
      </c>
      <c r="C20" s="5" t="s">
        <v>4</v>
      </c>
      <c r="D20" s="6" t="s">
        <v>5</v>
      </c>
      <c r="E20" s="6" t="s">
        <v>8</v>
      </c>
      <c r="F20" s="6" t="s">
        <v>10</v>
      </c>
      <c r="G20" s="6" t="s">
        <v>12</v>
      </c>
      <c r="H20" s="6" t="s">
        <v>14</v>
      </c>
      <c r="I20" s="7" t="s">
        <v>50</v>
      </c>
    </row>
    <row r="21" ht="14.25" customHeight="1">
      <c r="C21" s="8" t="s">
        <v>51</v>
      </c>
      <c r="D21" s="9">
        <v>60.0</v>
      </c>
      <c r="E21" s="10"/>
      <c r="F21" s="9"/>
      <c r="G21" s="9">
        <f t="shared" ref="G21:G30" si="1">+D21*35</f>
        <v>2100</v>
      </c>
      <c r="H21" s="9"/>
      <c r="I21" s="9"/>
    </row>
    <row r="22" ht="14.25" customHeight="1">
      <c r="C22" s="8" t="s">
        <v>56</v>
      </c>
      <c r="D22" s="9">
        <v>30.0</v>
      </c>
      <c r="E22" s="10"/>
      <c r="F22" s="9"/>
      <c r="G22" s="9">
        <f t="shared" si="1"/>
        <v>1050</v>
      </c>
      <c r="H22" s="9"/>
      <c r="I22" s="9"/>
    </row>
    <row r="23" ht="14.25" customHeight="1">
      <c r="C23" s="8" t="s">
        <v>16</v>
      </c>
      <c r="D23" s="9">
        <v>693.0</v>
      </c>
      <c r="E23" s="10"/>
      <c r="F23" s="9"/>
      <c r="G23" s="9">
        <f t="shared" si="1"/>
        <v>24255</v>
      </c>
      <c r="H23" s="9"/>
      <c r="I23" s="9"/>
    </row>
    <row r="24" ht="14.25" customHeight="1">
      <c r="C24" s="8" t="s">
        <v>58</v>
      </c>
      <c r="D24" s="9">
        <v>121.0</v>
      </c>
      <c r="E24" s="10"/>
      <c r="F24" s="9"/>
      <c r="G24" s="9">
        <f t="shared" si="1"/>
        <v>4235</v>
      </c>
      <c r="H24" s="9"/>
      <c r="I24" s="9"/>
    </row>
    <row r="25" ht="14.25" customHeight="1">
      <c r="C25" s="8" t="s">
        <v>59</v>
      </c>
      <c r="D25" s="9">
        <v>2.0</v>
      </c>
      <c r="E25" s="10"/>
      <c r="F25" s="9"/>
      <c r="G25" s="9">
        <f t="shared" si="1"/>
        <v>70</v>
      </c>
      <c r="H25" s="9"/>
      <c r="I25" s="9"/>
    </row>
    <row r="26" ht="14.25" customHeight="1">
      <c r="C26" s="8" t="s">
        <v>61</v>
      </c>
      <c r="D26" s="9">
        <v>18.0</v>
      </c>
      <c r="E26" s="10"/>
      <c r="F26" s="9"/>
      <c r="G26" s="9">
        <f t="shared" si="1"/>
        <v>630</v>
      </c>
      <c r="H26" s="9"/>
      <c r="I26" s="9"/>
    </row>
    <row r="27" ht="14.25" customHeight="1">
      <c r="C27" s="13" t="s">
        <v>62</v>
      </c>
      <c r="D27" s="9">
        <v>18.0</v>
      </c>
      <c r="E27" s="10"/>
      <c r="F27" s="9"/>
      <c r="G27" s="9">
        <f t="shared" si="1"/>
        <v>630</v>
      </c>
      <c r="H27" s="9"/>
      <c r="I27" s="9"/>
    </row>
    <row r="28" ht="14.25" customHeight="1">
      <c r="C28" s="13" t="s">
        <v>64</v>
      </c>
      <c r="D28" s="9">
        <v>18.0</v>
      </c>
      <c r="E28" s="10"/>
      <c r="F28" s="9"/>
      <c r="G28" s="9">
        <f t="shared" si="1"/>
        <v>630</v>
      </c>
      <c r="H28" s="9"/>
      <c r="I28" s="9"/>
    </row>
    <row r="29" ht="14.25" customHeight="1">
      <c r="C29" s="8" t="s">
        <v>66</v>
      </c>
      <c r="D29" s="9">
        <v>2.0</v>
      </c>
      <c r="E29" s="9"/>
      <c r="F29" s="9"/>
      <c r="G29" s="9">
        <f t="shared" si="1"/>
        <v>70</v>
      </c>
      <c r="H29" s="9"/>
      <c r="I29" s="9"/>
    </row>
    <row r="30" ht="14.25" customHeight="1">
      <c r="C30" s="8" t="s">
        <v>68</v>
      </c>
      <c r="D30" s="9">
        <v>38.5</v>
      </c>
      <c r="E30" s="9"/>
      <c r="F30" s="9"/>
      <c r="G30" s="9">
        <f t="shared" si="1"/>
        <v>1347.5</v>
      </c>
      <c r="H30" s="9"/>
      <c r="I30" s="9"/>
    </row>
    <row r="31" ht="14.25" customHeight="1">
      <c r="C31" s="19"/>
      <c r="D31" s="20">
        <f>SUM(D21:D30)</f>
        <v>1000.5</v>
      </c>
      <c r="E31" s="21"/>
      <c r="F31" s="20"/>
      <c r="G31" s="23"/>
      <c r="H31" s="23"/>
      <c r="I31" s="23"/>
    </row>
    <row r="32" ht="14.25" customHeight="1"/>
    <row r="33" ht="14.25" customHeight="1"/>
    <row r="34" ht="14.25" customHeight="1">
      <c r="C34" s="1" t="s">
        <v>72</v>
      </c>
      <c r="D34" s="2"/>
      <c r="E34" s="2"/>
      <c r="F34" s="2"/>
      <c r="G34" s="2"/>
      <c r="H34" s="2"/>
      <c r="I34" s="33"/>
    </row>
    <row r="35" ht="63.0" customHeight="1">
      <c r="B35" s="4">
        <v>3.0</v>
      </c>
      <c r="C35" s="5" t="s">
        <v>4</v>
      </c>
      <c r="D35" s="6" t="s">
        <v>5</v>
      </c>
      <c r="E35" s="6" t="s">
        <v>8</v>
      </c>
      <c r="F35" s="6" t="s">
        <v>74</v>
      </c>
      <c r="G35" s="6" t="s">
        <v>75</v>
      </c>
      <c r="H35" s="6" t="s">
        <v>14</v>
      </c>
      <c r="I35" s="6" t="s">
        <v>76</v>
      </c>
    </row>
    <row r="36" ht="14.25" customHeight="1">
      <c r="C36" s="8" t="s">
        <v>77</v>
      </c>
      <c r="D36" s="9">
        <v>55.0</v>
      </c>
      <c r="E36" s="10">
        <v>18.0</v>
      </c>
      <c r="F36" s="12">
        <f t="shared" ref="F36:F45" si="2">(E36/1000)*D36</f>
        <v>0.99</v>
      </c>
      <c r="G36" s="9">
        <f t="shared" ref="G36:G45" si="3">(D36*2)</f>
        <v>110</v>
      </c>
      <c r="H36" s="9">
        <f t="shared" ref="H36:H45" si="4">(D36*50)</f>
        <v>2750</v>
      </c>
      <c r="I36" s="9">
        <f t="shared" ref="I36:I45" si="5">(D36*100)</f>
        <v>5500</v>
      </c>
    </row>
    <row r="37" ht="14.25" customHeight="1">
      <c r="C37" s="8" t="s">
        <v>80</v>
      </c>
      <c r="D37" s="9">
        <v>55.0</v>
      </c>
      <c r="E37" s="9">
        <v>18.0</v>
      </c>
      <c r="F37" s="12">
        <f t="shared" si="2"/>
        <v>0.99</v>
      </c>
      <c r="G37" s="9">
        <f t="shared" si="3"/>
        <v>110</v>
      </c>
      <c r="H37" s="9">
        <f t="shared" si="4"/>
        <v>2750</v>
      </c>
      <c r="I37" s="9">
        <f t="shared" si="5"/>
        <v>5500</v>
      </c>
    </row>
    <row r="38" ht="14.25" customHeight="1">
      <c r="C38" s="8" t="s">
        <v>82</v>
      </c>
      <c r="D38" s="9">
        <v>20.0</v>
      </c>
      <c r="E38" s="9">
        <v>25.0</v>
      </c>
      <c r="F38" s="12">
        <f t="shared" si="2"/>
        <v>0.5</v>
      </c>
      <c r="G38" s="9">
        <f t="shared" si="3"/>
        <v>40</v>
      </c>
      <c r="H38" s="9">
        <f t="shared" si="4"/>
        <v>1000</v>
      </c>
      <c r="I38" s="9">
        <f t="shared" si="5"/>
        <v>2000</v>
      </c>
    </row>
    <row r="39" ht="14.25" customHeight="1">
      <c r="C39" s="8" t="s">
        <v>45</v>
      </c>
      <c r="D39" s="9">
        <v>10.0</v>
      </c>
      <c r="E39" s="9">
        <v>68.0</v>
      </c>
      <c r="F39" s="12">
        <f t="shared" si="2"/>
        <v>0.68</v>
      </c>
      <c r="G39" s="9">
        <f t="shared" si="3"/>
        <v>20</v>
      </c>
      <c r="H39" s="9">
        <f t="shared" si="4"/>
        <v>500</v>
      </c>
      <c r="I39" s="9">
        <f t="shared" si="5"/>
        <v>1000</v>
      </c>
    </row>
    <row r="40" ht="14.25" customHeight="1">
      <c r="C40" s="8" t="s">
        <v>83</v>
      </c>
      <c r="D40" s="9">
        <v>5.0</v>
      </c>
      <c r="E40" s="9">
        <v>124.0</v>
      </c>
      <c r="F40" s="12">
        <f t="shared" si="2"/>
        <v>0.62</v>
      </c>
      <c r="G40" s="9">
        <f t="shared" si="3"/>
        <v>10</v>
      </c>
      <c r="H40" s="9">
        <f t="shared" si="4"/>
        <v>250</v>
      </c>
      <c r="I40" s="9">
        <f t="shared" si="5"/>
        <v>500</v>
      </c>
    </row>
    <row r="41" ht="14.25" customHeight="1">
      <c r="C41" s="8" t="s">
        <v>86</v>
      </c>
      <c r="D41" s="10">
        <v>0.5</v>
      </c>
      <c r="E41" s="9">
        <v>860.0</v>
      </c>
      <c r="F41" s="12">
        <f t="shared" si="2"/>
        <v>0.43</v>
      </c>
      <c r="G41" s="9">
        <f t="shared" si="3"/>
        <v>1</v>
      </c>
      <c r="H41" s="9">
        <f t="shared" si="4"/>
        <v>25</v>
      </c>
      <c r="I41" s="9">
        <f t="shared" si="5"/>
        <v>50</v>
      </c>
    </row>
    <row r="42" ht="14.25" customHeight="1">
      <c r="C42" s="8" t="s">
        <v>88</v>
      </c>
      <c r="D42" s="9">
        <v>20.0</v>
      </c>
      <c r="E42" s="9">
        <v>8.0</v>
      </c>
      <c r="F42" s="12">
        <f t="shared" si="2"/>
        <v>0.16</v>
      </c>
      <c r="G42" s="9">
        <f t="shared" si="3"/>
        <v>40</v>
      </c>
      <c r="H42" s="9">
        <f t="shared" si="4"/>
        <v>1000</v>
      </c>
      <c r="I42" s="9">
        <f t="shared" si="5"/>
        <v>2000</v>
      </c>
    </row>
    <row r="43" ht="14.25" customHeight="1">
      <c r="C43" s="8" t="s">
        <v>90</v>
      </c>
      <c r="D43" s="24">
        <v>2.0</v>
      </c>
      <c r="E43" s="9">
        <v>60.0</v>
      </c>
      <c r="F43" s="12">
        <f t="shared" si="2"/>
        <v>0.12</v>
      </c>
      <c r="G43" s="9">
        <f t="shared" si="3"/>
        <v>4</v>
      </c>
      <c r="H43" s="9">
        <f t="shared" si="4"/>
        <v>100</v>
      </c>
      <c r="I43" s="9">
        <f t="shared" si="5"/>
        <v>200</v>
      </c>
    </row>
    <row r="44" ht="14.25" customHeight="1">
      <c r="C44" s="13" t="s">
        <v>92</v>
      </c>
      <c r="D44" s="24">
        <v>2.0</v>
      </c>
      <c r="E44" s="9">
        <v>100.0</v>
      </c>
      <c r="F44" s="12">
        <f t="shared" si="2"/>
        <v>0.2</v>
      </c>
      <c r="G44" s="9">
        <f t="shared" si="3"/>
        <v>4</v>
      </c>
      <c r="H44" s="9">
        <f t="shared" si="4"/>
        <v>100</v>
      </c>
      <c r="I44" s="9">
        <f t="shared" si="5"/>
        <v>200</v>
      </c>
    </row>
    <row r="45" ht="14.25" customHeight="1">
      <c r="C45" s="13" t="s">
        <v>95</v>
      </c>
      <c r="D45" s="9">
        <v>830.0</v>
      </c>
      <c r="E45" s="9">
        <v>0.6</v>
      </c>
      <c r="F45" s="12">
        <f t="shared" si="2"/>
        <v>0.498</v>
      </c>
      <c r="G45" s="9">
        <f t="shared" si="3"/>
        <v>1660</v>
      </c>
      <c r="H45" s="9">
        <f t="shared" si="4"/>
        <v>41500</v>
      </c>
      <c r="I45" s="9">
        <f t="shared" si="5"/>
        <v>83000</v>
      </c>
    </row>
    <row r="46" ht="14.25" customHeight="1">
      <c r="C46" s="19"/>
      <c r="D46" s="28">
        <f>SUM(D36:D45)</f>
        <v>999.5</v>
      </c>
      <c r="E46" s="29"/>
      <c r="F46" s="30">
        <f t="shared" ref="F46:I46" si="6">SUM(F36:F45)</f>
        <v>5.188</v>
      </c>
      <c r="G46" s="28">
        <f t="shared" si="6"/>
        <v>1999</v>
      </c>
      <c r="H46" s="31">
        <f t="shared" si="6"/>
        <v>49975</v>
      </c>
      <c r="I46" s="31">
        <f t="shared" si="6"/>
        <v>99950</v>
      </c>
    </row>
    <row r="47" ht="14.25" customHeight="1"/>
    <row r="48" ht="14.25" customHeight="1"/>
    <row r="49" ht="14.25" customHeight="1">
      <c r="C49" s="1" t="s">
        <v>97</v>
      </c>
      <c r="D49" s="2"/>
      <c r="E49" s="2"/>
      <c r="F49" s="2"/>
      <c r="G49" s="2"/>
      <c r="H49" s="2"/>
      <c r="I49" s="33"/>
    </row>
    <row r="50" ht="14.25" customHeight="1">
      <c r="B50" s="4">
        <v>4.0</v>
      </c>
      <c r="C50" s="34" t="s">
        <v>4</v>
      </c>
      <c r="D50" s="7" t="s">
        <v>5</v>
      </c>
      <c r="E50" s="7" t="s">
        <v>8</v>
      </c>
      <c r="F50" s="7" t="s">
        <v>98</v>
      </c>
      <c r="G50" s="7" t="s">
        <v>99</v>
      </c>
      <c r="H50" s="7" t="s">
        <v>100</v>
      </c>
      <c r="I50" s="7" t="s">
        <v>101</v>
      </c>
      <c r="M50" s="35" t="s">
        <v>102</v>
      </c>
    </row>
    <row r="51" ht="14.25" customHeight="1">
      <c r="B51" s="36">
        <v>1.0</v>
      </c>
      <c r="C51" s="8" t="s">
        <v>104</v>
      </c>
      <c r="D51" s="9">
        <v>805.0</v>
      </c>
      <c r="E51" s="37">
        <v>0.6</v>
      </c>
      <c r="F51" s="12">
        <f t="shared" ref="F51:F58" si="7">(E51/1000)*D51</f>
        <v>0.483</v>
      </c>
      <c r="G51" s="9">
        <f t="shared" ref="G51:G58" si="8">(D51*220)</f>
        <v>177100</v>
      </c>
      <c r="H51" s="38">
        <f t="shared" ref="H51:H58" si="9">(E51/1000)*G51</f>
        <v>106.26</v>
      </c>
      <c r="I51" s="9">
        <f t="shared" ref="I51:I58" si="10">(D51*35)</f>
        <v>28175</v>
      </c>
    </row>
    <row r="52" ht="14.25" customHeight="1">
      <c r="B52" s="36">
        <v>4.0</v>
      </c>
      <c r="C52" s="8" t="s">
        <v>107</v>
      </c>
      <c r="D52" s="9">
        <v>70.0</v>
      </c>
      <c r="E52" s="37">
        <v>20.0</v>
      </c>
      <c r="F52" s="12">
        <f t="shared" si="7"/>
        <v>1.4</v>
      </c>
      <c r="G52" s="9">
        <f t="shared" si="8"/>
        <v>15400</v>
      </c>
      <c r="H52" s="38">
        <f t="shared" si="9"/>
        <v>308</v>
      </c>
      <c r="I52" s="9">
        <f t="shared" si="10"/>
        <v>2450</v>
      </c>
    </row>
    <row r="53" ht="14.25" customHeight="1">
      <c r="B53" s="36">
        <v>5.0</v>
      </c>
      <c r="C53" s="8" t="s">
        <v>18</v>
      </c>
      <c r="D53" s="9">
        <v>70.0</v>
      </c>
      <c r="E53" s="37">
        <v>20.0</v>
      </c>
      <c r="F53" s="12">
        <f t="shared" si="7"/>
        <v>1.4</v>
      </c>
      <c r="G53" s="9">
        <f t="shared" si="8"/>
        <v>15400</v>
      </c>
      <c r="H53" s="38">
        <f t="shared" si="9"/>
        <v>308</v>
      </c>
      <c r="I53" s="9">
        <f t="shared" si="10"/>
        <v>2450</v>
      </c>
    </row>
    <row r="54" ht="14.25" customHeight="1">
      <c r="B54" s="36">
        <v>6.0</v>
      </c>
      <c r="C54" s="8" t="s">
        <v>24</v>
      </c>
      <c r="D54" s="9">
        <v>30.0</v>
      </c>
      <c r="E54" s="37">
        <v>120.0</v>
      </c>
      <c r="F54" s="12">
        <f t="shared" si="7"/>
        <v>3.6</v>
      </c>
      <c r="G54" s="9">
        <f t="shared" si="8"/>
        <v>6600</v>
      </c>
      <c r="H54" s="38">
        <f t="shared" si="9"/>
        <v>792</v>
      </c>
      <c r="I54" s="9">
        <f t="shared" si="10"/>
        <v>1050</v>
      </c>
    </row>
    <row r="55" ht="14.25" customHeight="1">
      <c r="B55" s="36">
        <v>7.0</v>
      </c>
      <c r="C55" s="8" t="s">
        <v>113</v>
      </c>
      <c r="D55" s="9">
        <v>10.0</v>
      </c>
      <c r="E55" s="37">
        <v>60.0</v>
      </c>
      <c r="F55" s="12">
        <f t="shared" si="7"/>
        <v>0.6</v>
      </c>
      <c r="G55" s="9">
        <f t="shared" si="8"/>
        <v>2200</v>
      </c>
      <c r="H55" s="38">
        <f t="shared" si="9"/>
        <v>132</v>
      </c>
      <c r="I55" s="9">
        <f t="shared" si="10"/>
        <v>350</v>
      </c>
    </row>
    <row r="56" ht="14.25" customHeight="1">
      <c r="B56" s="36">
        <v>9.0</v>
      </c>
      <c r="C56" s="8" t="s">
        <v>32</v>
      </c>
      <c r="D56" s="9">
        <v>10.0</v>
      </c>
      <c r="E56" s="37">
        <v>8.0</v>
      </c>
      <c r="F56" s="12">
        <f t="shared" si="7"/>
        <v>0.08</v>
      </c>
      <c r="G56" s="9">
        <f t="shared" si="8"/>
        <v>2200</v>
      </c>
      <c r="H56" s="38">
        <f t="shared" si="9"/>
        <v>17.6</v>
      </c>
      <c r="I56" s="9">
        <f t="shared" si="10"/>
        <v>350</v>
      </c>
    </row>
    <row r="57" ht="14.25" customHeight="1">
      <c r="B57" s="36">
        <v>2.0</v>
      </c>
      <c r="C57" s="8" t="s">
        <v>116</v>
      </c>
      <c r="D57" s="10">
        <v>2.5</v>
      </c>
      <c r="E57" s="37">
        <v>58.0</v>
      </c>
      <c r="F57" s="12">
        <f t="shared" si="7"/>
        <v>0.145</v>
      </c>
      <c r="G57" s="9">
        <f t="shared" si="8"/>
        <v>550</v>
      </c>
      <c r="H57" s="38">
        <f t="shared" si="9"/>
        <v>31.9</v>
      </c>
      <c r="I57" s="9">
        <f t="shared" si="10"/>
        <v>87.5</v>
      </c>
    </row>
    <row r="58" ht="14.25" customHeight="1">
      <c r="B58" s="36">
        <v>8.0</v>
      </c>
      <c r="C58" s="8" t="s">
        <v>118</v>
      </c>
      <c r="D58" s="10">
        <v>2.5</v>
      </c>
      <c r="E58" s="37">
        <v>100.0</v>
      </c>
      <c r="F58" s="12">
        <f t="shared" si="7"/>
        <v>0.25</v>
      </c>
      <c r="G58" s="9">
        <f t="shared" si="8"/>
        <v>550</v>
      </c>
      <c r="H58" s="38">
        <f t="shared" si="9"/>
        <v>55</v>
      </c>
      <c r="I58" s="9">
        <f t="shared" si="10"/>
        <v>87.5</v>
      </c>
    </row>
    <row r="59" ht="14.25" customHeight="1">
      <c r="D59" s="28">
        <f>SUM(D51:D58)</f>
        <v>1000</v>
      </c>
      <c r="E59" s="29"/>
      <c r="F59" s="30">
        <f t="shared" ref="F59:I59" si="11">SUM(F51:F58)</f>
        <v>7.958</v>
      </c>
      <c r="G59" s="28">
        <f t="shared" si="11"/>
        <v>220000</v>
      </c>
      <c r="H59" s="39">
        <f t="shared" si="11"/>
        <v>1750.76</v>
      </c>
      <c r="I59" s="28">
        <f t="shared" si="11"/>
        <v>35000</v>
      </c>
    </row>
    <row r="60" ht="14.25" customHeight="1"/>
    <row r="61" ht="14.25" customHeight="1"/>
    <row r="62" ht="14.25" customHeight="1">
      <c r="C62" s="1" t="s">
        <v>124</v>
      </c>
      <c r="D62" s="2"/>
      <c r="E62" s="2"/>
      <c r="F62" s="2"/>
      <c r="G62" s="2"/>
      <c r="H62" s="2"/>
      <c r="I62" s="33"/>
      <c r="J62" s="40" t="s">
        <v>127</v>
      </c>
    </row>
    <row r="63" ht="14.25" customHeight="1">
      <c r="B63" s="4">
        <v>5.0</v>
      </c>
      <c r="C63" s="34" t="s">
        <v>4</v>
      </c>
      <c r="D63" s="7" t="s">
        <v>5</v>
      </c>
      <c r="E63" s="7" t="s">
        <v>8</v>
      </c>
      <c r="F63" s="7" t="s">
        <v>98</v>
      </c>
      <c r="G63" s="7" t="s">
        <v>129</v>
      </c>
      <c r="H63" s="7" t="s">
        <v>14</v>
      </c>
      <c r="I63" s="7" t="s">
        <v>101</v>
      </c>
    </row>
    <row r="64" ht="14.25" customHeight="1">
      <c r="B64" s="29"/>
      <c r="C64" s="41" t="s">
        <v>104</v>
      </c>
      <c r="D64" s="42">
        <v>750.0</v>
      </c>
      <c r="E64" s="43"/>
      <c r="F64" s="44"/>
      <c r="G64" s="42"/>
      <c r="H64" s="42"/>
      <c r="I64" s="42"/>
    </row>
    <row r="65" ht="14.25" customHeight="1">
      <c r="B65" s="29"/>
      <c r="C65" s="41" t="s">
        <v>107</v>
      </c>
      <c r="D65" s="42">
        <v>70.0</v>
      </c>
      <c r="E65" s="43"/>
      <c r="F65" s="44"/>
      <c r="G65" s="42"/>
      <c r="H65" s="42"/>
      <c r="I65" s="42"/>
    </row>
    <row r="66" ht="14.25" customHeight="1">
      <c r="B66" s="29"/>
      <c r="C66" s="41" t="s">
        <v>18</v>
      </c>
      <c r="D66" s="42">
        <v>70.0</v>
      </c>
      <c r="E66" s="43"/>
      <c r="F66" s="44"/>
      <c r="G66" s="42"/>
      <c r="H66" s="42"/>
      <c r="I66" s="42"/>
    </row>
    <row r="67" ht="14.25" customHeight="1">
      <c r="B67" s="29"/>
      <c r="C67" s="41" t="s">
        <v>32</v>
      </c>
      <c r="D67" s="42">
        <v>30.0</v>
      </c>
      <c r="E67" s="43"/>
      <c r="F67" s="44"/>
      <c r="G67" s="42"/>
      <c r="H67" s="42"/>
      <c r="I67" s="42"/>
    </row>
    <row r="68" ht="14.25" customHeight="1">
      <c r="B68" s="29"/>
      <c r="C68" s="41" t="s">
        <v>136</v>
      </c>
      <c r="D68" s="42">
        <v>20.0</v>
      </c>
      <c r="E68" s="43"/>
      <c r="F68" s="44"/>
      <c r="G68" s="42"/>
      <c r="H68" s="42"/>
      <c r="I68" s="42"/>
    </row>
    <row r="69" ht="14.25" customHeight="1">
      <c r="B69" s="29"/>
      <c r="C69" s="41" t="s">
        <v>25</v>
      </c>
      <c r="D69" s="42">
        <v>40.0</v>
      </c>
      <c r="E69" s="43"/>
      <c r="F69" s="44"/>
      <c r="G69" s="42"/>
      <c r="H69" s="42"/>
      <c r="I69" s="42"/>
    </row>
    <row r="70" ht="14.25" customHeight="1">
      <c r="B70" s="29"/>
      <c r="C70" s="41" t="s">
        <v>137</v>
      </c>
      <c r="D70" s="42">
        <v>15.0</v>
      </c>
      <c r="E70" s="43"/>
      <c r="F70" s="44"/>
      <c r="G70" s="42"/>
      <c r="H70" s="42"/>
      <c r="I70" s="42"/>
    </row>
    <row r="71" ht="14.25" customHeight="1">
      <c r="B71" s="29"/>
      <c r="C71" s="41" t="s">
        <v>111</v>
      </c>
      <c r="D71" s="42">
        <v>3.0</v>
      </c>
      <c r="E71" s="43"/>
      <c r="F71" s="44"/>
      <c r="G71" s="42"/>
      <c r="H71" s="42"/>
      <c r="I71" s="42"/>
    </row>
    <row r="72" ht="14.25" customHeight="1">
      <c r="B72" s="29"/>
      <c r="C72" s="41" t="s">
        <v>79</v>
      </c>
      <c r="D72" s="45">
        <v>0.5</v>
      </c>
      <c r="E72" s="43"/>
      <c r="F72" s="44"/>
      <c r="G72" s="42"/>
      <c r="H72" s="42"/>
      <c r="I72" s="42"/>
    </row>
    <row r="73" ht="14.25" customHeight="1">
      <c r="B73" s="29"/>
      <c r="C73" s="41" t="s">
        <v>83</v>
      </c>
      <c r="D73" s="45">
        <v>10.0</v>
      </c>
      <c r="E73" s="43"/>
      <c r="F73" s="44"/>
      <c r="G73" s="42"/>
      <c r="H73" s="42"/>
      <c r="I73" s="42"/>
    </row>
    <row r="74" ht="14.25" customHeight="1">
      <c r="B74" s="29"/>
      <c r="C74" s="41" t="s">
        <v>45</v>
      </c>
      <c r="D74" s="45">
        <v>5.0</v>
      </c>
      <c r="E74" s="43"/>
      <c r="F74" s="44"/>
      <c r="G74" s="42"/>
      <c r="H74" s="42"/>
      <c r="I74" s="42"/>
    </row>
    <row r="75" ht="14.25" customHeight="1">
      <c r="B75" s="46"/>
      <c r="C75" s="47" t="s">
        <v>116</v>
      </c>
      <c r="D75" s="45">
        <v>2.5</v>
      </c>
      <c r="E75" s="43"/>
      <c r="F75" s="44"/>
      <c r="G75" s="42"/>
      <c r="H75" s="42"/>
      <c r="I75" s="42"/>
    </row>
    <row r="76" ht="14.25" customHeight="1">
      <c r="D76" s="28">
        <f>SUM(D64:D75)</f>
        <v>1016</v>
      </c>
      <c r="E76" s="29"/>
      <c r="F76" s="30">
        <f>SUM(F64:F74)</f>
        <v>0</v>
      </c>
      <c r="G76" s="28">
        <f>SUM(G64:G75)</f>
        <v>0</v>
      </c>
      <c r="H76" s="39">
        <f>SUM(H64:H74)</f>
        <v>0</v>
      </c>
      <c r="I76" s="28">
        <f>SUM(I64:I75)</f>
        <v>0</v>
      </c>
    </row>
    <row r="77" ht="14.25" customHeight="1"/>
    <row r="78" ht="14.25" customHeight="1"/>
    <row r="79" ht="14.25" customHeight="1">
      <c r="C79" s="1" t="s">
        <v>146</v>
      </c>
      <c r="D79" s="2"/>
      <c r="E79" s="2"/>
      <c r="F79" s="2"/>
      <c r="G79" s="2"/>
      <c r="H79" s="2"/>
      <c r="I79" s="33"/>
    </row>
    <row r="80" ht="14.25" customHeight="1">
      <c r="B80" s="4">
        <v>6.0</v>
      </c>
      <c r="C80" s="34" t="s">
        <v>4</v>
      </c>
      <c r="D80" s="7" t="s">
        <v>5</v>
      </c>
      <c r="E80" s="7" t="s">
        <v>8</v>
      </c>
      <c r="F80" s="7" t="s">
        <v>98</v>
      </c>
      <c r="G80" s="7" t="s">
        <v>99</v>
      </c>
      <c r="H80" s="7" t="s">
        <v>100</v>
      </c>
      <c r="I80" s="7" t="s">
        <v>151</v>
      </c>
    </row>
    <row r="81" ht="14.25" customHeight="1">
      <c r="B81" s="36"/>
      <c r="C81" s="8" t="s">
        <v>104</v>
      </c>
      <c r="D81" s="9">
        <v>666.0</v>
      </c>
      <c r="E81" s="37"/>
      <c r="F81" s="12"/>
      <c r="G81" s="9"/>
      <c r="H81" s="38"/>
      <c r="I81" s="9"/>
    </row>
    <row r="82" ht="14.25" customHeight="1">
      <c r="B82" s="36"/>
      <c r="C82" s="8" t="s">
        <v>154</v>
      </c>
      <c r="D82" s="9">
        <v>20.0</v>
      </c>
      <c r="E82" s="37"/>
      <c r="F82" s="12"/>
      <c r="G82" s="9"/>
      <c r="H82" s="38"/>
      <c r="I82" s="9"/>
    </row>
    <row r="83" ht="14.25" customHeight="1">
      <c r="B83" s="36"/>
      <c r="C83" s="8" t="s">
        <v>32</v>
      </c>
      <c r="D83" s="9">
        <v>30.0</v>
      </c>
      <c r="E83" s="37"/>
      <c r="F83" s="12"/>
      <c r="G83" s="9"/>
      <c r="H83" s="38"/>
      <c r="I83" s="9"/>
    </row>
    <row r="84" ht="14.25" customHeight="1">
      <c r="B84" s="36"/>
      <c r="C84" s="8" t="s">
        <v>157</v>
      </c>
      <c r="D84" s="9">
        <v>20.0</v>
      </c>
      <c r="E84" s="37"/>
      <c r="F84" s="12"/>
      <c r="G84" s="9"/>
      <c r="H84" s="38"/>
      <c r="I84" s="9"/>
    </row>
    <row r="85" ht="14.25" customHeight="1">
      <c r="B85" s="36"/>
      <c r="C85" s="8" t="s">
        <v>160</v>
      </c>
      <c r="D85" s="9">
        <v>20.0</v>
      </c>
      <c r="E85" s="37"/>
      <c r="F85" s="12"/>
      <c r="G85" s="9"/>
      <c r="H85" s="38"/>
      <c r="I85" s="9"/>
    </row>
    <row r="86" ht="14.25" customHeight="1">
      <c r="B86" s="36"/>
      <c r="C86" s="8" t="s">
        <v>163</v>
      </c>
      <c r="D86" s="9">
        <v>20.0</v>
      </c>
      <c r="E86" s="37"/>
      <c r="F86" s="12"/>
      <c r="G86" s="9"/>
      <c r="H86" s="38"/>
      <c r="I86" s="9"/>
    </row>
    <row r="87" ht="14.25" customHeight="1">
      <c r="B87" s="36"/>
      <c r="C87" s="8" t="s">
        <v>164</v>
      </c>
      <c r="D87" s="9">
        <v>20.0</v>
      </c>
      <c r="E87" s="37"/>
      <c r="F87" s="12"/>
      <c r="G87" s="9"/>
      <c r="H87" s="38"/>
      <c r="I87" s="9"/>
    </row>
    <row r="88" ht="14.25" customHeight="1">
      <c r="B88" s="36"/>
      <c r="C88" s="8" t="s">
        <v>107</v>
      </c>
      <c r="D88" s="9">
        <v>100.0</v>
      </c>
      <c r="E88" s="37"/>
      <c r="F88" s="12"/>
      <c r="G88" s="9"/>
      <c r="H88" s="38"/>
      <c r="I88" s="9"/>
    </row>
    <row r="89" ht="14.25" customHeight="1">
      <c r="B89" s="36"/>
      <c r="C89" s="8" t="s">
        <v>18</v>
      </c>
      <c r="D89" s="9">
        <v>100.0</v>
      </c>
      <c r="E89" s="37"/>
      <c r="F89" s="12"/>
      <c r="G89" s="9"/>
      <c r="H89" s="38"/>
      <c r="I89" s="9"/>
    </row>
    <row r="90" ht="14.25" customHeight="1">
      <c r="B90" s="36"/>
      <c r="C90" s="8" t="s">
        <v>168</v>
      </c>
      <c r="D90" s="9">
        <v>1.0</v>
      </c>
      <c r="E90" s="37"/>
      <c r="F90" s="12"/>
      <c r="G90" s="9"/>
      <c r="H90" s="38"/>
      <c r="I90" s="9"/>
    </row>
    <row r="91" ht="14.25" customHeight="1">
      <c r="B91" s="36"/>
      <c r="C91" s="8" t="s">
        <v>169</v>
      </c>
      <c r="D91" s="10">
        <v>2.5</v>
      </c>
      <c r="E91" s="37"/>
      <c r="F91" s="12"/>
      <c r="G91" s="9"/>
      <c r="H91" s="38"/>
      <c r="I91" s="9"/>
    </row>
    <row r="92" ht="14.25" customHeight="1">
      <c r="B92" s="36"/>
      <c r="C92" s="8" t="s">
        <v>84</v>
      </c>
      <c r="D92" s="10">
        <v>0.3</v>
      </c>
      <c r="E92" s="37"/>
      <c r="F92" s="12"/>
      <c r="G92" s="9"/>
      <c r="H92" s="38"/>
      <c r="I92" s="9"/>
    </row>
    <row r="93" ht="14.25" customHeight="1">
      <c r="D93" s="28">
        <f>SUM(D81:D92)</f>
        <v>999.8</v>
      </c>
      <c r="E93" s="29"/>
      <c r="F93" s="30">
        <f t="shared" ref="F93:I93" si="12">SUM(F81:F92)</f>
        <v>0</v>
      </c>
      <c r="G93" s="28">
        <f t="shared" si="12"/>
        <v>0</v>
      </c>
      <c r="H93" s="39">
        <f t="shared" si="12"/>
        <v>0</v>
      </c>
      <c r="I93" s="28">
        <f t="shared" si="12"/>
        <v>0</v>
      </c>
    </row>
    <row r="94" ht="14.25" customHeight="1"/>
    <row r="95" ht="14.25" customHeight="1"/>
    <row r="96" ht="14.25" customHeight="1">
      <c r="C96" s="1" t="s">
        <v>176</v>
      </c>
      <c r="D96" s="2"/>
      <c r="E96" s="2"/>
      <c r="F96" s="2"/>
      <c r="G96" s="2"/>
      <c r="H96" s="2"/>
      <c r="I96" s="33"/>
    </row>
    <row r="97" ht="14.25" customHeight="1">
      <c r="B97" s="4">
        <v>7.0</v>
      </c>
      <c r="C97" s="5" t="s">
        <v>4</v>
      </c>
      <c r="D97" s="6" t="s">
        <v>5</v>
      </c>
      <c r="E97" s="6" t="s">
        <v>8</v>
      </c>
      <c r="F97" s="6" t="s">
        <v>74</v>
      </c>
      <c r="G97" s="6" t="s">
        <v>11</v>
      </c>
      <c r="H97" s="6" t="s">
        <v>13</v>
      </c>
      <c r="I97" s="6" t="s">
        <v>14</v>
      </c>
    </row>
    <row r="98" ht="14.25" customHeight="1">
      <c r="C98" s="8" t="s">
        <v>182</v>
      </c>
      <c r="D98" s="10">
        <v>33.3</v>
      </c>
      <c r="E98" s="10"/>
      <c r="F98" s="12"/>
      <c r="G98" s="9"/>
      <c r="H98" s="9"/>
      <c r="I98" s="9"/>
    </row>
    <row r="99" ht="14.25" customHeight="1">
      <c r="C99" s="13" t="s">
        <v>184</v>
      </c>
      <c r="D99" s="10">
        <v>20.0</v>
      </c>
      <c r="E99" s="10"/>
      <c r="F99" s="12"/>
      <c r="G99" s="9"/>
      <c r="H99" s="9"/>
      <c r="I99" s="9"/>
    </row>
    <row r="100" ht="14.25" customHeight="1">
      <c r="C100" s="8" t="s">
        <v>185</v>
      </c>
      <c r="D100" s="9">
        <v>10.0</v>
      </c>
      <c r="E100" s="9"/>
      <c r="F100" s="12"/>
      <c r="G100" s="9"/>
      <c r="H100" s="9"/>
      <c r="I100" s="9"/>
    </row>
    <row r="101" ht="14.25" customHeight="1">
      <c r="C101" s="8" t="s">
        <v>17</v>
      </c>
      <c r="D101" s="9">
        <v>70.0</v>
      </c>
      <c r="E101" s="9"/>
      <c r="F101" s="12"/>
      <c r="G101" s="9"/>
      <c r="H101" s="9"/>
      <c r="I101" s="9"/>
    </row>
    <row r="102" ht="14.25" customHeight="1">
      <c r="C102" s="8" t="s">
        <v>187</v>
      </c>
      <c r="D102" s="9">
        <v>70.0</v>
      </c>
      <c r="E102" s="9"/>
      <c r="F102" s="12"/>
      <c r="G102" s="9"/>
      <c r="H102" s="9"/>
      <c r="I102" s="9"/>
    </row>
    <row r="103" ht="14.25" customHeight="1">
      <c r="C103" s="8" t="s">
        <v>188</v>
      </c>
      <c r="D103" s="9">
        <v>10.0</v>
      </c>
      <c r="E103" s="9"/>
      <c r="F103" s="12"/>
      <c r="G103" s="9"/>
      <c r="H103" s="9"/>
      <c r="I103" s="9"/>
    </row>
    <row r="104" ht="14.25" customHeight="1">
      <c r="C104" s="8" t="s">
        <v>190</v>
      </c>
      <c r="D104" s="9">
        <v>1.0</v>
      </c>
      <c r="E104" s="9"/>
      <c r="F104" s="12"/>
      <c r="G104" s="9"/>
      <c r="H104" s="9"/>
      <c r="I104" s="9"/>
    </row>
    <row r="105" ht="14.25" customHeight="1">
      <c r="C105" s="8" t="s">
        <v>21</v>
      </c>
      <c r="D105" s="9">
        <v>50.0</v>
      </c>
      <c r="E105" s="9"/>
      <c r="F105" s="12"/>
      <c r="G105" s="9"/>
      <c r="H105" s="9"/>
      <c r="I105" s="9"/>
    </row>
    <row r="106" ht="14.25" customHeight="1">
      <c r="C106" s="13" t="s">
        <v>22</v>
      </c>
      <c r="D106" s="24">
        <v>2.0</v>
      </c>
      <c r="E106" s="9"/>
      <c r="F106" s="12"/>
      <c r="G106" s="9"/>
      <c r="H106" s="9"/>
      <c r="I106" s="9"/>
    </row>
    <row r="107" ht="14.25" customHeight="1">
      <c r="C107" s="13" t="s">
        <v>26</v>
      </c>
      <c r="D107" s="9">
        <v>1.0</v>
      </c>
      <c r="E107" s="9"/>
      <c r="F107" s="12"/>
      <c r="G107" s="9"/>
      <c r="H107" s="9"/>
      <c r="I107" s="9"/>
    </row>
    <row r="108" ht="14.25" customHeight="1">
      <c r="C108" s="13" t="s">
        <v>194</v>
      </c>
      <c r="D108" s="9">
        <v>733.0</v>
      </c>
      <c r="E108" s="9"/>
      <c r="F108" s="12"/>
      <c r="G108" s="9"/>
      <c r="H108" s="9"/>
      <c r="I108" s="9"/>
    </row>
    <row r="109" ht="14.25" customHeight="1">
      <c r="C109" s="19"/>
      <c r="D109" s="20">
        <f>SUM(D98:D108)</f>
        <v>1000.3</v>
      </c>
      <c r="E109" s="21"/>
      <c r="F109" s="22">
        <f t="shared" ref="F109:I109" si="13">SUM(F98:F108)</f>
        <v>0</v>
      </c>
      <c r="G109" s="20">
        <f t="shared" si="13"/>
        <v>0</v>
      </c>
      <c r="H109" s="23">
        <f t="shared" si="13"/>
        <v>0</v>
      </c>
      <c r="I109" s="23">
        <f t="shared" si="13"/>
        <v>0</v>
      </c>
    </row>
    <row r="110" ht="14.25" customHeight="1"/>
    <row r="111" ht="14.25" customHeight="1"/>
    <row r="112" ht="14.25" customHeight="1">
      <c r="C112" s="1" t="s">
        <v>197</v>
      </c>
      <c r="D112" s="2"/>
      <c r="E112" s="2"/>
      <c r="F112" s="2"/>
      <c r="G112" s="2"/>
      <c r="H112" s="2"/>
      <c r="I112" s="33"/>
    </row>
    <row r="113" ht="14.25" customHeight="1">
      <c r="B113" s="4">
        <v>8.0</v>
      </c>
      <c r="C113" s="5" t="s">
        <v>4</v>
      </c>
      <c r="D113" s="6" t="s">
        <v>5</v>
      </c>
      <c r="E113" s="6" t="s">
        <v>8</v>
      </c>
      <c r="F113" s="6" t="s">
        <v>9</v>
      </c>
      <c r="G113" s="6" t="s">
        <v>11</v>
      </c>
      <c r="H113" s="6" t="s">
        <v>13</v>
      </c>
      <c r="I113" s="6" t="s">
        <v>14</v>
      </c>
    </row>
    <row r="114" ht="14.25" customHeight="1">
      <c r="C114" s="13" t="s">
        <v>199</v>
      </c>
      <c r="D114" s="9">
        <v>50.0</v>
      </c>
      <c r="E114" s="10"/>
      <c r="F114" s="12">
        <f>(E114/1000)*D114</f>
        <v>0</v>
      </c>
      <c r="G114" s="9"/>
      <c r="H114" s="9"/>
      <c r="I114" s="9"/>
    </row>
    <row r="115" ht="14.25" customHeight="1">
      <c r="C115" s="13" t="s">
        <v>67</v>
      </c>
      <c r="D115" s="9">
        <v>5.0</v>
      </c>
      <c r="E115" s="10"/>
      <c r="F115" s="12"/>
      <c r="G115" s="9"/>
      <c r="H115" s="9"/>
      <c r="I115" s="9"/>
    </row>
    <row r="116" ht="14.25" customHeight="1">
      <c r="C116" s="13" t="s">
        <v>201</v>
      </c>
      <c r="D116" s="9">
        <v>50.0</v>
      </c>
      <c r="E116" s="10"/>
      <c r="F116" s="12"/>
      <c r="G116" s="9"/>
      <c r="H116" s="9"/>
      <c r="I116" s="9"/>
    </row>
    <row r="117" ht="14.25" customHeight="1">
      <c r="C117" s="13" t="s">
        <v>17</v>
      </c>
      <c r="D117" s="9">
        <v>70.0</v>
      </c>
      <c r="E117" s="10"/>
      <c r="F117" s="12"/>
      <c r="G117" s="9"/>
      <c r="H117" s="9"/>
      <c r="I117" s="9"/>
    </row>
    <row r="118" ht="14.25" customHeight="1">
      <c r="C118" s="13" t="s">
        <v>203</v>
      </c>
      <c r="D118" s="9">
        <v>70.0</v>
      </c>
      <c r="E118" s="10"/>
      <c r="F118" s="12"/>
      <c r="G118" s="9"/>
      <c r="H118" s="9"/>
      <c r="I118" s="9"/>
    </row>
    <row r="119" ht="14.25" customHeight="1">
      <c r="C119" s="13" t="s">
        <v>84</v>
      </c>
      <c r="D119" s="9">
        <v>3.0</v>
      </c>
      <c r="E119" s="10"/>
      <c r="F119" s="12"/>
      <c r="G119" s="9"/>
      <c r="H119" s="9"/>
      <c r="I119" s="9"/>
    </row>
    <row r="120" ht="14.25" customHeight="1">
      <c r="C120" s="13" t="s">
        <v>205</v>
      </c>
      <c r="D120" s="10">
        <v>2.5</v>
      </c>
      <c r="E120" s="10"/>
      <c r="F120" s="12"/>
      <c r="G120" s="9"/>
      <c r="H120" s="9"/>
      <c r="I120" s="9"/>
    </row>
    <row r="121" ht="14.25" customHeight="1">
      <c r="C121" s="13" t="s">
        <v>207</v>
      </c>
      <c r="D121" s="9">
        <v>750.0</v>
      </c>
      <c r="E121" s="10"/>
      <c r="F121" s="12"/>
      <c r="G121" s="9"/>
      <c r="H121" s="9"/>
      <c r="I121" s="9"/>
    </row>
    <row r="122" ht="14.25" customHeight="1">
      <c r="C122" s="19"/>
      <c r="D122" s="20">
        <f>SUM(D114:D121)</f>
        <v>1000.5</v>
      </c>
      <c r="E122" s="21"/>
      <c r="F122" s="22">
        <f t="shared" ref="F122:I122" si="14">SUM(F114:F121)</f>
        <v>0</v>
      </c>
      <c r="G122" s="20">
        <f t="shared" si="14"/>
        <v>0</v>
      </c>
      <c r="H122" s="23">
        <f t="shared" si="14"/>
        <v>0</v>
      </c>
      <c r="I122" s="23">
        <f t="shared" si="14"/>
        <v>0</v>
      </c>
    </row>
    <row r="123" ht="14.25" customHeight="1"/>
    <row r="124" ht="14.25" customHeight="1"/>
    <row r="125" ht="14.25" customHeight="1">
      <c r="C125" s="1" t="s">
        <v>208</v>
      </c>
      <c r="D125" s="2"/>
      <c r="E125" s="2"/>
      <c r="F125" s="2"/>
      <c r="G125" s="2"/>
      <c r="H125" s="2"/>
      <c r="I125" s="33"/>
    </row>
    <row r="126" ht="14.25" customHeight="1">
      <c r="B126" s="4">
        <v>9.0</v>
      </c>
      <c r="C126" s="5" t="s">
        <v>4</v>
      </c>
      <c r="D126" s="6" t="s">
        <v>5</v>
      </c>
      <c r="E126" s="6" t="s">
        <v>8</v>
      </c>
      <c r="F126" s="6" t="s">
        <v>9</v>
      </c>
      <c r="G126" s="6" t="s">
        <v>11</v>
      </c>
      <c r="H126" s="6" t="s">
        <v>13</v>
      </c>
      <c r="I126" s="6" t="s">
        <v>14</v>
      </c>
    </row>
    <row r="127" ht="14.25" customHeight="1">
      <c r="C127" s="13" t="s">
        <v>207</v>
      </c>
      <c r="D127" s="9">
        <v>820.0</v>
      </c>
      <c r="E127" s="10"/>
      <c r="F127" s="12">
        <f>(E127/1000)*D127</f>
        <v>0</v>
      </c>
      <c r="G127" s="9"/>
      <c r="H127" s="9"/>
      <c r="I127" s="9"/>
    </row>
    <row r="128" ht="14.25" customHeight="1">
      <c r="C128" s="13" t="s">
        <v>17</v>
      </c>
      <c r="D128" s="9">
        <v>70.0</v>
      </c>
      <c r="E128" s="10"/>
      <c r="F128" s="12"/>
      <c r="G128" s="9"/>
      <c r="H128" s="9"/>
      <c r="I128" s="9"/>
    </row>
    <row r="129" ht="14.25" customHeight="1">
      <c r="C129" s="13" t="s">
        <v>203</v>
      </c>
      <c r="D129" s="9">
        <v>70.0</v>
      </c>
      <c r="E129" s="10"/>
      <c r="F129" s="12"/>
      <c r="G129" s="9"/>
      <c r="H129" s="9"/>
      <c r="I129" s="9"/>
    </row>
    <row r="130" ht="14.25" customHeight="1">
      <c r="C130" s="13" t="s">
        <v>88</v>
      </c>
      <c r="D130" s="9">
        <v>10.0</v>
      </c>
      <c r="E130" s="10"/>
      <c r="F130" s="12"/>
      <c r="G130" s="9"/>
      <c r="H130" s="9"/>
      <c r="I130" s="9"/>
    </row>
    <row r="131" ht="14.25" customHeight="1">
      <c r="C131" s="13" t="s">
        <v>214</v>
      </c>
      <c r="D131" s="9">
        <v>10.0</v>
      </c>
      <c r="E131" s="10"/>
      <c r="F131" s="12"/>
      <c r="G131" s="9"/>
      <c r="H131" s="9"/>
      <c r="I131" s="9"/>
    </row>
    <row r="132" ht="14.25" customHeight="1">
      <c r="C132" s="13" t="s">
        <v>216</v>
      </c>
      <c r="D132" s="9">
        <v>10.0</v>
      </c>
      <c r="E132" s="10"/>
      <c r="F132" s="12"/>
      <c r="G132" s="9"/>
      <c r="H132" s="9"/>
      <c r="I132" s="9"/>
    </row>
    <row r="133" ht="14.25" customHeight="1">
      <c r="C133" s="13" t="s">
        <v>154</v>
      </c>
      <c r="D133" s="10">
        <v>5.0</v>
      </c>
      <c r="E133" s="10"/>
      <c r="F133" s="12"/>
      <c r="G133" s="9"/>
      <c r="H133" s="9"/>
      <c r="I133" s="9"/>
    </row>
    <row r="134" ht="14.25" customHeight="1">
      <c r="C134" s="13" t="s">
        <v>205</v>
      </c>
      <c r="D134" s="10">
        <v>2.5</v>
      </c>
      <c r="E134" s="10"/>
      <c r="F134" s="12"/>
      <c r="G134" s="9"/>
      <c r="H134" s="9"/>
      <c r="I134" s="9"/>
    </row>
    <row r="135" ht="14.25" customHeight="1">
      <c r="C135" s="13" t="s">
        <v>220</v>
      </c>
      <c r="D135" s="10">
        <v>1.0</v>
      </c>
      <c r="E135" s="10"/>
      <c r="F135" s="12"/>
      <c r="G135" s="9"/>
      <c r="H135" s="9"/>
      <c r="I135" s="9"/>
    </row>
    <row r="136" ht="14.25" customHeight="1">
      <c r="C136" s="13" t="s">
        <v>223</v>
      </c>
      <c r="D136" s="9">
        <v>2.0</v>
      </c>
      <c r="E136" s="10"/>
      <c r="F136" s="12"/>
      <c r="G136" s="9"/>
      <c r="H136" s="9"/>
      <c r="I136" s="9"/>
    </row>
    <row r="137" ht="14.25" customHeight="1">
      <c r="C137" s="19"/>
      <c r="D137" s="20">
        <f>SUM(D127:D136)</f>
        <v>1000.5</v>
      </c>
      <c r="E137" s="21"/>
      <c r="F137" s="22">
        <f t="shared" ref="F137:I137" si="15">SUM(F127:F136)</f>
        <v>0</v>
      </c>
      <c r="G137" s="20">
        <f t="shared" si="15"/>
        <v>0</v>
      </c>
      <c r="H137" s="23">
        <f t="shared" si="15"/>
        <v>0</v>
      </c>
      <c r="I137" s="23">
        <f t="shared" si="15"/>
        <v>0</v>
      </c>
    </row>
    <row r="138" ht="14.25" customHeight="1"/>
    <row r="139" ht="14.25" customHeight="1"/>
    <row r="140" ht="14.25" customHeight="1">
      <c r="C140" s="1" t="s">
        <v>226</v>
      </c>
      <c r="D140" s="2"/>
      <c r="E140" s="2"/>
      <c r="F140" s="2"/>
      <c r="G140" s="2"/>
      <c r="H140" s="2"/>
      <c r="I140" s="33"/>
    </row>
    <row r="141" ht="14.25" customHeight="1">
      <c r="B141" s="4">
        <v>10.0</v>
      </c>
      <c r="C141" s="5" t="s">
        <v>4</v>
      </c>
      <c r="D141" s="6" t="s">
        <v>5</v>
      </c>
      <c r="E141" s="6" t="s">
        <v>8</v>
      </c>
      <c r="F141" s="6" t="s">
        <v>9</v>
      </c>
      <c r="G141" s="6" t="s">
        <v>11</v>
      </c>
      <c r="H141" s="6" t="s">
        <v>13</v>
      </c>
      <c r="I141" s="6" t="s">
        <v>14</v>
      </c>
    </row>
    <row r="142" ht="14.25" customHeight="1">
      <c r="C142" s="13" t="s">
        <v>207</v>
      </c>
      <c r="D142" s="9">
        <v>812.0</v>
      </c>
      <c r="E142" s="10"/>
      <c r="F142" s="12">
        <f>(E142/1000)*D142</f>
        <v>0</v>
      </c>
      <c r="G142" s="9"/>
      <c r="H142" s="9"/>
      <c r="I142" s="9"/>
    </row>
    <row r="143" ht="14.25" customHeight="1">
      <c r="C143" s="13" t="s">
        <v>17</v>
      </c>
      <c r="D143" s="9">
        <v>70.0</v>
      </c>
      <c r="E143" s="10"/>
      <c r="F143" s="12"/>
      <c r="G143" s="9"/>
      <c r="H143" s="9"/>
      <c r="I143" s="9"/>
    </row>
    <row r="144" ht="14.25" customHeight="1">
      <c r="C144" s="13" t="s">
        <v>203</v>
      </c>
      <c r="D144" s="9">
        <v>70.0</v>
      </c>
      <c r="E144" s="10"/>
      <c r="F144" s="12"/>
      <c r="G144" s="9"/>
      <c r="H144" s="9"/>
      <c r="I144" s="9"/>
    </row>
    <row r="145" ht="14.25" customHeight="1">
      <c r="C145" s="13" t="s">
        <v>234</v>
      </c>
      <c r="D145" s="9">
        <v>15.0</v>
      </c>
      <c r="E145" s="10"/>
      <c r="F145" s="12"/>
      <c r="G145" s="9"/>
      <c r="H145" s="9"/>
      <c r="I145" s="9"/>
    </row>
    <row r="146" ht="14.25" customHeight="1">
      <c r="C146" s="13" t="s">
        <v>85</v>
      </c>
      <c r="D146" s="9">
        <v>5.0</v>
      </c>
      <c r="E146" s="10"/>
      <c r="F146" s="12"/>
      <c r="G146" s="9"/>
      <c r="H146" s="9"/>
      <c r="I146" s="9"/>
    </row>
    <row r="147" ht="14.25" customHeight="1">
      <c r="C147" s="13" t="s">
        <v>238</v>
      </c>
      <c r="D147" s="9">
        <v>15.0</v>
      </c>
      <c r="E147" s="10"/>
      <c r="F147" s="12"/>
      <c r="G147" s="9"/>
      <c r="H147" s="9"/>
      <c r="I147" s="9"/>
    </row>
    <row r="148" ht="14.25" customHeight="1">
      <c r="C148" s="13" t="s">
        <v>239</v>
      </c>
      <c r="D148" s="9">
        <v>10.0</v>
      </c>
      <c r="E148" s="10"/>
      <c r="F148" s="12"/>
      <c r="G148" s="9"/>
      <c r="H148" s="9"/>
      <c r="I148" s="9"/>
    </row>
    <row r="149" ht="14.25" customHeight="1">
      <c r="C149" s="13" t="s">
        <v>180</v>
      </c>
      <c r="D149" s="27">
        <v>0.02</v>
      </c>
      <c r="E149" s="10"/>
      <c r="F149" s="12"/>
      <c r="G149" s="9"/>
      <c r="H149" s="9"/>
      <c r="I149" s="9"/>
    </row>
    <row r="150" ht="14.25" customHeight="1">
      <c r="C150" s="13" t="s">
        <v>220</v>
      </c>
      <c r="D150" s="9">
        <v>2.0</v>
      </c>
      <c r="E150" s="10"/>
      <c r="F150" s="12"/>
      <c r="G150" s="9"/>
      <c r="H150" s="9"/>
      <c r="I150" s="9"/>
    </row>
    <row r="151" ht="14.25" customHeight="1">
      <c r="C151" s="13" t="s">
        <v>241</v>
      </c>
      <c r="D151" s="9">
        <v>1.0</v>
      </c>
      <c r="E151" s="10"/>
      <c r="F151" s="12"/>
      <c r="G151" s="9"/>
      <c r="H151" s="9"/>
      <c r="I151" s="9"/>
    </row>
    <row r="152" ht="14.25" customHeight="1">
      <c r="C152" s="19"/>
      <c r="D152" s="20">
        <f>SUM(D142:D151)</f>
        <v>1000.02</v>
      </c>
      <c r="E152" s="21"/>
      <c r="F152" s="22">
        <f t="shared" ref="F152:I152" si="16">SUM(F142:F151)</f>
        <v>0</v>
      </c>
      <c r="G152" s="20">
        <f t="shared" si="16"/>
        <v>0</v>
      </c>
      <c r="H152" s="23">
        <f t="shared" si="16"/>
        <v>0</v>
      </c>
      <c r="I152" s="23">
        <f t="shared" si="16"/>
        <v>0</v>
      </c>
    </row>
    <row r="153" ht="14.25" customHeight="1"/>
    <row r="154" ht="14.25" customHeight="1"/>
    <row r="155" ht="14.25" customHeight="1">
      <c r="C155" s="1" t="s">
        <v>245</v>
      </c>
      <c r="D155" s="2"/>
      <c r="E155" s="2"/>
      <c r="F155" s="2"/>
      <c r="G155" s="2"/>
      <c r="H155" s="2"/>
      <c r="I155" s="33"/>
    </row>
    <row r="156" ht="14.25" customHeight="1">
      <c r="B156" s="4">
        <v>11.0</v>
      </c>
      <c r="C156" s="5" t="s">
        <v>4</v>
      </c>
      <c r="D156" s="6" t="s">
        <v>5</v>
      </c>
      <c r="E156" s="6" t="s">
        <v>8</v>
      </c>
      <c r="F156" s="6" t="s">
        <v>9</v>
      </c>
      <c r="G156" s="6" t="s">
        <v>11</v>
      </c>
      <c r="H156" s="6" t="s">
        <v>13</v>
      </c>
      <c r="I156" s="6" t="s">
        <v>14</v>
      </c>
    </row>
    <row r="157" ht="14.25" customHeight="1">
      <c r="C157" s="13" t="s">
        <v>207</v>
      </c>
      <c r="D157" s="9">
        <v>827.0</v>
      </c>
      <c r="E157" s="10"/>
      <c r="F157" s="12">
        <f>(E157/1000)*D157</f>
        <v>0</v>
      </c>
      <c r="G157" s="9"/>
      <c r="H157" s="9"/>
      <c r="I157" s="9"/>
    </row>
    <row r="158" ht="14.25" customHeight="1">
      <c r="C158" s="13" t="s">
        <v>17</v>
      </c>
      <c r="D158" s="9">
        <v>70.0</v>
      </c>
      <c r="E158" s="10"/>
      <c r="F158" s="12"/>
      <c r="G158" s="9"/>
      <c r="H158" s="9"/>
      <c r="I158" s="9"/>
    </row>
    <row r="159" ht="14.25" customHeight="1">
      <c r="C159" s="13" t="s">
        <v>203</v>
      </c>
      <c r="D159" s="9">
        <v>70.0</v>
      </c>
      <c r="E159" s="10"/>
      <c r="F159" s="12"/>
      <c r="G159" s="9"/>
      <c r="H159" s="9"/>
      <c r="I159" s="9"/>
    </row>
    <row r="160" ht="14.25" customHeight="1">
      <c r="C160" s="13" t="s">
        <v>85</v>
      </c>
      <c r="D160" s="9">
        <v>5.0</v>
      </c>
      <c r="E160" s="10"/>
      <c r="F160" s="12"/>
      <c r="G160" s="9"/>
      <c r="H160" s="9"/>
      <c r="I160" s="9"/>
    </row>
    <row r="161" ht="14.25" customHeight="1">
      <c r="C161" s="13" t="s">
        <v>238</v>
      </c>
      <c r="D161" s="9">
        <v>15.0</v>
      </c>
      <c r="E161" s="10"/>
      <c r="F161" s="12"/>
      <c r="G161" s="9"/>
      <c r="H161" s="9"/>
      <c r="I161" s="9"/>
    </row>
    <row r="162" ht="14.25" customHeight="1">
      <c r="C162" s="13" t="s">
        <v>239</v>
      </c>
      <c r="D162" s="9">
        <v>10.0</v>
      </c>
      <c r="E162" s="10"/>
      <c r="F162" s="12"/>
      <c r="G162" s="9"/>
      <c r="H162" s="9"/>
      <c r="I162" s="9"/>
    </row>
    <row r="163" ht="14.25" customHeight="1">
      <c r="C163" s="13" t="s">
        <v>180</v>
      </c>
      <c r="D163" s="27">
        <v>0.02</v>
      </c>
      <c r="E163" s="10"/>
      <c r="F163" s="12"/>
      <c r="G163" s="9"/>
      <c r="H163" s="9"/>
      <c r="I163" s="9"/>
    </row>
    <row r="164" ht="14.25" customHeight="1">
      <c r="C164" s="13" t="s">
        <v>220</v>
      </c>
      <c r="D164" s="9">
        <v>2.0</v>
      </c>
      <c r="E164" s="10"/>
      <c r="F164" s="12"/>
      <c r="G164" s="9"/>
      <c r="H164" s="9"/>
      <c r="I164" s="9"/>
    </row>
    <row r="165" ht="14.25" customHeight="1">
      <c r="C165" s="13" t="s">
        <v>241</v>
      </c>
      <c r="D165" s="9">
        <v>1.0</v>
      </c>
      <c r="E165" s="10"/>
      <c r="F165" s="12"/>
      <c r="G165" s="9"/>
      <c r="H165" s="9"/>
      <c r="I165" s="9"/>
    </row>
    <row r="166" ht="14.25" customHeight="1">
      <c r="C166" s="19"/>
      <c r="D166" s="20">
        <f>SUM(D157:D165)</f>
        <v>1000.02</v>
      </c>
      <c r="E166" s="21"/>
      <c r="F166" s="22">
        <f t="shared" ref="F166:I166" si="17">SUM(F157:F165)</f>
        <v>0</v>
      </c>
      <c r="G166" s="20">
        <f t="shared" si="17"/>
        <v>0</v>
      </c>
      <c r="H166" s="23">
        <f t="shared" si="17"/>
        <v>0</v>
      </c>
      <c r="I166" s="23">
        <f t="shared" si="17"/>
        <v>0</v>
      </c>
    </row>
    <row r="167" ht="14.25" customHeight="1"/>
    <row r="168" ht="14.25" customHeight="1"/>
    <row r="169" ht="14.25" customHeight="1">
      <c r="C169" s="1" t="s">
        <v>260</v>
      </c>
      <c r="D169" s="2"/>
      <c r="E169" s="2"/>
      <c r="F169" s="2"/>
      <c r="G169" s="2"/>
      <c r="H169" s="2"/>
      <c r="I169" s="33"/>
    </row>
    <row r="170" ht="14.25" customHeight="1">
      <c r="B170" s="4">
        <v>11.0</v>
      </c>
      <c r="C170" s="5" t="s">
        <v>4</v>
      </c>
      <c r="D170" s="6" t="s">
        <v>5</v>
      </c>
      <c r="E170" s="6" t="s">
        <v>8</v>
      </c>
      <c r="F170" s="6" t="s">
        <v>9</v>
      </c>
      <c r="G170" s="6" t="s">
        <v>11</v>
      </c>
      <c r="H170" s="6" t="s">
        <v>13</v>
      </c>
      <c r="I170" s="6" t="s">
        <v>14</v>
      </c>
    </row>
    <row r="171" ht="14.25" customHeight="1">
      <c r="C171" s="13" t="s">
        <v>207</v>
      </c>
      <c r="D171" s="9">
        <v>716.0</v>
      </c>
      <c r="E171" s="10"/>
      <c r="F171" s="12">
        <f>(E171/1000)*D171</f>
        <v>0</v>
      </c>
      <c r="G171" s="9"/>
      <c r="H171" s="9"/>
      <c r="I171" s="9"/>
    </row>
    <row r="172" ht="14.25" customHeight="1">
      <c r="C172" s="13" t="s">
        <v>88</v>
      </c>
      <c r="D172" s="9">
        <v>40.0</v>
      </c>
      <c r="E172" s="10"/>
      <c r="F172" s="12"/>
      <c r="G172" s="9"/>
      <c r="H172" s="9"/>
      <c r="I172" s="9"/>
    </row>
    <row r="173" ht="14.25" customHeight="1">
      <c r="C173" s="13" t="s">
        <v>29</v>
      </c>
      <c r="D173" s="9">
        <v>30.0</v>
      </c>
      <c r="E173" s="10"/>
      <c r="F173" s="12"/>
      <c r="G173" s="9"/>
      <c r="H173" s="9"/>
      <c r="I173" s="9"/>
    </row>
    <row r="174" ht="14.25" customHeight="1">
      <c r="C174" s="13" t="s">
        <v>65</v>
      </c>
      <c r="D174" s="9">
        <v>50.0</v>
      </c>
      <c r="E174" s="10"/>
      <c r="F174" s="12"/>
      <c r="G174" s="9"/>
      <c r="H174" s="9"/>
      <c r="I174" s="9"/>
    </row>
    <row r="175" ht="14.25" customHeight="1">
      <c r="C175" s="13" t="s">
        <v>109</v>
      </c>
      <c r="D175" s="9">
        <v>20.0</v>
      </c>
      <c r="E175" s="10"/>
      <c r="F175" s="12"/>
      <c r="G175" s="9"/>
      <c r="H175" s="9"/>
      <c r="I175" s="9"/>
    </row>
    <row r="176" ht="14.25" customHeight="1">
      <c r="C176" s="13" t="s">
        <v>266</v>
      </c>
      <c r="D176" s="9">
        <v>5.0</v>
      </c>
      <c r="E176" s="10"/>
      <c r="F176" s="12"/>
      <c r="G176" s="9"/>
      <c r="H176" s="9"/>
      <c r="I176" s="9"/>
    </row>
    <row r="177" ht="14.25" customHeight="1">
      <c r="C177" s="13" t="s">
        <v>268</v>
      </c>
      <c r="D177" s="9">
        <v>60.0</v>
      </c>
      <c r="E177" s="10"/>
      <c r="F177" s="12"/>
      <c r="G177" s="9"/>
      <c r="H177" s="9"/>
      <c r="I177" s="9"/>
    </row>
    <row r="178" ht="14.25" customHeight="1">
      <c r="C178" s="13" t="s">
        <v>27</v>
      </c>
      <c r="D178" s="9">
        <v>50.0</v>
      </c>
      <c r="E178" s="10"/>
      <c r="F178" s="12"/>
      <c r="G178" s="9"/>
      <c r="H178" s="9"/>
      <c r="I178" s="9"/>
    </row>
    <row r="179" ht="14.25" customHeight="1">
      <c r="C179" s="13" t="s">
        <v>270</v>
      </c>
      <c r="D179" s="9">
        <v>20.0</v>
      </c>
      <c r="E179" s="10"/>
      <c r="F179" s="12"/>
      <c r="G179" s="9"/>
      <c r="H179" s="9"/>
      <c r="I179" s="9"/>
    </row>
    <row r="180" ht="14.25" customHeight="1">
      <c r="C180" s="13" t="s">
        <v>31</v>
      </c>
      <c r="D180" s="9">
        <v>3.0</v>
      </c>
      <c r="E180" s="10"/>
      <c r="F180" s="12"/>
      <c r="G180" s="9"/>
      <c r="H180" s="9"/>
      <c r="I180" s="9"/>
    </row>
    <row r="181" ht="14.25" customHeight="1">
      <c r="C181" s="13" t="s">
        <v>116</v>
      </c>
      <c r="D181" s="10">
        <v>2.5</v>
      </c>
      <c r="E181" s="10"/>
      <c r="F181" s="12"/>
      <c r="G181" s="9"/>
      <c r="H181" s="9"/>
      <c r="I181" s="9"/>
    </row>
    <row r="182" ht="14.25" customHeight="1">
      <c r="C182" s="13" t="s">
        <v>85</v>
      </c>
      <c r="D182" s="9">
        <v>1.0</v>
      </c>
      <c r="E182" s="10"/>
      <c r="F182" s="12"/>
      <c r="G182" s="9"/>
      <c r="H182" s="9"/>
      <c r="I182" s="9"/>
    </row>
    <row r="183" ht="14.25" customHeight="1">
      <c r="C183" s="13" t="s">
        <v>220</v>
      </c>
      <c r="D183" s="9">
        <v>2.0</v>
      </c>
      <c r="E183" s="10"/>
      <c r="F183" s="12"/>
      <c r="G183" s="9"/>
      <c r="H183" s="9"/>
      <c r="I183" s="9"/>
    </row>
    <row r="184" ht="14.25" customHeight="1">
      <c r="C184" s="19"/>
      <c r="D184" s="20">
        <f>SUM(D171:D183)</f>
        <v>999.5</v>
      </c>
      <c r="E184" s="21"/>
      <c r="F184" s="22">
        <f t="shared" ref="F184:I184" si="18">SUM(F171:F183)</f>
        <v>0</v>
      </c>
      <c r="G184" s="20">
        <f t="shared" si="18"/>
        <v>0</v>
      </c>
      <c r="H184" s="23">
        <f t="shared" si="18"/>
        <v>0</v>
      </c>
      <c r="I184" s="23">
        <f t="shared" si="18"/>
        <v>0</v>
      </c>
    </row>
    <row r="185" ht="14.25" customHeight="1"/>
    <row r="186" ht="14.25" customHeight="1"/>
    <row r="187" ht="14.25" customHeight="1">
      <c r="C187" s="1" t="s">
        <v>277</v>
      </c>
      <c r="D187" s="2"/>
      <c r="E187" s="2"/>
      <c r="F187" s="2"/>
      <c r="G187" s="2"/>
      <c r="H187" s="2"/>
      <c r="I187" s="33"/>
    </row>
    <row r="188" ht="14.25" customHeight="1">
      <c r="B188" s="4">
        <v>11.0</v>
      </c>
      <c r="C188" s="5" t="s">
        <v>4</v>
      </c>
      <c r="D188" s="6" t="s">
        <v>5</v>
      </c>
      <c r="E188" s="6" t="s">
        <v>8</v>
      </c>
      <c r="F188" s="6" t="s">
        <v>9</v>
      </c>
      <c r="G188" s="6" t="s">
        <v>11</v>
      </c>
      <c r="H188" s="6" t="s">
        <v>13</v>
      </c>
      <c r="I188" s="6" t="s">
        <v>14</v>
      </c>
    </row>
    <row r="189" ht="14.25" customHeight="1">
      <c r="C189" s="74" t="s">
        <v>116</v>
      </c>
      <c r="D189" s="10">
        <v>2.5</v>
      </c>
      <c r="E189" s="10"/>
      <c r="F189" s="12">
        <f>(E189/1000)*D189</f>
        <v>0</v>
      </c>
      <c r="G189" s="9"/>
      <c r="H189" s="9"/>
      <c r="I189" s="9"/>
    </row>
    <row r="190" ht="14.25" customHeight="1">
      <c r="C190" s="74" t="s">
        <v>280</v>
      </c>
      <c r="D190" s="9">
        <v>10.0</v>
      </c>
      <c r="E190" s="10"/>
      <c r="F190" s="12"/>
      <c r="G190" s="9"/>
      <c r="H190" s="9"/>
      <c r="I190" s="9"/>
    </row>
    <row r="191" ht="14.25" customHeight="1">
      <c r="C191" s="74" t="s">
        <v>77</v>
      </c>
      <c r="D191" s="9">
        <v>80.0</v>
      </c>
      <c r="E191" s="10"/>
      <c r="F191" s="12"/>
      <c r="G191" s="9"/>
      <c r="H191" s="9"/>
      <c r="I191" s="9"/>
    </row>
    <row r="192" ht="14.25" customHeight="1">
      <c r="C192" s="74" t="s">
        <v>80</v>
      </c>
      <c r="D192" s="9">
        <v>80.0</v>
      </c>
      <c r="E192" s="10"/>
      <c r="F192" s="12"/>
      <c r="G192" s="9"/>
      <c r="H192" s="9"/>
      <c r="I192" s="9"/>
    </row>
    <row r="193" ht="14.25" customHeight="1">
      <c r="C193" s="74" t="s">
        <v>57</v>
      </c>
      <c r="D193" s="9">
        <v>10.0</v>
      </c>
      <c r="E193" s="10"/>
      <c r="F193" s="12"/>
      <c r="G193" s="9"/>
      <c r="H193" s="9"/>
      <c r="I193" s="9"/>
    </row>
    <row r="194" ht="14.25" customHeight="1">
      <c r="C194" s="74" t="s">
        <v>218</v>
      </c>
      <c r="D194" s="9">
        <v>5.0</v>
      </c>
      <c r="E194" s="10"/>
      <c r="F194" s="12"/>
      <c r="G194" s="9"/>
      <c r="H194" s="9"/>
      <c r="I194" s="9"/>
    </row>
    <row r="195" ht="14.25" customHeight="1">
      <c r="C195" s="74" t="s">
        <v>282</v>
      </c>
      <c r="D195" s="9">
        <v>5.0</v>
      </c>
      <c r="E195" s="10"/>
      <c r="F195" s="12"/>
      <c r="G195" s="9"/>
      <c r="H195" s="9"/>
      <c r="I195" s="9"/>
    </row>
    <row r="196" ht="14.25" customHeight="1">
      <c r="C196" s="74" t="s">
        <v>31</v>
      </c>
      <c r="D196" s="9">
        <v>1.0</v>
      </c>
      <c r="E196" s="10"/>
      <c r="F196" s="12"/>
      <c r="G196" s="9"/>
      <c r="H196" s="9"/>
      <c r="I196" s="9"/>
    </row>
    <row r="197" ht="14.25" customHeight="1">
      <c r="C197" s="76" t="s">
        <v>284</v>
      </c>
      <c r="D197" s="9">
        <v>5.0</v>
      </c>
      <c r="E197" s="10"/>
      <c r="F197" s="12"/>
      <c r="G197" s="9"/>
      <c r="H197" s="9"/>
      <c r="I197" s="9"/>
    </row>
    <row r="198" ht="14.25" customHeight="1">
      <c r="C198" s="76" t="s">
        <v>285</v>
      </c>
      <c r="D198" s="9">
        <v>3.0</v>
      </c>
      <c r="E198" s="10"/>
      <c r="F198" s="12"/>
      <c r="G198" s="9"/>
      <c r="H198" s="9"/>
      <c r="I198" s="9"/>
    </row>
    <row r="199" ht="14.25" customHeight="1">
      <c r="C199" s="76" t="s">
        <v>286</v>
      </c>
      <c r="D199" s="9">
        <v>5.0</v>
      </c>
      <c r="E199" s="10"/>
      <c r="F199" s="12"/>
      <c r="G199" s="9"/>
      <c r="H199" s="9"/>
      <c r="I199" s="9"/>
    </row>
    <row r="200" ht="14.25" customHeight="1">
      <c r="C200" s="76" t="s">
        <v>228</v>
      </c>
      <c r="D200" s="9">
        <v>2.0</v>
      </c>
      <c r="E200" s="10"/>
      <c r="F200" s="12"/>
      <c r="G200" s="9"/>
      <c r="H200" s="9"/>
      <c r="I200" s="9"/>
    </row>
    <row r="201" ht="14.25" customHeight="1">
      <c r="C201" s="74" t="s">
        <v>104</v>
      </c>
      <c r="D201" s="9">
        <v>791.0</v>
      </c>
      <c r="E201" s="10"/>
      <c r="F201" s="12"/>
      <c r="G201" s="9"/>
      <c r="H201" s="9"/>
      <c r="I201" s="9"/>
    </row>
    <row r="202" ht="14.25" customHeight="1">
      <c r="C202" s="19"/>
      <c r="D202" s="20">
        <f>SUM(D189:D201)</f>
        <v>999.5</v>
      </c>
      <c r="E202" s="21"/>
      <c r="F202" s="22">
        <f t="shared" ref="F202:I202" si="19">SUM(F189:F201)</f>
        <v>0</v>
      </c>
      <c r="G202" s="20">
        <f t="shared" si="19"/>
        <v>0</v>
      </c>
      <c r="H202" s="23">
        <f t="shared" si="19"/>
        <v>0</v>
      </c>
      <c r="I202" s="23">
        <f t="shared" si="19"/>
        <v>0</v>
      </c>
    </row>
    <row r="203" ht="14.25" customHeight="1"/>
    <row r="204" ht="14.25" customHeight="1"/>
    <row r="205" ht="14.25" customHeight="1">
      <c r="C205" s="1" t="s">
        <v>289</v>
      </c>
      <c r="D205" s="2"/>
      <c r="E205" s="2"/>
      <c r="F205" s="2"/>
      <c r="G205" s="2"/>
      <c r="H205" s="2"/>
      <c r="I205" s="33"/>
    </row>
    <row r="206" ht="14.25" customHeight="1">
      <c r="B206" s="4">
        <v>11.0</v>
      </c>
      <c r="C206" s="5" t="s">
        <v>4</v>
      </c>
      <c r="D206" s="6" t="s">
        <v>5</v>
      </c>
      <c r="E206" s="6" t="s">
        <v>8</v>
      </c>
      <c r="F206" s="6" t="s">
        <v>9</v>
      </c>
      <c r="G206" s="6" t="s">
        <v>11</v>
      </c>
      <c r="H206" s="6" t="s">
        <v>13</v>
      </c>
      <c r="I206" s="6" t="s">
        <v>14</v>
      </c>
    </row>
    <row r="207" ht="14.25" customHeight="1">
      <c r="C207" s="74" t="s">
        <v>77</v>
      </c>
      <c r="D207" s="9">
        <v>70.0</v>
      </c>
      <c r="E207" s="10"/>
      <c r="F207" s="12">
        <f>(E207/1000)*D207</f>
        <v>0</v>
      </c>
      <c r="G207" s="9"/>
      <c r="H207" s="9"/>
      <c r="I207" s="9"/>
    </row>
    <row r="208" ht="14.25" customHeight="1">
      <c r="C208" s="74" t="s">
        <v>80</v>
      </c>
      <c r="D208" s="9">
        <v>70.0</v>
      </c>
      <c r="E208" s="10"/>
      <c r="F208" s="12"/>
      <c r="G208" s="9"/>
      <c r="H208" s="9"/>
      <c r="I208" s="9"/>
    </row>
    <row r="209" ht="14.25" customHeight="1">
      <c r="C209" s="74" t="s">
        <v>37</v>
      </c>
      <c r="D209" s="9">
        <v>1.0</v>
      </c>
      <c r="E209" s="10"/>
      <c r="F209" s="12"/>
      <c r="G209" s="9"/>
      <c r="H209" s="9"/>
      <c r="I209" s="9"/>
    </row>
    <row r="210" ht="14.25" customHeight="1">
      <c r="C210" s="74" t="s">
        <v>39</v>
      </c>
      <c r="D210" s="10">
        <v>2.5</v>
      </c>
      <c r="E210" s="10"/>
      <c r="F210" s="12"/>
      <c r="G210" s="9"/>
      <c r="H210" s="9"/>
      <c r="I210" s="9"/>
    </row>
    <row r="211" ht="14.25" customHeight="1">
      <c r="C211" s="74" t="s">
        <v>198</v>
      </c>
      <c r="D211" s="9">
        <v>5.0</v>
      </c>
      <c r="E211" s="10"/>
      <c r="F211" s="12"/>
      <c r="G211" s="9"/>
      <c r="H211" s="9"/>
      <c r="I211" s="9"/>
    </row>
    <row r="212" ht="14.25" customHeight="1">
      <c r="C212" s="74" t="s">
        <v>228</v>
      </c>
      <c r="D212" s="9">
        <v>10.0</v>
      </c>
      <c r="E212" s="10"/>
      <c r="F212" s="12"/>
      <c r="G212" s="9"/>
      <c r="H212" s="9"/>
      <c r="I212" s="9"/>
    </row>
    <row r="213" ht="14.25" customHeight="1">
      <c r="C213" s="74" t="s">
        <v>104</v>
      </c>
      <c r="D213" s="9">
        <v>840.0</v>
      </c>
      <c r="E213" s="10"/>
      <c r="F213" s="12"/>
      <c r="G213" s="9"/>
      <c r="H213" s="9"/>
      <c r="I213" s="9"/>
    </row>
    <row r="214" ht="14.25" customHeight="1">
      <c r="C214" s="74" t="s">
        <v>116</v>
      </c>
      <c r="D214" s="9">
        <v>1.0</v>
      </c>
      <c r="E214" s="10"/>
      <c r="F214" s="12"/>
      <c r="G214" s="9"/>
      <c r="H214" s="9"/>
      <c r="I214" s="9"/>
    </row>
    <row r="215" ht="14.25" customHeight="1">
      <c r="C215" s="19"/>
      <c r="D215" s="20">
        <f>SUM(D207:D214)</f>
        <v>999.5</v>
      </c>
      <c r="E215" s="21"/>
      <c r="F215" s="22">
        <f t="shared" ref="F215:I215" si="20">SUM(F207:F214)</f>
        <v>0</v>
      </c>
      <c r="G215" s="20">
        <f t="shared" si="20"/>
        <v>0</v>
      </c>
      <c r="H215" s="23">
        <f t="shared" si="20"/>
        <v>0</v>
      </c>
      <c r="I215" s="23">
        <f t="shared" si="20"/>
        <v>0</v>
      </c>
    </row>
    <row r="216" ht="14.25" customHeight="1"/>
    <row r="217" ht="14.25" customHeight="1"/>
    <row r="218" ht="14.25" customHeight="1">
      <c r="C218" s="1" t="s">
        <v>301</v>
      </c>
      <c r="D218" s="2"/>
      <c r="E218" s="2"/>
      <c r="F218" s="2"/>
      <c r="G218" s="2"/>
      <c r="H218" s="2"/>
      <c r="I218" s="33"/>
      <c r="J218" s="40" t="s">
        <v>302</v>
      </c>
    </row>
    <row r="219" ht="14.25" customHeight="1">
      <c r="B219" s="4">
        <v>11.0</v>
      </c>
      <c r="C219" s="5" t="s">
        <v>4</v>
      </c>
      <c r="D219" s="6" t="s">
        <v>5</v>
      </c>
      <c r="E219" s="6" t="s">
        <v>8</v>
      </c>
      <c r="F219" s="6" t="s">
        <v>9</v>
      </c>
      <c r="G219" s="6" t="s">
        <v>11</v>
      </c>
      <c r="H219" s="6" t="s">
        <v>13</v>
      </c>
      <c r="I219" s="6" t="s">
        <v>14</v>
      </c>
    </row>
    <row r="220" ht="14.25" customHeight="1">
      <c r="C220" s="74" t="s">
        <v>77</v>
      </c>
      <c r="D220" s="9">
        <v>50.0</v>
      </c>
      <c r="E220" s="10"/>
      <c r="F220" s="12">
        <f>(E220/1000)*D220</f>
        <v>0</v>
      </c>
      <c r="G220" s="9"/>
      <c r="H220" s="9"/>
      <c r="I220" s="9"/>
    </row>
    <row r="221" ht="14.25" customHeight="1">
      <c r="C221" s="74" t="s">
        <v>80</v>
      </c>
      <c r="D221" s="9">
        <v>50.0</v>
      </c>
      <c r="E221" s="10"/>
      <c r="F221" s="12"/>
      <c r="G221" s="9"/>
      <c r="H221" s="9"/>
      <c r="I221" s="9"/>
    </row>
    <row r="222" ht="14.25" customHeight="1">
      <c r="C222" s="74" t="s">
        <v>307</v>
      </c>
      <c r="D222" s="9">
        <v>10.0</v>
      </c>
      <c r="E222" s="10"/>
      <c r="F222" s="12"/>
      <c r="G222" s="9"/>
      <c r="H222" s="9"/>
      <c r="I222" s="9"/>
    </row>
    <row r="223" ht="14.25" customHeight="1">
      <c r="C223" s="74" t="s">
        <v>57</v>
      </c>
      <c r="D223" s="9">
        <v>10.0</v>
      </c>
      <c r="E223" s="10"/>
      <c r="F223" s="12"/>
      <c r="G223" s="9"/>
      <c r="H223" s="9"/>
      <c r="I223" s="9"/>
    </row>
    <row r="224" ht="14.25" customHeight="1">
      <c r="C224" s="74" t="s">
        <v>311</v>
      </c>
      <c r="D224" s="9">
        <v>5.0</v>
      </c>
      <c r="E224" s="10"/>
      <c r="F224" s="12"/>
      <c r="G224" s="9"/>
      <c r="H224" s="9"/>
      <c r="I224" s="9"/>
    </row>
    <row r="225" ht="14.25" customHeight="1">
      <c r="C225" s="74" t="s">
        <v>104</v>
      </c>
      <c r="D225" s="9">
        <v>870.0</v>
      </c>
      <c r="E225" s="10"/>
      <c r="F225" s="12"/>
      <c r="G225" s="9"/>
      <c r="H225" s="9"/>
      <c r="I225" s="9"/>
    </row>
    <row r="226" ht="14.25" customHeight="1">
      <c r="C226" s="74" t="s">
        <v>116</v>
      </c>
      <c r="D226" s="10">
        <v>2.5</v>
      </c>
      <c r="E226" s="10"/>
      <c r="F226" s="12"/>
      <c r="G226" s="9"/>
      <c r="H226" s="9"/>
      <c r="I226" s="9"/>
    </row>
    <row r="227" ht="14.25" customHeight="1">
      <c r="C227" s="77" t="s">
        <v>317</v>
      </c>
      <c r="D227" s="15">
        <v>2.0</v>
      </c>
      <c r="E227" s="16"/>
      <c r="F227" s="17"/>
      <c r="G227" s="15"/>
      <c r="H227" s="15"/>
      <c r="I227" s="15"/>
    </row>
    <row r="228" ht="14.25" customHeight="1">
      <c r="C228" s="19"/>
      <c r="D228" s="20">
        <f>SUM(D220:D227)</f>
        <v>999.5</v>
      </c>
      <c r="E228" s="21"/>
      <c r="F228" s="22">
        <f t="shared" ref="F228:I228" si="21">SUM(F220:F226)</f>
        <v>0</v>
      </c>
      <c r="G228" s="20">
        <f t="shared" si="21"/>
        <v>0</v>
      </c>
      <c r="H228" s="23">
        <f t="shared" si="21"/>
        <v>0</v>
      </c>
      <c r="I228" s="23">
        <f t="shared" si="21"/>
        <v>0</v>
      </c>
    </row>
    <row r="229" ht="14.25" customHeight="1"/>
    <row r="230" ht="14.25" customHeight="1"/>
    <row r="231" ht="14.25" customHeight="1">
      <c r="C231" s="1" t="s">
        <v>319</v>
      </c>
      <c r="D231" s="2"/>
      <c r="E231" s="2"/>
      <c r="F231" s="2"/>
      <c r="G231" s="2"/>
      <c r="H231" s="2"/>
      <c r="I231" s="33"/>
    </row>
    <row r="232" ht="14.25" customHeight="1">
      <c r="B232" s="4">
        <v>11.0</v>
      </c>
      <c r="C232" s="5" t="s">
        <v>4</v>
      </c>
      <c r="D232" s="6" t="s">
        <v>5</v>
      </c>
      <c r="E232" s="6" t="s">
        <v>8</v>
      </c>
      <c r="F232" s="6" t="s">
        <v>9</v>
      </c>
      <c r="G232" s="6" t="s">
        <v>11</v>
      </c>
      <c r="H232" s="6" t="s">
        <v>13</v>
      </c>
      <c r="I232" s="6" t="s">
        <v>14</v>
      </c>
    </row>
    <row r="233" ht="14.25" customHeight="1">
      <c r="C233" s="74" t="s">
        <v>77</v>
      </c>
      <c r="D233" s="9">
        <v>70.0</v>
      </c>
      <c r="E233" s="10"/>
      <c r="F233" s="12">
        <f>(E233/1000)*D233</f>
        <v>0</v>
      </c>
      <c r="G233" s="9"/>
      <c r="H233" s="9"/>
      <c r="I233" s="9"/>
    </row>
    <row r="234" ht="14.25" customHeight="1">
      <c r="C234" s="74" t="s">
        <v>80</v>
      </c>
      <c r="D234" s="9">
        <v>70.0</v>
      </c>
      <c r="E234" s="10"/>
      <c r="F234" s="12"/>
      <c r="G234" s="9"/>
      <c r="H234" s="9"/>
      <c r="I234" s="9"/>
    </row>
    <row r="235" ht="14.25" customHeight="1">
      <c r="C235" s="74" t="s">
        <v>28</v>
      </c>
      <c r="D235" s="9">
        <v>30.0</v>
      </c>
      <c r="E235" s="10"/>
      <c r="F235" s="12"/>
      <c r="G235" s="9"/>
      <c r="H235" s="9"/>
      <c r="I235" s="9"/>
    </row>
    <row r="236" ht="14.25" customHeight="1">
      <c r="C236" s="74" t="s">
        <v>150</v>
      </c>
      <c r="D236" s="9">
        <v>30.0</v>
      </c>
      <c r="E236" s="10"/>
      <c r="F236" s="12"/>
      <c r="G236" s="9"/>
      <c r="H236" s="9"/>
      <c r="I236" s="9"/>
    </row>
    <row r="237" ht="14.25" customHeight="1">
      <c r="C237" s="74" t="s">
        <v>79</v>
      </c>
      <c r="D237" s="10">
        <v>0.5</v>
      </c>
      <c r="E237" s="10"/>
      <c r="F237" s="12"/>
      <c r="G237" s="9"/>
      <c r="H237" s="9"/>
      <c r="I237" s="9"/>
    </row>
    <row r="238" ht="14.25" customHeight="1">
      <c r="C238" s="74" t="s">
        <v>88</v>
      </c>
      <c r="D238" s="9">
        <v>20.0</v>
      </c>
      <c r="E238" s="10"/>
      <c r="F238" s="12"/>
      <c r="G238" s="9"/>
      <c r="H238" s="9"/>
      <c r="I238" s="9"/>
    </row>
    <row r="239" ht="14.25" customHeight="1">
      <c r="C239" s="74" t="s">
        <v>104</v>
      </c>
      <c r="D239" s="9">
        <v>772.0</v>
      </c>
      <c r="E239" s="10"/>
      <c r="F239" s="12"/>
      <c r="G239" s="9"/>
      <c r="H239" s="9"/>
      <c r="I239" s="9"/>
    </row>
    <row r="240" ht="14.25" customHeight="1">
      <c r="C240" s="74" t="s">
        <v>116</v>
      </c>
      <c r="D240" s="9">
        <v>5.0</v>
      </c>
      <c r="E240" s="10"/>
      <c r="F240" s="12"/>
      <c r="G240" s="9"/>
      <c r="H240" s="9"/>
      <c r="I240" s="9"/>
    </row>
    <row r="241" ht="14.25" customHeight="1">
      <c r="C241" s="77" t="s">
        <v>39</v>
      </c>
      <c r="D241" s="15">
        <v>2.0</v>
      </c>
      <c r="E241" s="16"/>
      <c r="F241" s="17"/>
      <c r="G241" s="15"/>
      <c r="H241" s="15"/>
      <c r="I241" s="15"/>
    </row>
    <row r="242" ht="14.25" customHeight="1">
      <c r="C242" s="19"/>
      <c r="D242" s="20">
        <f>SUM(D233:D241)</f>
        <v>999.5</v>
      </c>
      <c r="E242" s="21"/>
      <c r="F242" s="22">
        <f t="shared" ref="F242:I242" si="22">SUM(F233:F240)</f>
        <v>0</v>
      </c>
      <c r="G242" s="20">
        <f t="shared" si="22"/>
        <v>0</v>
      </c>
      <c r="H242" s="23">
        <f t="shared" si="22"/>
        <v>0</v>
      </c>
      <c r="I242" s="23">
        <f t="shared" si="22"/>
        <v>0</v>
      </c>
    </row>
    <row r="243" ht="14.25" customHeight="1"/>
    <row r="244" ht="14.25" customHeight="1"/>
    <row r="245" ht="14.25" customHeight="1">
      <c r="C245" s="1" t="s">
        <v>326</v>
      </c>
      <c r="D245" s="2"/>
      <c r="E245" s="2"/>
      <c r="F245" s="2"/>
      <c r="G245" s="2"/>
      <c r="H245" s="2"/>
      <c r="I245" s="33"/>
    </row>
    <row r="246" ht="14.25" customHeight="1">
      <c r="B246" s="4">
        <v>11.0</v>
      </c>
      <c r="C246" s="5" t="s">
        <v>4</v>
      </c>
      <c r="D246" s="6" t="s">
        <v>5</v>
      </c>
      <c r="E246" s="6" t="s">
        <v>8</v>
      </c>
      <c r="F246" s="6" t="s">
        <v>9</v>
      </c>
      <c r="G246" s="6" t="s">
        <v>11</v>
      </c>
      <c r="H246" s="6" t="s">
        <v>13</v>
      </c>
      <c r="I246" s="6" t="s">
        <v>14</v>
      </c>
    </row>
    <row r="247" ht="14.25" customHeight="1">
      <c r="C247" s="74" t="s">
        <v>77</v>
      </c>
      <c r="D247" s="9">
        <v>60.0</v>
      </c>
      <c r="E247" s="10"/>
      <c r="F247" s="12">
        <f>(E247/1000)*D247</f>
        <v>0</v>
      </c>
      <c r="G247" s="9"/>
      <c r="H247" s="9"/>
      <c r="I247" s="9"/>
    </row>
    <row r="248" ht="14.25" customHeight="1">
      <c r="C248" s="74" t="s">
        <v>80</v>
      </c>
      <c r="D248" s="9">
        <v>60.0</v>
      </c>
      <c r="E248" s="10"/>
      <c r="F248" s="12"/>
      <c r="G248" s="9"/>
      <c r="H248" s="9"/>
      <c r="I248" s="9"/>
    </row>
    <row r="249" ht="14.25" customHeight="1">
      <c r="C249" s="74" t="s">
        <v>185</v>
      </c>
      <c r="D249" s="9">
        <v>50.0</v>
      </c>
      <c r="E249" s="10"/>
      <c r="F249" s="12"/>
      <c r="G249" s="9"/>
      <c r="H249" s="9"/>
      <c r="I249" s="9"/>
    </row>
    <row r="250" ht="14.25" customHeight="1">
      <c r="C250" s="74" t="s">
        <v>321</v>
      </c>
      <c r="D250" s="9">
        <v>15.0</v>
      </c>
      <c r="E250" s="10"/>
      <c r="F250" s="12"/>
      <c r="G250" s="9"/>
      <c r="H250" s="9"/>
      <c r="I250" s="9"/>
    </row>
    <row r="251" ht="14.25" customHeight="1">
      <c r="C251" s="74" t="s">
        <v>329</v>
      </c>
      <c r="D251" s="10">
        <v>2.0</v>
      </c>
      <c r="E251" s="10"/>
      <c r="F251" s="12"/>
      <c r="G251" s="9"/>
      <c r="H251" s="9"/>
      <c r="I251" s="9"/>
    </row>
    <row r="252" ht="14.25" customHeight="1">
      <c r="C252" s="74" t="s">
        <v>88</v>
      </c>
      <c r="D252" s="9">
        <v>34.0</v>
      </c>
      <c r="E252" s="10"/>
      <c r="F252" s="12"/>
      <c r="G252" s="9"/>
      <c r="H252" s="9"/>
      <c r="I252" s="9"/>
    </row>
    <row r="253" ht="14.25" customHeight="1">
      <c r="C253" s="74" t="s">
        <v>104</v>
      </c>
      <c r="D253" s="9">
        <v>771.0</v>
      </c>
      <c r="E253" s="10"/>
      <c r="F253" s="12"/>
      <c r="G253" s="9"/>
      <c r="H253" s="9"/>
      <c r="I253" s="9"/>
    </row>
    <row r="254" ht="14.25" customHeight="1">
      <c r="C254" s="74" t="s">
        <v>116</v>
      </c>
      <c r="D254" s="10">
        <v>2.5</v>
      </c>
      <c r="E254" s="10"/>
      <c r="F254" s="12"/>
      <c r="G254" s="9"/>
      <c r="H254" s="9"/>
      <c r="I254" s="9"/>
    </row>
    <row r="255" ht="14.25" customHeight="1">
      <c r="C255" s="77" t="s">
        <v>333</v>
      </c>
      <c r="D255" s="15">
        <v>5.0</v>
      </c>
      <c r="E255" s="16"/>
      <c r="F255" s="17"/>
      <c r="G255" s="15"/>
      <c r="H255" s="15"/>
      <c r="I255" s="15"/>
    </row>
    <row r="256" ht="14.25" customHeight="1">
      <c r="C256" s="19"/>
      <c r="D256" s="20">
        <f>SUM(D247:D255)</f>
        <v>999.5</v>
      </c>
      <c r="E256" s="21"/>
      <c r="F256" s="22">
        <f t="shared" ref="F256:I256" si="23">SUM(F247:F254)</f>
        <v>0</v>
      </c>
      <c r="G256" s="20">
        <f t="shared" si="23"/>
        <v>0</v>
      </c>
      <c r="H256" s="23">
        <f t="shared" si="23"/>
        <v>0</v>
      </c>
      <c r="I256" s="23">
        <f t="shared" si="23"/>
        <v>0</v>
      </c>
      <c r="M256" s="79"/>
    </row>
    <row r="257" ht="14.25" customHeight="1"/>
    <row r="258" ht="14.25" customHeight="1"/>
    <row r="259" ht="14.25" customHeight="1">
      <c r="C259" s="1" t="s">
        <v>335</v>
      </c>
      <c r="D259" s="2"/>
      <c r="E259" s="2"/>
      <c r="F259" s="2"/>
      <c r="G259" s="2"/>
      <c r="H259" s="2"/>
      <c r="I259" s="33"/>
    </row>
    <row r="260" ht="14.25" customHeight="1">
      <c r="B260" s="4">
        <v>11.0</v>
      </c>
      <c r="C260" s="5" t="s">
        <v>4</v>
      </c>
      <c r="D260" s="6" t="s">
        <v>5</v>
      </c>
      <c r="E260" s="6" t="s">
        <v>8</v>
      </c>
      <c r="F260" s="6" t="s">
        <v>9</v>
      </c>
      <c r="G260" s="6" t="s">
        <v>11</v>
      </c>
      <c r="H260" s="6" t="s">
        <v>13</v>
      </c>
      <c r="I260" s="6" t="s">
        <v>14</v>
      </c>
    </row>
    <row r="261" ht="14.25" customHeight="1">
      <c r="C261" s="74" t="s">
        <v>77</v>
      </c>
      <c r="D261" s="9">
        <v>70.0</v>
      </c>
      <c r="E261" s="10"/>
      <c r="F261" s="12">
        <f>(E261/1000)*D261</f>
        <v>0</v>
      </c>
      <c r="G261" s="9"/>
      <c r="H261" s="9"/>
      <c r="I261" s="9"/>
    </row>
    <row r="262" ht="14.25" customHeight="1">
      <c r="C262" s="74" t="s">
        <v>80</v>
      </c>
      <c r="D262" s="9">
        <v>70.0</v>
      </c>
      <c r="E262" s="10"/>
      <c r="F262" s="12"/>
      <c r="G262" s="9"/>
      <c r="H262" s="9"/>
      <c r="I262" s="9"/>
    </row>
    <row r="263" ht="14.25" customHeight="1">
      <c r="C263" s="74" t="s">
        <v>24</v>
      </c>
      <c r="D263" s="9">
        <v>20.0</v>
      </c>
      <c r="E263" s="10"/>
      <c r="F263" s="12"/>
      <c r="G263" s="9"/>
      <c r="H263" s="9"/>
      <c r="I263" s="9"/>
    </row>
    <row r="264" ht="14.25" customHeight="1">
      <c r="C264" s="74" t="s">
        <v>113</v>
      </c>
      <c r="D264" s="9">
        <v>10.0</v>
      </c>
      <c r="E264" s="10"/>
      <c r="F264" s="12"/>
      <c r="G264" s="9"/>
      <c r="H264" s="9"/>
      <c r="I264" s="9"/>
    </row>
    <row r="265" ht="14.25" customHeight="1">
      <c r="C265" s="74" t="s">
        <v>216</v>
      </c>
      <c r="D265" s="9">
        <v>15.0</v>
      </c>
      <c r="E265" s="10"/>
      <c r="F265" s="12"/>
      <c r="G265" s="9"/>
      <c r="H265" s="9"/>
      <c r="I265" s="9"/>
    </row>
    <row r="266" ht="14.25" customHeight="1">
      <c r="C266" s="74" t="s">
        <v>340</v>
      </c>
      <c r="D266" s="9">
        <v>10.0</v>
      </c>
      <c r="E266" s="10"/>
      <c r="F266" s="12"/>
      <c r="G266" s="9"/>
      <c r="H266" s="9"/>
      <c r="I266" s="9"/>
    </row>
    <row r="267" ht="14.25" customHeight="1">
      <c r="C267" s="74" t="s">
        <v>88</v>
      </c>
      <c r="D267" s="9">
        <v>30.0</v>
      </c>
      <c r="E267" s="10"/>
      <c r="F267" s="12"/>
      <c r="G267" s="9"/>
      <c r="H267" s="9"/>
      <c r="I267" s="9"/>
    </row>
    <row r="268" ht="14.25" customHeight="1">
      <c r="C268" s="74" t="s">
        <v>238</v>
      </c>
      <c r="D268" s="9">
        <v>20.0</v>
      </c>
      <c r="E268" s="10"/>
      <c r="F268" s="12"/>
      <c r="G268" s="9"/>
      <c r="H268" s="9"/>
      <c r="I268" s="9"/>
    </row>
    <row r="269" ht="14.25" customHeight="1">
      <c r="C269" s="74" t="s">
        <v>104</v>
      </c>
      <c r="D269" s="9">
        <v>750.0</v>
      </c>
      <c r="E269" s="10"/>
      <c r="F269" s="12"/>
      <c r="G269" s="9"/>
      <c r="H269" s="9"/>
      <c r="I269" s="9"/>
    </row>
    <row r="270" ht="14.25" customHeight="1">
      <c r="C270" s="74" t="s">
        <v>116</v>
      </c>
      <c r="D270" s="10">
        <v>2.5</v>
      </c>
      <c r="E270" s="10"/>
      <c r="F270" s="12"/>
      <c r="G270" s="9"/>
      <c r="H270" s="9"/>
      <c r="I270" s="9"/>
    </row>
    <row r="271" ht="14.25" customHeight="1">
      <c r="C271" s="74" t="s">
        <v>39</v>
      </c>
      <c r="D271" s="15">
        <v>2.0</v>
      </c>
      <c r="E271" s="16"/>
      <c r="F271" s="17"/>
      <c r="G271" s="15"/>
      <c r="H271" s="15"/>
      <c r="I271" s="15"/>
    </row>
    <row r="272" ht="14.25" customHeight="1">
      <c r="C272" s="19"/>
      <c r="D272" s="66">
        <f>SUM(D261:D271)</f>
        <v>999.5</v>
      </c>
      <c r="E272" s="68"/>
      <c r="F272" s="69">
        <f t="shared" ref="F272:I272" si="24">SUM(F261:F270)</f>
        <v>0</v>
      </c>
      <c r="G272" s="66">
        <f t="shared" si="24"/>
        <v>0</v>
      </c>
      <c r="H272" s="70">
        <f t="shared" si="24"/>
        <v>0</v>
      </c>
      <c r="I272" s="70">
        <f t="shared" si="24"/>
        <v>0</v>
      </c>
    </row>
    <row r="273" ht="14.25" customHeight="1">
      <c r="C273" s="67" t="s">
        <v>345</v>
      </c>
      <c r="D273" s="2"/>
      <c r="E273" s="2"/>
      <c r="F273" s="2"/>
      <c r="G273" s="2"/>
      <c r="H273" s="2"/>
      <c r="I273" s="3"/>
    </row>
    <row r="274" ht="14.25" customHeight="1"/>
    <row r="275" ht="14.25" customHeight="1"/>
    <row r="276" ht="14.25" customHeight="1">
      <c r="C276" s="1" t="s">
        <v>346</v>
      </c>
      <c r="D276" s="2"/>
      <c r="E276" s="2"/>
      <c r="F276" s="2"/>
      <c r="G276" s="2"/>
      <c r="H276" s="2"/>
      <c r="I276" s="33"/>
    </row>
    <row r="277" ht="14.25" customHeight="1">
      <c r="B277" s="4">
        <v>11.0</v>
      </c>
      <c r="C277" s="5" t="s">
        <v>4</v>
      </c>
      <c r="D277" s="6" t="s">
        <v>5</v>
      </c>
      <c r="E277" s="6" t="s">
        <v>8</v>
      </c>
      <c r="F277" s="6" t="s">
        <v>9</v>
      </c>
      <c r="G277" s="6" t="s">
        <v>11</v>
      </c>
      <c r="H277" s="6" t="s">
        <v>13</v>
      </c>
      <c r="I277" s="6" t="s">
        <v>14</v>
      </c>
    </row>
    <row r="278" ht="14.25" customHeight="1">
      <c r="C278" s="74" t="s">
        <v>77</v>
      </c>
      <c r="D278" s="9">
        <v>70.0</v>
      </c>
      <c r="E278" s="10"/>
      <c r="F278" s="12">
        <f>(E278/1000)*D278</f>
        <v>0</v>
      </c>
      <c r="G278" s="9"/>
      <c r="H278" s="9"/>
      <c r="I278" s="9"/>
    </row>
    <row r="279" ht="14.25" customHeight="1">
      <c r="C279" s="74" t="s">
        <v>80</v>
      </c>
      <c r="D279" s="9">
        <v>70.0</v>
      </c>
      <c r="E279" s="10"/>
      <c r="F279" s="12"/>
      <c r="G279" s="9"/>
      <c r="H279" s="9"/>
      <c r="I279" s="9"/>
    </row>
    <row r="280" ht="14.25" customHeight="1">
      <c r="C280" s="74" t="s">
        <v>24</v>
      </c>
      <c r="D280" s="9">
        <v>20.0</v>
      </c>
      <c r="E280" s="10"/>
      <c r="F280" s="12"/>
      <c r="G280" s="9"/>
      <c r="H280" s="9"/>
      <c r="I280" s="9"/>
    </row>
    <row r="281" ht="14.25" customHeight="1">
      <c r="C281" s="74" t="s">
        <v>113</v>
      </c>
      <c r="D281" s="9">
        <v>10.0</v>
      </c>
      <c r="E281" s="10"/>
      <c r="F281" s="12"/>
      <c r="G281" s="9"/>
      <c r="H281" s="9"/>
      <c r="I281" s="9"/>
    </row>
    <row r="282" ht="14.25" customHeight="1">
      <c r="C282" s="74" t="s">
        <v>216</v>
      </c>
      <c r="D282" s="9">
        <v>15.0</v>
      </c>
      <c r="E282" s="10"/>
      <c r="F282" s="12"/>
      <c r="G282" s="9"/>
      <c r="H282" s="9"/>
      <c r="I282" s="9"/>
    </row>
    <row r="283" ht="14.25" customHeight="1">
      <c r="C283" s="74" t="s">
        <v>340</v>
      </c>
      <c r="D283" s="9">
        <v>10.0</v>
      </c>
      <c r="E283" s="10"/>
      <c r="F283" s="12"/>
      <c r="G283" s="9"/>
      <c r="H283" s="9"/>
      <c r="I283" s="9"/>
    </row>
    <row r="284" ht="14.25" customHeight="1">
      <c r="C284" s="74" t="s">
        <v>88</v>
      </c>
      <c r="D284" s="9">
        <v>30.0</v>
      </c>
      <c r="E284" s="10"/>
      <c r="F284" s="12"/>
      <c r="G284" s="9"/>
      <c r="H284" s="9"/>
      <c r="I284" s="9"/>
    </row>
    <row r="285" ht="14.25" customHeight="1">
      <c r="C285" s="74" t="s">
        <v>238</v>
      </c>
      <c r="D285" s="9">
        <v>20.0</v>
      </c>
      <c r="E285" s="10"/>
      <c r="F285" s="12"/>
      <c r="G285" s="9"/>
      <c r="H285" s="9"/>
      <c r="I285" s="9"/>
    </row>
    <row r="286" ht="14.25" customHeight="1">
      <c r="C286" s="74" t="s">
        <v>104</v>
      </c>
      <c r="D286" s="9">
        <v>750.0</v>
      </c>
      <c r="E286" s="10"/>
      <c r="F286" s="12"/>
      <c r="G286" s="9"/>
      <c r="H286" s="9"/>
      <c r="I286" s="9"/>
    </row>
    <row r="287" ht="14.25" customHeight="1">
      <c r="C287" s="74" t="s">
        <v>116</v>
      </c>
      <c r="D287" s="10">
        <v>2.5</v>
      </c>
      <c r="E287" s="10"/>
      <c r="F287" s="12"/>
      <c r="G287" s="9"/>
      <c r="H287" s="9"/>
      <c r="I287" s="9"/>
    </row>
    <row r="288" ht="14.25" customHeight="1">
      <c r="C288" s="74" t="s">
        <v>39</v>
      </c>
      <c r="D288" s="15">
        <v>2.0</v>
      </c>
      <c r="E288" s="16"/>
      <c r="F288" s="17"/>
      <c r="G288" s="15"/>
      <c r="H288" s="15"/>
      <c r="I288" s="15"/>
    </row>
    <row r="289" ht="14.25" customHeight="1">
      <c r="C289" s="19"/>
      <c r="D289" s="66">
        <f>SUM(D278:D288)</f>
        <v>999.5</v>
      </c>
      <c r="E289" s="68"/>
      <c r="F289" s="69">
        <f t="shared" ref="F289:I289" si="25">SUM(F278:F287)</f>
        <v>0</v>
      </c>
      <c r="G289" s="66">
        <f t="shared" si="25"/>
        <v>0</v>
      </c>
      <c r="H289" s="70">
        <f t="shared" si="25"/>
        <v>0</v>
      </c>
      <c r="I289" s="70">
        <f t="shared" si="25"/>
        <v>0</v>
      </c>
    </row>
    <row r="290" ht="14.25" customHeight="1">
      <c r="C290" s="67" t="s">
        <v>345</v>
      </c>
      <c r="D290" s="2"/>
      <c r="E290" s="2"/>
      <c r="F290" s="2"/>
      <c r="G290" s="2"/>
      <c r="H290" s="2"/>
      <c r="I290" s="3"/>
    </row>
    <row r="291" ht="14.25" customHeight="1"/>
    <row r="292" ht="14.25" customHeight="1"/>
    <row r="293" ht="14.25" customHeight="1">
      <c r="C293" s="1" t="s">
        <v>351</v>
      </c>
      <c r="D293" s="2"/>
      <c r="E293" s="2"/>
      <c r="F293" s="2"/>
      <c r="G293" s="2"/>
      <c r="H293" s="2"/>
      <c r="I293" s="33"/>
    </row>
    <row r="294" ht="14.25" customHeight="1">
      <c r="B294" s="4">
        <v>11.0</v>
      </c>
      <c r="C294" s="5" t="s">
        <v>4</v>
      </c>
      <c r="D294" s="6" t="s">
        <v>5</v>
      </c>
      <c r="E294" s="6" t="s">
        <v>8</v>
      </c>
      <c r="F294" s="6" t="s">
        <v>9</v>
      </c>
      <c r="G294" s="6" t="s">
        <v>11</v>
      </c>
      <c r="H294" s="6" t="s">
        <v>13</v>
      </c>
      <c r="I294" s="6" t="s">
        <v>14</v>
      </c>
    </row>
    <row r="295" ht="14.25" customHeight="1">
      <c r="C295" s="74" t="s">
        <v>77</v>
      </c>
      <c r="D295" s="9">
        <v>80.0</v>
      </c>
      <c r="E295" s="10"/>
      <c r="F295" s="12">
        <f>(E295/1000)*D295</f>
        <v>0</v>
      </c>
      <c r="G295" s="9"/>
      <c r="H295" s="9"/>
      <c r="I295" s="9"/>
    </row>
    <row r="296" ht="14.25" customHeight="1">
      <c r="C296" s="74" t="s">
        <v>80</v>
      </c>
      <c r="D296" s="9">
        <v>80.0</v>
      </c>
      <c r="E296" s="10"/>
      <c r="F296" s="12"/>
      <c r="G296" s="9"/>
      <c r="H296" s="9"/>
      <c r="I296" s="9"/>
    </row>
    <row r="297" ht="14.25" customHeight="1">
      <c r="C297" s="74" t="s">
        <v>307</v>
      </c>
      <c r="D297" s="9">
        <v>10.0</v>
      </c>
      <c r="E297" s="10"/>
      <c r="F297" s="12"/>
      <c r="G297" s="9"/>
      <c r="H297" s="9"/>
      <c r="I297" s="9"/>
    </row>
    <row r="298" ht="14.25" customHeight="1">
      <c r="C298" s="74" t="s">
        <v>57</v>
      </c>
      <c r="D298" s="9">
        <v>10.0</v>
      </c>
      <c r="E298" s="10"/>
      <c r="F298" s="12"/>
      <c r="G298" s="9"/>
      <c r="H298" s="9"/>
      <c r="I298" s="9"/>
    </row>
    <row r="299" ht="14.25" customHeight="1">
      <c r="C299" s="74" t="s">
        <v>311</v>
      </c>
      <c r="D299" s="9">
        <v>5.0</v>
      </c>
      <c r="E299" s="10"/>
      <c r="F299" s="12"/>
      <c r="G299" s="9"/>
      <c r="H299" s="9"/>
      <c r="I299" s="9"/>
    </row>
    <row r="300" ht="14.25" customHeight="1">
      <c r="C300" s="74" t="s">
        <v>356</v>
      </c>
      <c r="D300" s="9">
        <v>20.0</v>
      </c>
      <c r="E300" s="10"/>
      <c r="F300" s="12"/>
      <c r="G300" s="9"/>
      <c r="H300" s="9"/>
      <c r="I300" s="9"/>
    </row>
    <row r="301" ht="14.25" customHeight="1">
      <c r="C301" s="74" t="s">
        <v>104</v>
      </c>
      <c r="D301" s="9">
        <v>792.0</v>
      </c>
      <c r="E301" s="10"/>
      <c r="F301" s="12"/>
      <c r="G301" s="9"/>
      <c r="H301" s="9"/>
      <c r="I301" s="9"/>
    </row>
    <row r="302" ht="14.25" customHeight="1">
      <c r="C302" s="74" t="s">
        <v>116</v>
      </c>
      <c r="D302" s="10">
        <v>2.5</v>
      </c>
      <c r="E302" s="10"/>
      <c r="F302" s="12"/>
      <c r="G302" s="9"/>
      <c r="H302" s="9"/>
      <c r="I302" s="9"/>
    </row>
    <row r="303" ht="14.25" customHeight="1">
      <c r="C303" s="19"/>
      <c r="D303" s="20">
        <f>SUM(D295:D302)</f>
        <v>999.5</v>
      </c>
      <c r="E303" s="21"/>
      <c r="F303" s="22">
        <f t="shared" ref="F303:I303" si="26">SUM(F295:F302)</f>
        <v>0</v>
      </c>
      <c r="G303" s="20">
        <f t="shared" si="26"/>
        <v>0</v>
      </c>
      <c r="H303" s="23">
        <f t="shared" si="26"/>
        <v>0</v>
      </c>
      <c r="I303" s="23">
        <f t="shared" si="26"/>
        <v>0</v>
      </c>
    </row>
    <row r="304" ht="14.25" customHeight="1"/>
    <row r="305" ht="14.25" customHeight="1"/>
    <row r="306" ht="14.25" customHeight="1">
      <c r="C306" s="1" t="s">
        <v>358</v>
      </c>
      <c r="D306" s="2"/>
      <c r="E306" s="2"/>
      <c r="F306" s="2"/>
      <c r="G306" s="2"/>
      <c r="H306" s="2"/>
      <c r="I306" s="33"/>
    </row>
    <row r="307" ht="14.25" customHeight="1">
      <c r="B307" s="4">
        <v>11.0</v>
      </c>
      <c r="C307" s="5" t="s">
        <v>4</v>
      </c>
      <c r="D307" s="6" t="s">
        <v>5</v>
      </c>
      <c r="E307" s="6" t="s">
        <v>8</v>
      </c>
      <c r="F307" s="6" t="s">
        <v>9</v>
      </c>
      <c r="G307" s="6" t="s">
        <v>11</v>
      </c>
      <c r="H307" s="6" t="s">
        <v>13</v>
      </c>
      <c r="I307" s="6" t="s">
        <v>14</v>
      </c>
    </row>
    <row r="308" ht="14.25" customHeight="1">
      <c r="C308" s="74" t="s">
        <v>104</v>
      </c>
      <c r="D308" s="9">
        <v>717.0</v>
      </c>
      <c r="E308" s="10"/>
      <c r="F308" s="12">
        <f>(E308/1000)*D308</f>
        <v>0</v>
      </c>
      <c r="G308" s="9"/>
      <c r="H308" s="9"/>
      <c r="I308" s="9"/>
    </row>
    <row r="309" ht="14.25" customHeight="1">
      <c r="C309" s="74" t="s">
        <v>88</v>
      </c>
      <c r="D309" s="9">
        <v>30.0</v>
      </c>
      <c r="E309" s="10"/>
      <c r="F309" s="12"/>
      <c r="G309" s="9"/>
      <c r="H309" s="9"/>
      <c r="I309" s="9"/>
    </row>
    <row r="310" ht="14.25" customHeight="1">
      <c r="C310" s="74" t="s">
        <v>113</v>
      </c>
      <c r="D310" s="9">
        <v>10.0</v>
      </c>
      <c r="E310" s="10"/>
      <c r="F310" s="12"/>
      <c r="G310" s="9"/>
      <c r="H310" s="9"/>
      <c r="I310" s="9"/>
    </row>
    <row r="311" ht="14.25" customHeight="1">
      <c r="C311" s="74" t="s">
        <v>37</v>
      </c>
      <c r="D311" s="9">
        <v>1.0</v>
      </c>
      <c r="E311" s="10"/>
      <c r="F311" s="12"/>
      <c r="G311" s="9"/>
      <c r="H311" s="9"/>
      <c r="I311" s="9"/>
    </row>
    <row r="312" ht="14.25" customHeight="1">
      <c r="C312" s="74" t="s">
        <v>360</v>
      </c>
      <c r="D312" s="9">
        <v>3.0</v>
      </c>
      <c r="E312" s="10"/>
      <c r="F312" s="12"/>
      <c r="G312" s="9"/>
      <c r="H312" s="9"/>
      <c r="I312" s="9"/>
    </row>
    <row r="313" ht="14.25" customHeight="1">
      <c r="C313" s="74" t="s">
        <v>31</v>
      </c>
      <c r="D313" s="9">
        <v>2.0</v>
      </c>
      <c r="E313" s="10"/>
      <c r="F313" s="12"/>
      <c r="G313" s="9"/>
      <c r="H313" s="9"/>
      <c r="I313" s="9"/>
    </row>
    <row r="314" ht="14.25" customHeight="1">
      <c r="C314" s="74" t="s">
        <v>362</v>
      </c>
      <c r="D314" s="9">
        <v>10.0</v>
      </c>
      <c r="E314" s="10"/>
      <c r="F314" s="12"/>
      <c r="G314" s="9"/>
      <c r="H314" s="9"/>
      <c r="I314" s="9"/>
    </row>
    <row r="315" ht="14.25" customHeight="1">
      <c r="C315" s="74" t="s">
        <v>364</v>
      </c>
      <c r="D315" s="9">
        <v>5.0</v>
      </c>
      <c r="E315" s="10"/>
      <c r="F315" s="12"/>
      <c r="G315" s="9"/>
      <c r="H315" s="9"/>
      <c r="I315" s="9"/>
    </row>
    <row r="316" ht="14.25" customHeight="1">
      <c r="C316" s="74" t="s">
        <v>365</v>
      </c>
      <c r="D316" s="9">
        <v>10.0</v>
      </c>
      <c r="E316" s="10"/>
      <c r="F316" s="12"/>
      <c r="G316" s="9"/>
      <c r="H316" s="9"/>
      <c r="I316" s="9"/>
    </row>
    <row r="317" ht="14.25" customHeight="1">
      <c r="C317" s="74" t="s">
        <v>367</v>
      </c>
      <c r="D317" s="9">
        <v>10.0</v>
      </c>
      <c r="E317" s="10"/>
      <c r="F317" s="12"/>
      <c r="G317" s="9"/>
      <c r="H317" s="9"/>
      <c r="I317" s="9"/>
    </row>
    <row r="318" ht="14.25" customHeight="1">
      <c r="C318" s="74" t="s">
        <v>116</v>
      </c>
      <c r="D318" s="9">
        <v>2.5</v>
      </c>
      <c r="E318" s="10"/>
      <c r="F318" s="12"/>
      <c r="G318" s="9"/>
      <c r="H318" s="9"/>
      <c r="I318" s="9"/>
    </row>
    <row r="319" ht="14.25" customHeight="1">
      <c r="C319" s="74" t="s">
        <v>39</v>
      </c>
      <c r="D319" s="9">
        <v>2.0</v>
      </c>
      <c r="E319" s="10"/>
      <c r="F319" s="12"/>
      <c r="G319" s="9"/>
      <c r="H319" s="9"/>
      <c r="I319" s="9"/>
    </row>
    <row r="320" ht="14.25" customHeight="1">
      <c r="C320" s="74" t="s">
        <v>369</v>
      </c>
      <c r="D320" s="9">
        <v>70.0</v>
      </c>
      <c r="E320" s="10"/>
      <c r="F320" s="12"/>
      <c r="G320" s="9"/>
      <c r="H320" s="9"/>
      <c r="I320" s="9"/>
    </row>
    <row r="321" ht="14.25" customHeight="1">
      <c r="C321" s="74" t="s">
        <v>187</v>
      </c>
      <c r="D321" s="10">
        <v>70.0</v>
      </c>
      <c r="E321" s="10"/>
      <c r="F321" s="12"/>
      <c r="G321" s="9"/>
      <c r="H321" s="9"/>
      <c r="I321" s="9"/>
    </row>
    <row r="322" ht="14.25" customHeight="1">
      <c r="C322" s="19"/>
      <c r="D322" s="66">
        <f>SUM(D308:D321)</f>
        <v>942.5</v>
      </c>
      <c r="E322" s="68"/>
      <c r="F322" s="69">
        <f t="shared" ref="F322:I322" si="27">SUM(F308:F321)</f>
        <v>0</v>
      </c>
      <c r="G322" s="66">
        <f t="shared" si="27"/>
        <v>0</v>
      </c>
      <c r="H322" s="70">
        <f t="shared" si="27"/>
        <v>0</v>
      </c>
      <c r="I322" s="70">
        <f t="shared" si="27"/>
        <v>0</v>
      </c>
    </row>
    <row r="323" ht="14.25" customHeight="1">
      <c r="C323" s="67" t="s">
        <v>345</v>
      </c>
      <c r="D323" s="2"/>
      <c r="E323" s="2"/>
      <c r="F323" s="2"/>
      <c r="G323" s="2"/>
      <c r="H323" s="2"/>
      <c r="I323" s="3"/>
    </row>
    <row r="324" ht="14.25" customHeight="1"/>
    <row r="325" ht="14.25" customHeight="1"/>
    <row r="326" ht="14.25" customHeight="1">
      <c r="C326" s="1" t="s">
        <v>372</v>
      </c>
      <c r="D326" s="2"/>
      <c r="E326" s="2"/>
      <c r="F326" s="2"/>
      <c r="G326" s="2"/>
      <c r="H326" s="2"/>
      <c r="I326" s="33"/>
    </row>
    <row r="327" ht="14.25" customHeight="1">
      <c r="B327" s="4">
        <v>11.0</v>
      </c>
      <c r="C327" s="5" t="s">
        <v>4</v>
      </c>
      <c r="D327" s="6" t="s">
        <v>5</v>
      </c>
      <c r="E327" s="6" t="s">
        <v>8</v>
      </c>
      <c r="F327" s="6" t="s">
        <v>9</v>
      </c>
      <c r="G327" s="6" t="s">
        <v>11</v>
      </c>
      <c r="H327" s="6" t="s">
        <v>13</v>
      </c>
      <c r="I327" s="6" t="s">
        <v>14</v>
      </c>
    </row>
    <row r="328" ht="14.25" customHeight="1">
      <c r="C328" s="74" t="s">
        <v>77</v>
      </c>
      <c r="D328" s="9">
        <v>70.0</v>
      </c>
      <c r="E328" s="10"/>
      <c r="F328" s="12">
        <f>(E328/1000)*D328</f>
        <v>0</v>
      </c>
      <c r="G328" s="9"/>
      <c r="H328" s="9"/>
      <c r="I328" s="9"/>
    </row>
    <row r="329" ht="14.25" customHeight="1">
      <c r="C329" s="74" t="s">
        <v>80</v>
      </c>
      <c r="D329" s="9">
        <v>70.0</v>
      </c>
      <c r="E329" s="10"/>
      <c r="F329" s="12"/>
      <c r="G329" s="9"/>
      <c r="H329" s="9"/>
      <c r="I329" s="9"/>
    </row>
    <row r="330" ht="14.25" customHeight="1">
      <c r="C330" s="74" t="s">
        <v>365</v>
      </c>
      <c r="D330" s="9">
        <v>10.0</v>
      </c>
      <c r="E330" s="10"/>
      <c r="F330" s="12"/>
      <c r="G330" s="9"/>
      <c r="H330" s="9"/>
      <c r="I330" s="9"/>
    </row>
    <row r="331" ht="14.25" customHeight="1">
      <c r="C331" s="74" t="s">
        <v>213</v>
      </c>
      <c r="D331" s="9">
        <v>10.0</v>
      </c>
      <c r="E331" s="10"/>
      <c r="F331" s="12"/>
      <c r="G331" s="9"/>
      <c r="H331" s="9"/>
      <c r="I331" s="9"/>
    </row>
    <row r="332" ht="14.25" customHeight="1">
      <c r="C332" s="74" t="s">
        <v>380</v>
      </c>
      <c r="D332" s="9">
        <v>15.0</v>
      </c>
      <c r="E332" s="10"/>
      <c r="F332" s="12"/>
      <c r="G332" s="9"/>
      <c r="H332" s="9"/>
      <c r="I332" s="9"/>
    </row>
    <row r="333" ht="14.25" customHeight="1">
      <c r="C333" s="74" t="s">
        <v>66</v>
      </c>
      <c r="D333" s="9">
        <v>1.0</v>
      </c>
      <c r="E333" s="10"/>
      <c r="F333" s="12"/>
      <c r="G333" s="9"/>
      <c r="H333" s="9"/>
      <c r="I333" s="9"/>
    </row>
    <row r="334" ht="14.25" customHeight="1">
      <c r="C334" s="74" t="s">
        <v>109</v>
      </c>
      <c r="D334" s="9">
        <v>1.0</v>
      </c>
      <c r="E334" s="10"/>
      <c r="F334" s="12"/>
      <c r="G334" s="9"/>
      <c r="H334" s="9"/>
      <c r="I334" s="9"/>
    </row>
    <row r="335" ht="14.25" customHeight="1">
      <c r="C335" s="74" t="s">
        <v>84</v>
      </c>
      <c r="D335" s="9">
        <v>2.0</v>
      </c>
      <c r="E335" s="10"/>
      <c r="F335" s="12"/>
      <c r="G335" s="9"/>
      <c r="H335" s="9"/>
      <c r="I335" s="9"/>
    </row>
    <row r="336" ht="14.25" customHeight="1">
      <c r="C336" s="74" t="s">
        <v>39</v>
      </c>
      <c r="D336" s="9">
        <v>5.0</v>
      </c>
      <c r="E336" s="10"/>
      <c r="F336" s="12"/>
      <c r="G336" s="9"/>
      <c r="H336" s="9"/>
      <c r="I336" s="9"/>
    </row>
    <row r="337" ht="14.25" customHeight="1">
      <c r="C337" s="74" t="s">
        <v>205</v>
      </c>
      <c r="D337" s="9">
        <v>2.0</v>
      </c>
      <c r="E337" s="10"/>
      <c r="F337" s="12"/>
      <c r="G337" s="9"/>
      <c r="H337" s="9"/>
      <c r="I337" s="9"/>
    </row>
    <row r="338" ht="14.25" customHeight="1">
      <c r="C338" s="74" t="s">
        <v>104</v>
      </c>
      <c r="D338" s="9">
        <v>2.0</v>
      </c>
      <c r="E338" s="10"/>
      <c r="F338" s="12"/>
      <c r="G338" s="9"/>
      <c r="H338" s="9"/>
      <c r="I338" s="9"/>
    </row>
    <row r="339" ht="14.25" customHeight="1">
      <c r="C339" s="74" t="s">
        <v>116</v>
      </c>
      <c r="D339" s="9">
        <v>812.0</v>
      </c>
      <c r="E339" s="10"/>
      <c r="F339" s="12"/>
      <c r="G339" s="9"/>
      <c r="H339" s="9"/>
      <c r="I339" s="9"/>
    </row>
    <row r="340" ht="14.25" customHeight="1">
      <c r="C340" s="19"/>
      <c r="D340" s="20">
        <f>SUM(D328:D339)</f>
        <v>1000</v>
      </c>
      <c r="E340" s="21"/>
      <c r="F340" s="22">
        <f t="shared" ref="F340:I340" si="28">SUM(F328:F339)</f>
        <v>0</v>
      </c>
      <c r="G340" s="20">
        <f t="shared" si="28"/>
        <v>0</v>
      </c>
      <c r="H340" s="23">
        <f t="shared" si="28"/>
        <v>0</v>
      </c>
      <c r="I340" s="23">
        <f t="shared" si="28"/>
        <v>0</v>
      </c>
    </row>
    <row r="341" ht="14.25" customHeight="1"/>
    <row r="342" ht="14.25" customHeight="1"/>
    <row r="343" ht="14.25" customHeight="1">
      <c r="C343" s="80" t="s">
        <v>386</v>
      </c>
      <c r="D343" s="2"/>
      <c r="E343" s="2"/>
      <c r="F343" s="2"/>
      <c r="G343" s="2"/>
      <c r="H343" s="2"/>
      <c r="I343" s="33"/>
    </row>
    <row r="344" ht="14.25" customHeight="1">
      <c r="B344" s="4">
        <v>11.0</v>
      </c>
      <c r="C344" s="5" t="s">
        <v>4</v>
      </c>
      <c r="D344" s="6" t="s">
        <v>5</v>
      </c>
      <c r="E344" s="6" t="s">
        <v>8</v>
      </c>
      <c r="F344" s="6" t="s">
        <v>9</v>
      </c>
      <c r="G344" s="6" t="s">
        <v>11</v>
      </c>
      <c r="H344" s="6" t="s">
        <v>13</v>
      </c>
      <c r="I344" s="6" t="s">
        <v>14</v>
      </c>
    </row>
    <row r="345" ht="14.25" customHeight="1">
      <c r="C345" s="81" t="s">
        <v>104</v>
      </c>
      <c r="D345" s="82">
        <v>851.0</v>
      </c>
      <c r="E345" s="10"/>
      <c r="F345" s="12">
        <f>(E345/1000)*D345</f>
        <v>0</v>
      </c>
      <c r="G345" s="9"/>
      <c r="H345" s="9"/>
      <c r="I345" s="9"/>
    </row>
    <row r="346" ht="14.25" customHeight="1">
      <c r="C346" s="74" t="s">
        <v>77</v>
      </c>
      <c r="D346" s="82">
        <v>70.0</v>
      </c>
      <c r="E346" s="10"/>
      <c r="F346" s="12"/>
      <c r="G346" s="9"/>
      <c r="H346" s="9"/>
      <c r="I346" s="82"/>
    </row>
    <row r="347" ht="14.25" customHeight="1">
      <c r="C347" s="74" t="s">
        <v>80</v>
      </c>
      <c r="D347" s="9">
        <v>70.0</v>
      </c>
      <c r="E347" s="10"/>
      <c r="F347" s="12"/>
      <c r="G347" s="9"/>
      <c r="H347" s="9"/>
      <c r="I347" s="9"/>
    </row>
    <row r="348" ht="14.25" customHeight="1">
      <c r="C348" s="81" t="s">
        <v>390</v>
      </c>
      <c r="D348" s="83">
        <v>2.5</v>
      </c>
      <c r="E348" s="10"/>
      <c r="F348" s="12"/>
      <c r="G348" s="9"/>
      <c r="H348" s="9"/>
      <c r="I348" s="9"/>
    </row>
    <row r="349" ht="14.25" customHeight="1">
      <c r="C349" s="81" t="s">
        <v>273</v>
      </c>
      <c r="D349" s="82">
        <v>4.0</v>
      </c>
      <c r="E349" s="10"/>
      <c r="F349" s="12"/>
      <c r="G349" s="9"/>
      <c r="H349" s="9"/>
      <c r="I349" s="9"/>
    </row>
    <row r="350" ht="14.25" customHeight="1">
      <c r="C350" s="81" t="s">
        <v>116</v>
      </c>
      <c r="D350" s="83">
        <v>2.5</v>
      </c>
      <c r="E350" s="10"/>
      <c r="F350" s="12"/>
      <c r="G350" s="9"/>
      <c r="H350" s="9"/>
      <c r="I350" s="9"/>
    </row>
    <row r="351" ht="14.25" customHeight="1">
      <c r="C351" s="81" t="s">
        <v>29</v>
      </c>
      <c r="D351" s="84"/>
      <c r="E351" s="85"/>
      <c r="F351" s="86"/>
      <c r="G351" s="87"/>
      <c r="H351" s="88"/>
      <c r="I351" s="88"/>
    </row>
    <row r="352" ht="14.25" customHeight="1">
      <c r="C352" s="19"/>
      <c r="D352" s="20">
        <f>SUM(D345:D351)</f>
        <v>1000</v>
      </c>
      <c r="E352" s="21"/>
      <c r="F352" s="22">
        <f t="shared" ref="F352:I352" si="29">SUM(F345:F350)</f>
        <v>0</v>
      </c>
      <c r="G352" s="20">
        <f t="shared" si="29"/>
        <v>0</v>
      </c>
      <c r="H352" s="23">
        <f t="shared" si="29"/>
        <v>0</v>
      </c>
      <c r="I352" s="23">
        <f t="shared" si="29"/>
        <v>0</v>
      </c>
    </row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27">
    <mergeCell ref="C5:I5"/>
    <mergeCell ref="C19:I19"/>
    <mergeCell ref="C34:I34"/>
    <mergeCell ref="C49:I49"/>
    <mergeCell ref="C62:I62"/>
    <mergeCell ref="J62:O62"/>
    <mergeCell ref="C79:I79"/>
    <mergeCell ref="C96:I96"/>
    <mergeCell ref="C112:I112"/>
    <mergeCell ref="C125:I125"/>
    <mergeCell ref="C140:I140"/>
    <mergeCell ref="C155:I155"/>
    <mergeCell ref="C169:I169"/>
    <mergeCell ref="C187:I187"/>
    <mergeCell ref="C290:I290"/>
    <mergeCell ref="C293:I293"/>
    <mergeCell ref="C306:I306"/>
    <mergeCell ref="C323:I323"/>
    <mergeCell ref="C326:I326"/>
    <mergeCell ref="C343:I343"/>
    <mergeCell ref="C205:I205"/>
    <mergeCell ref="C218:I218"/>
    <mergeCell ref="C231:I231"/>
    <mergeCell ref="C245:I245"/>
    <mergeCell ref="C259:I259"/>
    <mergeCell ref="C273:I273"/>
    <mergeCell ref="C276:I27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0.86"/>
    <col customWidth="1" min="4" max="26" width="10.71"/>
  </cols>
  <sheetData>
    <row r="1" ht="14.25" customHeight="1"/>
    <row r="2" ht="14.25" customHeight="1">
      <c r="C2" s="1" t="s">
        <v>0</v>
      </c>
      <c r="D2" s="2"/>
      <c r="E2" s="2"/>
      <c r="F2" s="2"/>
      <c r="G2" s="2"/>
      <c r="H2" s="2"/>
      <c r="I2" s="2"/>
      <c r="J2" s="3"/>
    </row>
    <row r="3" ht="14.25" customHeight="1">
      <c r="B3" s="4">
        <v>12.0</v>
      </c>
      <c r="C3" s="5" t="s">
        <v>4</v>
      </c>
      <c r="D3" s="6" t="s">
        <v>6</v>
      </c>
      <c r="E3" s="6" t="s">
        <v>7</v>
      </c>
      <c r="F3" s="6" t="s">
        <v>9</v>
      </c>
      <c r="G3" s="6"/>
      <c r="H3" s="6" t="s">
        <v>13</v>
      </c>
      <c r="I3" s="6" t="s">
        <v>14</v>
      </c>
      <c r="J3" s="7"/>
    </row>
    <row r="4" ht="14.25" customHeight="1">
      <c r="C4" s="8" t="s">
        <v>15</v>
      </c>
      <c r="D4" s="9">
        <v>790.0</v>
      </c>
      <c r="E4" s="10"/>
      <c r="F4" s="12">
        <f>(E4/1000)*D4</f>
        <v>0</v>
      </c>
      <c r="G4" s="9"/>
      <c r="H4" s="9"/>
      <c r="I4" s="9"/>
      <c r="J4" s="11" t="s">
        <v>19</v>
      </c>
    </row>
    <row r="5" ht="14.25" customHeight="1">
      <c r="C5" s="8" t="s">
        <v>20</v>
      </c>
      <c r="D5" s="9">
        <v>120.0</v>
      </c>
      <c r="E5" s="10"/>
      <c r="F5" s="12"/>
      <c r="G5" s="9"/>
      <c r="H5" s="9"/>
      <c r="I5" s="9"/>
      <c r="J5" s="11"/>
    </row>
    <row r="6" ht="14.25" customHeight="1">
      <c r="C6" s="8" t="s">
        <v>23</v>
      </c>
      <c r="D6" s="9">
        <v>10.0</v>
      </c>
      <c r="E6" s="10"/>
      <c r="F6" s="12"/>
      <c r="G6" s="9"/>
      <c r="H6" s="9"/>
      <c r="I6" s="9"/>
      <c r="J6" s="11"/>
    </row>
    <row r="7" ht="14.25" customHeight="1">
      <c r="C7" s="8" t="s">
        <v>27</v>
      </c>
      <c r="D7" s="9">
        <v>80.0</v>
      </c>
      <c r="E7" s="10"/>
      <c r="F7" s="12"/>
      <c r="G7" s="9"/>
      <c r="H7" s="9"/>
      <c r="I7" s="9"/>
      <c r="J7" s="11"/>
    </row>
    <row r="8" ht="14.25" customHeight="1">
      <c r="C8" s="8" t="s">
        <v>31</v>
      </c>
      <c r="D8" s="9">
        <v>10.0</v>
      </c>
      <c r="E8" s="10"/>
      <c r="F8" s="12"/>
      <c r="G8" s="9"/>
      <c r="H8" s="9"/>
      <c r="I8" s="9"/>
      <c r="J8" s="11"/>
    </row>
    <row r="9" ht="14.25" customHeight="1">
      <c r="C9" s="8" t="s">
        <v>33</v>
      </c>
      <c r="D9" s="9">
        <v>2.0</v>
      </c>
      <c r="E9" s="10"/>
      <c r="F9" s="12"/>
      <c r="G9" s="9"/>
      <c r="H9" s="9"/>
      <c r="I9" s="9"/>
      <c r="J9" s="11"/>
    </row>
    <row r="10" ht="14.25" customHeight="1">
      <c r="C10" s="14" t="s">
        <v>36</v>
      </c>
      <c r="D10" s="15">
        <v>2.0</v>
      </c>
      <c r="E10" s="16"/>
      <c r="F10" s="17"/>
      <c r="G10" s="15"/>
      <c r="H10" s="15"/>
      <c r="I10" s="15"/>
      <c r="J10" s="18"/>
    </row>
    <row r="11" ht="14.25" customHeight="1">
      <c r="C11" s="19"/>
      <c r="D11" s="20">
        <f>SUM(D4:D10)</f>
        <v>1014</v>
      </c>
      <c r="E11" s="21"/>
      <c r="F11" s="22">
        <f t="shared" ref="F11:I11" si="1">SUM(F4:F9)</f>
        <v>0</v>
      </c>
      <c r="G11" s="20">
        <f t="shared" si="1"/>
        <v>0</v>
      </c>
      <c r="H11" s="23">
        <f t="shared" si="1"/>
        <v>0</v>
      </c>
      <c r="I11" s="23">
        <f t="shared" si="1"/>
        <v>0</v>
      </c>
      <c r="J11" s="25"/>
    </row>
    <row r="12" ht="14.25" customHeight="1"/>
    <row r="13" ht="14.25" customHeight="1"/>
    <row r="14" ht="14.25" customHeight="1">
      <c r="C14" s="1" t="s">
        <v>46</v>
      </c>
      <c r="D14" s="2"/>
      <c r="E14" s="2"/>
      <c r="F14" s="2"/>
      <c r="G14" s="2"/>
      <c r="H14" s="2"/>
      <c r="I14" s="2"/>
      <c r="J14" s="3"/>
    </row>
    <row r="15" ht="14.25" customHeight="1">
      <c r="B15" s="4">
        <v>12.0</v>
      </c>
      <c r="C15" s="5" t="s">
        <v>4</v>
      </c>
      <c r="D15" s="6" t="s">
        <v>6</v>
      </c>
      <c r="E15" s="6" t="s">
        <v>7</v>
      </c>
      <c r="F15" s="6" t="s">
        <v>9</v>
      </c>
      <c r="G15" s="6"/>
      <c r="H15" s="6" t="s">
        <v>13</v>
      </c>
      <c r="I15" s="6" t="s">
        <v>14</v>
      </c>
      <c r="J15" s="7"/>
    </row>
    <row r="16" ht="14.25" customHeight="1">
      <c r="C16" s="8" t="s">
        <v>49</v>
      </c>
      <c r="D16" s="9">
        <v>978.0</v>
      </c>
      <c r="E16" s="10"/>
      <c r="F16" s="12">
        <f>(E16/1000)*D16</f>
        <v>0</v>
      </c>
      <c r="G16" s="9"/>
      <c r="H16" s="9"/>
      <c r="I16" s="9"/>
      <c r="J16" s="11" t="s">
        <v>19</v>
      </c>
    </row>
    <row r="17" ht="14.25" customHeight="1">
      <c r="C17" s="8" t="s">
        <v>53</v>
      </c>
      <c r="D17" s="9">
        <v>5.0</v>
      </c>
      <c r="E17" s="10"/>
      <c r="F17" s="12"/>
      <c r="G17" s="9"/>
      <c r="H17" s="9"/>
      <c r="I17" s="9"/>
      <c r="J17" s="11"/>
    </row>
    <row r="18" ht="14.25" customHeight="1">
      <c r="C18" s="8" t="s">
        <v>55</v>
      </c>
      <c r="D18" s="9">
        <v>5.0</v>
      </c>
      <c r="E18" s="10"/>
      <c r="F18" s="12"/>
      <c r="G18" s="9"/>
      <c r="H18" s="9"/>
      <c r="I18" s="9"/>
      <c r="J18" s="11"/>
    </row>
    <row r="19" ht="14.25" customHeight="1">
      <c r="C19" s="8" t="s">
        <v>57</v>
      </c>
      <c r="D19" s="9">
        <v>10.0</v>
      </c>
      <c r="E19" s="10"/>
      <c r="F19" s="12"/>
      <c r="G19" s="9"/>
      <c r="H19" s="9"/>
      <c r="I19" s="9"/>
      <c r="J19" s="11"/>
    </row>
    <row r="20" ht="14.25" customHeight="1">
      <c r="C20" s="8" t="s">
        <v>31</v>
      </c>
      <c r="D20" s="9">
        <v>2.0</v>
      </c>
      <c r="E20" s="10"/>
      <c r="F20" s="12"/>
      <c r="G20" s="9"/>
      <c r="H20" s="9"/>
      <c r="I20" s="9"/>
      <c r="J20" s="11"/>
    </row>
    <row r="21" ht="14.25" customHeight="1">
      <c r="C21" s="19"/>
      <c r="D21" s="20">
        <f>SUM(D16:D20)</f>
        <v>1000</v>
      </c>
      <c r="E21" s="21"/>
      <c r="F21" s="22">
        <f t="shared" ref="F21:I21" si="2">SUM(F16:F20)</f>
        <v>0</v>
      </c>
      <c r="G21" s="20">
        <f t="shared" si="2"/>
        <v>0</v>
      </c>
      <c r="H21" s="23">
        <f t="shared" si="2"/>
        <v>0</v>
      </c>
      <c r="I21" s="23">
        <f t="shared" si="2"/>
        <v>0</v>
      </c>
      <c r="J21" s="2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2:J2"/>
    <mergeCell ref="C14:J1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5.29"/>
    <col customWidth="1" min="4" max="26" width="10.71"/>
  </cols>
  <sheetData>
    <row r="1" ht="14.25" customHeight="1"/>
    <row r="2" ht="14.25" customHeight="1">
      <c r="C2" s="1" t="s">
        <v>103</v>
      </c>
      <c r="D2" s="2"/>
      <c r="E2" s="2"/>
      <c r="F2" s="2"/>
      <c r="G2" s="2"/>
      <c r="H2" s="2"/>
      <c r="I2" s="2"/>
      <c r="J2" s="3"/>
    </row>
    <row r="3" ht="14.25" customHeight="1">
      <c r="B3" s="4">
        <v>1.0</v>
      </c>
      <c r="C3" s="5" t="s">
        <v>4</v>
      </c>
      <c r="D3" s="6" t="s">
        <v>6</v>
      </c>
      <c r="E3" s="6" t="s">
        <v>7</v>
      </c>
      <c r="F3" s="6" t="s">
        <v>9</v>
      </c>
      <c r="G3" s="6"/>
      <c r="H3" s="6" t="s">
        <v>13</v>
      </c>
      <c r="I3" s="6" t="s">
        <v>14</v>
      </c>
      <c r="J3" s="7"/>
    </row>
    <row r="4" ht="14.25" customHeight="1">
      <c r="C4" s="8" t="s">
        <v>106</v>
      </c>
      <c r="D4" s="10">
        <v>961.0</v>
      </c>
      <c r="E4" s="10"/>
      <c r="F4" s="12">
        <f>(E4/1000)*D4</f>
        <v>0</v>
      </c>
      <c r="G4" s="9"/>
      <c r="H4" s="9"/>
      <c r="I4" s="9"/>
      <c r="J4" s="11" t="s">
        <v>19</v>
      </c>
    </row>
    <row r="5" ht="14.25" customHeight="1">
      <c r="C5" s="8" t="s">
        <v>108</v>
      </c>
      <c r="D5" s="9">
        <v>30.0</v>
      </c>
      <c r="E5" s="10"/>
      <c r="F5" s="12"/>
      <c r="G5" s="9"/>
      <c r="H5" s="9"/>
      <c r="I5" s="9"/>
      <c r="J5" s="11"/>
    </row>
    <row r="6" ht="14.25" customHeight="1">
      <c r="C6" s="8" t="s">
        <v>31</v>
      </c>
      <c r="D6" s="9">
        <v>1.0</v>
      </c>
      <c r="E6" s="10"/>
      <c r="F6" s="12"/>
      <c r="G6" s="9"/>
      <c r="H6" s="9"/>
      <c r="I6" s="9"/>
      <c r="J6" s="11"/>
    </row>
    <row r="7" ht="14.25" customHeight="1">
      <c r="C7" s="8" t="s">
        <v>110</v>
      </c>
      <c r="D7" s="9">
        <v>2.0</v>
      </c>
      <c r="E7" s="10"/>
      <c r="F7" s="12"/>
      <c r="G7" s="9"/>
      <c r="H7" s="9"/>
      <c r="I7" s="9"/>
      <c r="J7" s="11"/>
    </row>
    <row r="8" ht="14.25" customHeight="1">
      <c r="C8" s="8" t="s">
        <v>112</v>
      </c>
      <c r="D8" s="9">
        <v>2.0</v>
      </c>
      <c r="E8" s="10"/>
      <c r="F8" s="12"/>
      <c r="G8" s="9"/>
      <c r="H8" s="9"/>
      <c r="I8" s="9"/>
      <c r="J8" s="11"/>
    </row>
    <row r="9" ht="14.25" customHeight="1">
      <c r="C9" s="8" t="s">
        <v>114</v>
      </c>
      <c r="D9" s="9">
        <v>2.0</v>
      </c>
      <c r="E9" s="10"/>
      <c r="F9" s="12"/>
      <c r="G9" s="9"/>
      <c r="H9" s="9"/>
      <c r="I9" s="9"/>
      <c r="J9" s="11"/>
    </row>
    <row r="10" ht="14.25" customHeight="1">
      <c r="C10" s="8" t="s">
        <v>115</v>
      </c>
      <c r="D10" s="9">
        <v>2.0</v>
      </c>
      <c r="E10" s="10"/>
      <c r="F10" s="12"/>
      <c r="G10" s="9"/>
      <c r="H10" s="9"/>
      <c r="I10" s="9"/>
      <c r="J10" s="11"/>
    </row>
    <row r="11" ht="14.25" customHeight="1">
      <c r="C11" s="19"/>
      <c r="D11" s="20">
        <f>SUM(D4:D10)</f>
        <v>1000</v>
      </c>
      <c r="E11" s="21"/>
      <c r="F11" s="22">
        <f t="shared" ref="F11:I11" si="1">SUM(F4:F10)</f>
        <v>0</v>
      </c>
      <c r="G11" s="20">
        <f t="shared" si="1"/>
        <v>0</v>
      </c>
      <c r="H11" s="23">
        <f t="shared" si="1"/>
        <v>0</v>
      </c>
      <c r="I11" s="23">
        <f t="shared" si="1"/>
        <v>0</v>
      </c>
      <c r="J11" s="25"/>
    </row>
    <row r="12" ht="14.25" customHeight="1"/>
    <row r="13" ht="14.25" customHeight="1"/>
    <row r="14" ht="14.25" customHeight="1">
      <c r="C14" s="1" t="s">
        <v>119</v>
      </c>
      <c r="D14" s="2"/>
      <c r="E14" s="2"/>
      <c r="F14" s="2"/>
      <c r="G14" s="2"/>
      <c r="H14" s="2"/>
      <c r="I14" s="2"/>
      <c r="J14" s="3"/>
    </row>
    <row r="15" ht="14.25" customHeight="1">
      <c r="B15" s="4">
        <v>2.0</v>
      </c>
      <c r="C15" s="5" t="s">
        <v>4</v>
      </c>
      <c r="D15" s="6" t="s">
        <v>6</v>
      </c>
      <c r="E15" s="6" t="s">
        <v>7</v>
      </c>
      <c r="F15" s="6" t="s">
        <v>9</v>
      </c>
      <c r="G15" s="6"/>
      <c r="H15" s="6" t="s">
        <v>13</v>
      </c>
      <c r="I15" s="6" t="s">
        <v>14</v>
      </c>
      <c r="J15" s="7"/>
    </row>
    <row r="16" ht="14.25" customHeight="1">
      <c r="C16" s="8" t="s">
        <v>106</v>
      </c>
      <c r="D16" s="9">
        <v>883.0</v>
      </c>
      <c r="E16" s="10"/>
      <c r="F16" s="12">
        <f>(E16/1000)*D16</f>
        <v>0</v>
      </c>
      <c r="G16" s="9"/>
      <c r="H16" s="9">
        <f t="shared" ref="H16:H21" si="2">+D16*18</f>
        <v>15894</v>
      </c>
      <c r="I16" s="9"/>
      <c r="J16" s="11" t="s">
        <v>19</v>
      </c>
    </row>
    <row r="17" ht="14.25" customHeight="1">
      <c r="C17" s="8" t="s">
        <v>122</v>
      </c>
      <c r="D17" s="9">
        <v>50.0</v>
      </c>
      <c r="E17" s="10"/>
      <c r="F17" s="12"/>
      <c r="G17" s="9"/>
      <c r="H17" s="9">
        <f t="shared" si="2"/>
        <v>900</v>
      </c>
      <c r="I17" s="9"/>
      <c r="J17" s="11"/>
    </row>
    <row r="18" ht="14.25" customHeight="1">
      <c r="C18" s="8" t="s">
        <v>126</v>
      </c>
      <c r="D18" s="9">
        <v>35.0</v>
      </c>
      <c r="E18" s="10"/>
      <c r="F18" s="12"/>
      <c r="G18" s="9"/>
      <c r="H18" s="9">
        <f t="shared" si="2"/>
        <v>630</v>
      </c>
      <c r="I18" s="9"/>
      <c r="J18" s="11"/>
    </row>
    <row r="19" ht="14.25" customHeight="1">
      <c r="C19" s="8" t="s">
        <v>128</v>
      </c>
      <c r="D19" s="9">
        <v>20.0</v>
      </c>
      <c r="E19" s="10"/>
      <c r="F19" s="12"/>
      <c r="G19" s="9"/>
      <c r="H19" s="9">
        <f t="shared" si="2"/>
        <v>360</v>
      </c>
      <c r="I19" s="9"/>
      <c r="J19" s="11"/>
    </row>
    <row r="20" ht="14.25" customHeight="1">
      <c r="C20" s="8" t="s">
        <v>31</v>
      </c>
      <c r="D20" s="9">
        <v>5.0</v>
      </c>
      <c r="E20" s="10"/>
      <c r="F20" s="12"/>
      <c r="G20" s="9"/>
      <c r="H20" s="9">
        <f t="shared" si="2"/>
        <v>90</v>
      </c>
      <c r="I20" s="9"/>
      <c r="J20" s="11"/>
    </row>
    <row r="21" ht="14.25" customHeight="1">
      <c r="C21" s="8" t="s">
        <v>131</v>
      </c>
      <c r="D21" s="9">
        <v>7.0</v>
      </c>
      <c r="E21" s="10"/>
      <c r="F21" s="12"/>
      <c r="G21" s="9"/>
      <c r="H21" s="9">
        <f t="shared" si="2"/>
        <v>126</v>
      </c>
      <c r="I21" s="9"/>
      <c r="J21" s="11"/>
    </row>
    <row r="22" ht="14.25" customHeight="1">
      <c r="C22" s="19"/>
      <c r="D22" s="20">
        <f>SUM(D16:D21)</f>
        <v>1000</v>
      </c>
      <c r="E22" s="21"/>
      <c r="F22" s="22">
        <f t="shared" ref="F22:I22" si="3">SUM(F16:F21)</f>
        <v>0</v>
      </c>
      <c r="G22" s="20">
        <f t="shared" si="3"/>
        <v>0</v>
      </c>
      <c r="H22" s="23">
        <f t="shared" si="3"/>
        <v>18000</v>
      </c>
      <c r="I22" s="23">
        <f t="shared" si="3"/>
        <v>0</v>
      </c>
      <c r="J22" s="25"/>
    </row>
    <row r="23" ht="14.25" customHeight="1"/>
    <row r="24" ht="14.25" customHeight="1"/>
    <row r="25" ht="14.25" customHeight="1">
      <c r="C25" s="1" t="s">
        <v>134</v>
      </c>
      <c r="D25" s="2"/>
      <c r="E25" s="2"/>
      <c r="F25" s="2"/>
      <c r="G25" s="2"/>
      <c r="H25" s="2"/>
      <c r="I25" s="2"/>
      <c r="J25" s="3"/>
    </row>
    <row r="26" ht="14.25" customHeight="1">
      <c r="B26" s="4">
        <v>3.0</v>
      </c>
      <c r="C26" s="5" t="s">
        <v>4</v>
      </c>
      <c r="D26" s="6" t="s">
        <v>6</v>
      </c>
      <c r="E26" s="6" t="s">
        <v>7</v>
      </c>
      <c r="F26" s="6" t="s">
        <v>9</v>
      </c>
      <c r="G26" s="6"/>
      <c r="H26" s="6" t="s">
        <v>13</v>
      </c>
      <c r="I26" s="6" t="s">
        <v>14</v>
      </c>
      <c r="J26" s="7"/>
    </row>
    <row r="27" ht="14.25" customHeight="1">
      <c r="C27" s="8" t="s">
        <v>106</v>
      </c>
      <c r="D27" s="9">
        <v>977.0</v>
      </c>
      <c r="E27" s="10"/>
      <c r="F27" s="12">
        <f>(E27/1000)*D27</f>
        <v>0</v>
      </c>
      <c r="G27" s="9"/>
      <c r="H27" s="9">
        <f t="shared" ref="H27:H31" si="4">+D27*112</f>
        <v>109424</v>
      </c>
      <c r="I27" s="9"/>
      <c r="J27" s="11" t="s">
        <v>19</v>
      </c>
    </row>
    <row r="28" ht="14.25" customHeight="1">
      <c r="C28" s="8" t="s">
        <v>126</v>
      </c>
      <c r="D28" s="9">
        <v>15.0</v>
      </c>
      <c r="E28" s="10"/>
      <c r="F28" s="12"/>
      <c r="G28" s="9"/>
      <c r="H28" s="9">
        <f t="shared" si="4"/>
        <v>1680</v>
      </c>
      <c r="I28" s="9"/>
      <c r="J28" s="11"/>
    </row>
    <row r="29" ht="14.25" customHeight="1">
      <c r="C29" s="8" t="s">
        <v>138</v>
      </c>
      <c r="D29" s="9">
        <v>5.0</v>
      </c>
      <c r="E29" s="10"/>
      <c r="F29" s="12"/>
      <c r="G29" s="9"/>
      <c r="H29" s="9">
        <f t="shared" si="4"/>
        <v>560</v>
      </c>
      <c r="I29" s="9"/>
      <c r="J29" s="11"/>
    </row>
    <row r="30" ht="14.25" customHeight="1">
      <c r="C30" s="8" t="s">
        <v>31</v>
      </c>
      <c r="D30" s="9">
        <v>2.0</v>
      </c>
      <c r="E30" s="10"/>
      <c r="F30" s="12"/>
      <c r="G30" s="9"/>
      <c r="H30" s="9">
        <f t="shared" si="4"/>
        <v>224</v>
      </c>
      <c r="I30" s="9"/>
      <c r="J30" s="11"/>
    </row>
    <row r="31" ht="14.25" customHeight="1">
      <c r="C31" s="8" t="s">
        <v>140</v>
      </c>
      <c r="D31" s="9">
        <v>2.0</v>
      </c>
      <c r="E31" s="10"/>
      <c r="F31" s="12"/>
      <c r="G31" s="9"/>
      <c r="H31" s="9">
        <f t="shared" si="4"/>
        <v>224</v>
      </c>
      <c r="I31" s="9"/>
      <c r="J31" s="11"/>
    </row>
    <row r="32" ht="14.25" customHeight="1">
      <c r="C32" s="19"/>
      <c r="D32" s="20">
        <f>SUM(D27:D31)</f>
        <v>1001</v>
      </c>
      <c r="E32" s="21"/>
      <c r="F32" s="22">
        <f t="shared" ref="F32:I32" si="5">SUM(F27:F31)</f>
        <v>0</v>
      </c>
      <c r="G32" s="20">
        <f t="shared" si="5"/>
        <v>0</v>
      </c>
      <c r="H32" s="23">
        <f t="shared" si="5"/>
        <v>112112</v>
      </c>
      <c r="I32" s="23">
        <f t="shared" si="5"/>
        <v>0</v>
      </c>
      <c r="J32" s="25"/>
    </row>
    <row r="33" ht="14.25" customHeight="1"/>
    <row r="34" ht="14.25" customHeight="1"/>
    <row r="35" ht="14.25" customHeight="1">
      <c r="C35" s="1" t="s">
        <v>142</v>
      </c>
      <c r="D35" s="2"/>
      <c r="E35" s="2"/>
      <c r="F35" s="2"/>
      <c r="G35" s="2"/>
      <c r="H35" s="2"/>
      <c r="I35" s="2"/>
      <c r="J35" s="3"/>
    </row>
    <row r="36" ht="14.25" customHeight="1">
      <c r="B36" s="4">
        <v>4.0</v>
      </c>
      <c r="C36" s="5" t="s">
        <v>4</v>
      </c>
      <c r="D36" s="6" t="s">
        <v>6</v>
      </c>
      <c r="E36" s="6" t="s">
        <v>7</v>
      </c>
      <c r="F36" s="6" t="s">
        <v>144</v>
      </c>
      <c r="G36" s="6"/>
      <c r="H36" s="6" t="s">
        <v>13</v>
      </c>
      <c r="I36" s="6" t="s">
        <v>14</v>
      </c>
      <c r="J36" s="7"/>
    </row>
    <row r="37" ht="14.25" customHeight="1">
      <c r="C37" s="8" t="s">
        <v>106</v>
      </c>
      <c r="D37" s="9">
        <v>990.0</v>
      </c>
      <c r="E37" s="10"/>
      <c r="F37" s="12">
        <f>(E37/1000)*D37</f>
        <v>0</v>
      </c>
      <c r="G37" s="9"/>
      <c r="H37" s="9"/>
      <c r="I37" s="9"/>
      <c r="J37" s="11" t="s">
        <v>19</v>
      </c>
    </row>
    <row r="38" ht="14.25" customHeight="1">
      <c r="C38" s="8" t="s">
        <v>147</v>
      </c>
      <c r="D38" s="9">
        <v>5.0</v>
      </c>
      <c r="E38" s="10"/>
      <c r="F38" s="12"/>
      <c r="G38" s="9"/>
      <c r="H38" s="9"/>
      <c r="I38" s="9"/>
      <c r="J38" s="11"/>
    </row>
    <row r="39" ht="14.25" customHeight="1">
      <c r="C39" s="8" t="s">
        <v>148</v>
      </c>
      <c r="D39" s="9">
        <v>5.0</v>
      </c>
      <c r="E39" s="10"/>
      <c r="F39" s="12"/>
      <c r="G39" s="9"/>
      <c r="H39" s="9"/>
      <c r="I39" s="9"/>
      <c r="J39" s="11"/>
    </row>
    <row r="40" ht="14.25" customHeight="1">
      <c r="C40" s="19"/>
      <c r="D40" s="20">
        <f>SUM(D37:D39)</f>
        <v>1000</v>
      </c>
      <c r="E40" s="21"/>
      <c r="F40" s="22">
        <f t="shared" ref="F40:I40" si="6">SUM(F37:F39)</f>
        <v>0</v>
      </c>
      <c r="G40" s="20">
        <f t="shared" si="6"/>
        <v>0</v>
      </c>
      <c r="H40" s="23">
        <f t="shared" si="6"/>
        <v>0</v>
      </c>
      <c r="I40" s="23">
        <f t="shared" si="6"/>
        <v>0</v>
      </c>
      <c r="J40" s="25"/>
    </row>
    <row r="41" ht="14.25" customHeight="1"/>
    <row r="42" ht="14.25" customHeight="1"/>
    <row r="43" ht="14.25" customHeight="1">
      <c r="C43" s="48" t="s">
        <v>155</v>
      </c>
      <c r="D43" s="49"/>
      <c r="E43" s="49"/>
      <c r="F43" s="49"/>
      <c r="G43" s="49"/>
      <c r="H43" s="49"/>
      <c r="I43" s="50"/>
    </row>
    <row r="44" ht="14.25" customHeight="1">
      <c r="B44" s="4">
        <v>4.0</v>
      </c>
      <c r="C44" s="5" t="s">
        <v>4</v>
      </c>
      <c r="D44" s="6" t="s">
        <v>5</v>
      </c>
      <c r="E44" s="6" t="s">
        <v>8</v>
      </c>
      <c r="F44" s="6" t="s">
        <v>158</v>
      </c>
      <c r="G44" s="6" t="s">
        <v>159</v>
      </c>
      <c r="H44" s="6" t="s">
        <v>161</v>
      </c>
      <c r="I44" s="6" t="s">
        <v>14</v>
      </c>
    </row>
    <row r="45" ht="14.25" customHeight="1">
      <c r="C45" s="8" t="s">
        <v>162</v>
      </c>
      <c r="D45" s="10">
        <v>650.0</v>
      </c>
      <c r="E45" s="10">
        <v>12.0</v>
      </c>
      <c r="F45" s="12">
        <f t="shared" ref="F45:F48" si="7">(E45/1000)*D45</f>
        <v>7.8</v>
      </c>
      <c r="G45" s="9">
        <f t="shared" ref="G45:G48" si="8">(E45*50)</f>
        <v>600</v>
      </c>
      <c r="H45" s="9">
        <f t="shared" ref="H45:H48" si="9">(E45*50)</f>
        <v>600</v>
      </c>
      <c r="I45" s="9">
        <f t="shared" ref="I45:I48" si="10">(E45*50)</f>
        <v>600</v>
      </c>
    </row>
    <row r="46" ht="14.25" customHeight="1">
      <c r="C46" s="8" t="s">
        <v>166</v>
      </c>
      <c r="D46" s="10">
        <v>250.0</v>
      </c>
      <c r="E46" s="10">
        <v>75.0</v>
      </c>
      <c r="F46" s="12">
        <f t="shared" si="7"/>
        <v>18.75</v>
      </c>
      <c r="G46" s="9">
        <f t="shared" si="8"/>
        <v>3750</v>
      </c>
      <c r="H46" s="9">
        <f t="shared" si="9"/>
        <v>3750</v>
      </c>
      <c r="I46" s="9">
        <f t="shared" si="10"/>
        <v>3750</v>
      </c>
    </row>
    <row r="47" ht="14.25" customHeight="1">
      <c r="C47" s="13" t="s">
        <v>39</v>
      </c>
      <c r="D47" s="10">
        <v>100.0</v>
      </c>
      <c r="E47" s="10">
        <v>120.0</v>
      </c>
      <c r="F47" s="12">
        <f t="shared" si="7"/>
        <v>12</v>
      </c>
      <c r="G47" s="9">
        <f t="shared" si="8"/>
        <v>6000</v>
      </c>
      <c r="H47" s="9">
        <f t="shared" si="9"/>
        <v>6000</v>
      </c>
      <c r="I47" s="9">
        <f t="shared" si="10"/>
        <v>6000</v>
      </c>
    </row>
    <row r="48" ht="14.25" customHeight="1">
      <c r="C48" s="8" t="s">
        <v>66</v>
      </c>
      <c r="D48" s="9">
        <v>5.0</v>
      </c>
      <c r="E48" s="9">
        <v>380.0</v>
      </c>
      <c r="F48" s="12">
        <f t="shared" si="7"/>
        <v>1.9</v>
      </c>
      <c r="G48" s="9">
        <f t="shared" si="8"/>
        <v>19000</v>
      </c>
      <c r="H48" s="9">
        <f t="shared" si="9"/>
        <v>19000</v>
      </c>
      <c r="I48" s="9">
        <f t="shared" si="10"/>
        <v>19000</v>
      </c>
    </row>
    <row r="49" ht="14.25" customHeight="1">
      <c r="C49" s="19"/>
      <c r="D49" s="20">
        <f>SUM(D45:D48)</f>
        <v>1005</v>
      </c>
      <c r="E49" s="21"/>
      <c r="F49" s="22">
        <f>SUM(F46:F48)</f>
        <v>32.65</v>
      </c>
      <c r="G49" s="20">
        <f t="shared" ref="G49:I49" si="11">SUM(G45:G48)</f>
        <v>29350</v>
      </c>
      <c r="H49" s="23">
        <f t="shared" si="11"/>
        <v>29350</v>
      </c>
      <c r="I49" s="23">
        <f t="shared" si="11"/>
        <v>29350</v>
      </c>
    </row>
    <row r="50" ht="14.25" customHeight="1"/>
    <row r="51" ht="14.25" customHeight="1"/>
    <row r="52" ht="14.25" customHeight="1"/>
    <row r="53" ht="14.25" customHeight="1">
      <c r="C53" s="1" t="s">
        <v>171</v>
      </c>
      <c r="D53" s="2"/>
      <c r="E53" s="2"/>
      <c r="F53" s="2"/>
      <c r="G53" s="2"/>
      <c r="H53" s="2"/>
      <c r="I53" s="2"/>
      <c r="J53" s="3"/>
    </row>
    <row r="54" ht="14.25" customHeight="1">
      <c r="B54" s="4">
        <v>4.0</v>
      </c>
      <c r="C54" s="5" t="s">
        <v>4</v>
      </c>
      <c r="D54" s="6" t="s">
        <v>6</v>
      </c>
      <c r="E54" s="6" t="s">
        <v>7</v>
      </c>
      <c r="F54" s="6" t="s">
        <v>174</v>
      </c>
      <c r="G54" s="6"/>
      <c r="H54" s="6" t="s">
        <v>13</v>
      </c>
      <c r="I54" s="6" t="s">
        <v>14</v>
      </c>
      <c r="J54" s="7"/>
    </row>
    <row r="55" ht="14.25" customHeight="1">
      <c r="C55" s="8" t="s">
        <v>106</v>
      </c>
      <c r="D55" s="9">
        <v>977.0</v>
      </c>
      <c r="E55" s="10"/>
      <c r="F55" s="12">
        <f>(E55/1000)*D55</f>
        <v>0</v>
      </c>
      <c r="G55" s="9"/>
      <c r="H55" s="9"/>
      <c r="I55" s="9"/>
      <c r="J55" s="11" t="s">
        <v>19</v>
      </c>
    </row>
    <row r="56" ht="14.25" customHeight="1">
      <c r="C56" s="8" t="s">
        <v>126</v>
      </c>
      <c r="D56" s="9">
        <v>15.0</v>
      </c>
      <c r="E56" s="10"/>
      <c r="F56" s="12"/>
      <c r="G56" s="9"/>
      <c r="H56" s="9"/>
      <c r="I56" s="9"/>
      <c r="J56" s="11"/>
    </row>
    <row r="57" ht="14.25" customHeight="1">
      <c r="C57" s="8" t="s">
        <v>178</v>
      </c>
      <c r="D57" s="9">
        <v>5.0</v>
      </c>
      <c r="E57" s="10"/>
      <c r="F57" s="12"/>
      <c r="G57" s="9"/>
      <c r="H57" s="9"/>
      <c r="I57" s="9"/>
      <c r="J57" s="11"/>
    </row>
    <row r="58" ht="14.25" customHeight="1">
      <c r="C58" s="8" t="s">
        <v>66</v>
      </c>
      <c r="D58" s="9">
        <v>2.0</v>
      </c>
      <c r="E58" s="10"/>
      <c r="F58" s="12"/>
      <c r="G58" s="9"/>
      <c r="H58" s="9"/>
      <c r="I58" s="9"/>
      <c r="J58" s="11"/>
    </row>
    <row r="59" ht="14.25" customHeight="1">
      <c r="C59" s="8" t="s">
        <v>181</v>
      </c>
      <c r="D59" s="9">
        <v>1.0</v>
      </c>
      <c r="E59" s="10"/>
      <c r="F59" s="12"/>
      <c r="G59" s="9"/>
      <c r="H59" s="9"/>
      <c r="I59" s="9"/>
      <c r="J59" s="11"/>
    </row>
    <row r="60" ht="14.25" customHeight="1">
      <c r="C60" s="19"/>
      <c r="D60" s="20">
        <f>SUM(D55:D59)</f>
        <v>1000</v>
      </c>
      <c r="E60" s="21"/>
      <c r="F60" s="22">
        <f t="shared" ref="F60:I60" si="12">SUM(F55:F59)</f>
        <v>0</v>
      </c>
      <c r="G60" s="20">
        <f t="shared" si="12"/>
        <v>0</v>
      </c>
      <c r="H60" s="23">
        <f t="shared" si="12"/>
        <v>0</v>
      </c>
      <c r="I60" s="23">
        <f t="shared" si="12"/>
        <v>0</v>
      </c>
      <c r="J60" s="25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C2:J2"/>
    <mergeCell ref="C14:J14"/>
    <mergeCell ref="C25:J25"/>
    <mergeCell ref="C35:J35"/>
    <mergeCell ref="C43:I43"/>
    <mergeCell ref="C53:J5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34.29"/>
    <col customWidth="1" min="4" max="26" width="10.71"/>
  </cols>
  <sheetData>
    <row r="1" ht="14.25" customHeight="1"/>
    <row r="2" ht="14.25" customHeight="1"/>
    <row r="3" ht="14.25" customHeight="1">
      <c r="C3" s="1" t="s">
        <v>209</v>
      </c>
      <c r="D3" s="2"/>
      <c r="E3" s="2"/>
      <c r="F3" s="2"/>
      <c r="G3" s="2"/>
      <c r="H3" s="2"/>
      <c r="I3" s="2"/>
      <c r="J3" s="3"/>
    </row>
    <row r="4" ht="14.25" customHeight="1">
      <c r="B4" s="4">
        <v>1.0</v>
      </c>
      <c r="C4" s="5" t="s">
        <v>4</v>
      </c>
      <c r="D4" s="6" t="s">
        <v>6</v>
      </c>
      <c r="E4" s="6" t="s">
        <v>7</v>
      </c>
      <c r="F4" s="6" t="s">
        <v>9</v>
      </c>
      <c r="G4" s="6"/>
      <c r="H4" s="6" t="s">
        <v>13</v>
      </c>
      <c r="I4" s="6" t="s">
        <v>14</v>
      </c>
      <c r="J4" s="7"/>
    </row>
    <row r="5" ht="14.25" customHeight="1">
      <c r="C5" s="8" t="s">
        <v>210</v>
      </c>
      <c r="D5" s="9">
        <v>810.0</v>
      </c>
      <c r="E5" s="10"/>
      <c r="F5" s="12">
        <f>(E5/1000)*D5</f>
        <v>0</v>
      </c>
      <c r="G5" s="9"/>
      <c r="H5" s="9"/>
      <c r="I5" s="9"/>
      <c r="J5" s="11" t="s">
        <v>19</v>
      </c>
    </row>
    <row r="6" ht="14.25" customHeight="1">
      <c r="C6" s="8" t="s">
        <v>17</v>
      </c>
      <c r="D6" s="9">
        <v>100.0</v>
      </c>
      <c r="E6" s="10"/>
      <c r="F6" s="12"/>
      <c r="G6" s="9"/>
      <c r="H6" s="9"/>
      <c r="I6" s="9"/>
      <c r="J6" s="11"/>
    </row>
    <row r="7" ht="14.25" customHeight="1">
      <c r="C7" s="8" t="s">
        <v>211</v>
      </c>
      <c r="D7" s="9">
        <v>50.0</v>
      </c>
      <c r="E7" s="10"/>
      <c r="F7" s="12"/>
      <c r="G7" s="9"/>
      <c r="H7" s="9"/>
      <c r="I7" s="9"/>
      <c r="J7" s="11"/>
    </row>
    <row r="8" ht="14.25" customHeight="1">
      <c r="C8" s="8" t="s">
        <v>212</v>
      </c>
      <c r="D8" s="9">
        <v>2.0</v>
      </c>
      <c r="E8" s="10"/>
      <c r="F8" s="12"/>
      <c r="G8" s="9"/>
      <c r="H8" s="9"/>
      <c r="I8" s="9"/>
      <c r="J8" s="11"/>
    </row>
    <row r="9" ht="14.25" customHeight="1">
      <c r="C9" s="8" t="s">
        <v>215</v>
      </c>
      <c r="D9" s="9">
        <v>1.0</v>
      </c>
      <c r="E9" s="10"/>
      <c r="F9" s="12"/>
      <c r="G9" s="9"/>
      <c r="H9" s="9"/>
      <c r="I9" s="9"/>
      <c r="J9" s="11"/>
    </row>
    <row r="10" ht="14.25" customHeight="1">
      <c r="C10" s="8" t="s">
        <v>217</v>
      </c>
      <c r="D10" s="9">
        <v>1.0</v>
      </c>
      <c r="E10" s="10"/>
      <c r="F10" s="12"/>
      <c r="G10" s="9"/>
      <c r="H10" s="9"/>
      <c r="I10" s="9"/>
      <c r="J10" s="11"/>
    </row>
    <row r="11" ht="14.25" customHeight="1">
      <c r="C11" s="8" t="s">
        <v>218</v>
      </c>
      <c r="D11" s="9">
        <v>1.0</v>
      </c>
      <c r="E11" s="10"/>
      <c r="F11" s="12"/>
      <c r="G11" s="9"/>
      <c r="H11" s="9"/>
      <c r="I11" s="9"/>
      <c r="J11" s="11"/>
    </row>
    <row r="12" ht="14.25" customHeight="1">
      <c r="C12" s="8" t="s">
        <v>219</v>
      </c>
      <c r="D12" s="9">
        <v>1.0</v>
      </c>
      <c r="E12" s="10"/>
      <c r="F12" s="12"/>
      <c r="G12" s="9"/>
      <c r="H12" s="9"/>
      <c r="I12" s="9"/>
      <c r="J12" s="11"/>
    </row>
    <row r="13" ht="14.25" customHeight="1">
      <c r="C13" s="8" t="s">
        <v>32</v>
      </c>
      <c r="D13" s="9">
        <v>10.0</v>
      </c>
      <c r="E13" s="10"/>
      <c r="F13" s="12"/>
      <c r="G13" s="9"/>
      <c r="H13" s="9"/>
      <c r="I13" s="9"/>
      <c r="J13" s="11"/>
    </row>
    <row r="14" ht="14.25" customHeight="1">
      <c r="C14" s="8" t="s">
        <v>22</v>
      </c>
      <c r="D14" s="9">
        <v>1.0</v>
      </c>
      <c r="E14" s="10"/>
      <c r="F14" s="12"/>
      <c r="G14" s="9"/>
      <c r="H14" s="9"/>
      <c r="I14" s="9"/>
      <c r="J14" s="11"/>
    </row>
    <row r="15" ht="14.25" customHeight="1">
      <c r="C15" s="8" t="s">
        <v>26</v>
      </c>
      <c r="D15" s="10">
        <v>0.5</v>
      </c>
      <c r="E15" s="10"/>
      <c r="F15" s="12"/>
      <c r="G15" s="9"/>
      <c r="H15" s="9"/>
      <c r="I15" s="9"/>
      <c r="J15" s="11"/>
    </row>
    <row r="16" ht="14.25" customHeight="1">
      <c r="C16" s="8" t="s">
        <v>84</v>
      </c>
      <c r="D16" s="15">
        <v>2.0</v>
      </c>
      <c r="E16" s="16"/>
      <c r="F16" s="17"/>
      <c r="G16" s="15"/>
      <c r="H16" s="15"/>
      <c r="I16" s="15"/>
      <c r="J16" s="18"/>
    </row>
    <row r="17" ht="14.25" customHeight="1">
      <c r="C17" s="8" t="s">
        <v>224</v>
      </c>
      <c r="D17" s="15">
        <v>20.0</v>
      </c>
      <c r="E17" s="16"/>
      <c r="F17" s="17"/>
      <c r="G17" s="15"/>
      <c r="H17" s="15"/>
      <c r="I17" s="15"/>
      <c r="J17" s="18"/>
    </row>
    <row r="18" ht="14.25" customHeight="1">
      <c r="C18" s="19"/>
      <c r="D18" s="20">
        <f>SUM(D5:D17)</f>
        <v>999.5</v>
      </c>
      <c r="E18" s="21"/>
      <c r="F18" s="22">
        <f t="shared" ref="F18:I18" si="1">SUM(F5:F15)</f>
        <v>0</v>
      </c>
      <c r="G18" s="20">
        <f t="shared" si="1"/>
        <v>0</v>
      </c>
      <c r="H18" s="23">
        <f t="shared" si="1"/>
        <v>0</v>
      </c>
      <c r="I18" s="23">
        <f t="shared" si="1"/>
        <v>0</v>
      </c>
      <c r="J18" s="25"/>
    </row>
    <row r="19" ht="14.25" customHeight="1"/>
    <row r="20" ht="14.25" customHeight="1"/>
    <row r="21" ht="14.25" customHeight="1">
      <c r="C21" s="1" t="s">
        <v>227</v>
      </c>
      <c r="D21" s="2"/>
      <c r="E21" s="2"/>
      <c r="F21" s="2"/>
      <c r="G21" s="2"/>
      <c r="H21" s="2"/>
      <c r="I21" s="2"/>
      <c r="J21" s="3"/>
    </row>
    <row r="22" ht="14.25" customHeight="1">
      <c r="B22" s="4">
        <v>2.0</v>
      </c>
      <c r="C22" s="5" t="s">
        <v>4</v>
      </c>
      <c r="D22" s="6" t="s">
        <v>6</v>
      </c>
      <c r="E22" s="6" t="s">
        <v>7</v>
      </c>
      <c r="F22" s="6" t="s">
        <v>9</v>
      </c>
      <c r="G22" s="6"/>
      <c r="H22" s="6" t="s">
        <v>13</v>
      </c>
      <c r="I22" s="6" t="s">
        <v>14</v>
      </c>
      <c r="J22" s="7"/>
    </row>
    <row r="23" ht="14.25" customHeight="1">
      <c r="C23" s="13" t="s">
        <v>207</v>
      </c>
      <c r="D23" s="9">
        <v>903.0</v>
      </c>
      <c r="E23" s="10"/>
      <c r="F23" s="12">
        <f>(E23/1000)*D23</f>
        <v>0</v>
      </c>
      <c r="G23" s="9"/>
      <c r="H23" s="9"/>
      <c r="I23" s="9"/>
      <c r="J23" s="11" t="s">
        <v>19</v>
      </c>
    </row>
    <row r="24" ht="14.25" customHeight="1">
      <c r="C24" s="13" t="s">
        <v>228</v>
      </c>
      <c r="D24" s="9">
        <v>2.0</v>
      </c>
      <c r="E24" s="10"/>
      <c r="F24" s="12"/>
      <c r="G24" s="9"/>
      <c r="H24" s="9"/>
      <c r="I24" s="9"/>
      <c r="J24" s="11"/>
    </row>
    <row r="25" ht="14.25" customHeight="1">
      <c r="C25" s="13" t="s">
        <v>230</v>
      </c>
      <c r="D25" s="9">
        <v>1.0</v>
      </c>
      <c r="E25" s="10"/>
      <c r="F25" s="12"/>
      <c r="G25" s="9"/>
      <c r="H25" s="9"/>
      <c r="I25" s="9"/>
      <c r="J25" s="11"/>
    </row>
    <row r="26" ht="14.25" customHeight="1">
      <c r="C26" s="13" t="s">
        <v>231</v>
      </c>
      <c r="D26" s="10">
        <v>0.5</v>
      </c>
      <c r="E26" s="10"/>
      <c r="F26" s="12"/>
      <c r="G26" s="9"/>
      <c r="H26" s="9"/>
      <c r="I26" s="9"/>
      <c r="J26" s="11"/>
    </row>
    <row r="27" ht="14.25" customHeight="1">
      <c r="C27" s="13" t="s">
        <v>235</v>
      </c>
      <c r="D27" s="32">
        <v>0.5</v>
      </c>
      <c r="E27" s="10"/>
      <c r="F27" s="12"/>
      <c r="G27" s="9"/>
      <c r="H27" s="9"/>
      <c r="I27" s="9"/>
      <c r="J27" s="11"/>
    </row>
    <row r="28" ht="14.25" customHeight="1">
      <c r="C28" s="13" t="s">
        <v>88</v>
      </c>
      <c r="D28" s="9">
        <v>50.0</v>
      </c>
      <c r="E28" s="10"/>
      <c r="F28" s="12"/>
      <c r="G28" s="9"/>
      <c r="H28" s="9"/>
      <c r="I28" s="9"/>
      <c r="J28" s="11"/>
    </row>
    <row r="29" ht="14.25" customHeight="1">
      <c r="C29" s="13" t="s">
        <v>220</v>
      </c>
      <c r="D29" s="9">
        <v>3.0</v>
      </c>
      <c r="E29" s="10"/>
      <c r="F29" s="12"/>
      <c r="G29" s="9"/>
      <c r="H29" s="9"/>
      <c r="I29" s="9"/>
      <c r="J29" s="11"/>
    </row>
    <row r="30" ht="14.25" customHeight="1">
      <c r="C30" s="13" t="s">
        <v>240</v>
      </c>
      <c r="D30" s="9">
        <v>40.0</v>
      </c>
      <c r="E30" s="10"/>
      <c r="F30" s="12"/>
      <c r="G30" s="9"/>
      <c r="H30" s="9"/>
      <c r="I30" s="9"/>
      <c r="J30" s="11"/>
    </row>
    <row r="31" ht="14.25" customHeight="1">
      <c r="C31" s="19"/>
      <c r="D31" s="20">
        <f>SUM(D23:D30)</f>
        <v>1000</v>
      </c>
      <c r="E31" s="21"/>
      <c r="F31" s="22">
        <f t="shared" ref="F31:I31" si="2">SUM(F23:F30)</f>
        <v>0</v>
      </c>
      <c r="G31" s="20">
        <f t="shared" si="2"/>
        <v>0</v>
      </c>
      <c r="H31" s="23">
        <f t="shared" si="2"/>
        <v>0</v>
      </c>
      <c r="I31" s="23">
        <f t="shared" si="2"/>
        <v>0</v>
      </c>
      <c r="J31" s="25"/>
    </row>
    <row r="32" ht="14.25" customHeight="1"/>
    <row r="33" ht="14.25" customHeight="1"/>
    <row r="34" ht="14.25" customHeight="1">
      <c r="C34" s="1" t="s">
        <v>242</v>
      </c>
      <c r="D34" s="2"/>
      <c r="E34" s="2"/>
      <c r="F34" s="2"/>
      <c r="G34" s="2"/>
      <c r="H34" s="2"/>
      <c r="I34" s="2"/>
      <c r="J34" s="3"/>
    </row>
    <row r="35" ht="14.25" customHeight="1">
      <c r="B35" s="4">
        <v>3.0</v>
      </c>
      <c r="C35" s="5" t="s">
        <v>4</v>
      </c>
      <c r="D35" s="6" t="s">
        <v>6</v>
      </c>
      <c r="E35" s="6" t="s">
        <v>7</v>
      </c>
      <c r="F35" s="6" t="s">
        <v>9</v>
      </c>
      <c r="G35" s="6"/>
      <c r="H35" s="6" t="s">
        <v>13</v>
      </c>
      <c r="I35" s="6" t="s">
        <v>14</v>
      </c>
      <c r="J35" s="7"/>
    </row>
    <row r="36" ht="14.25" customHeight="1">
      <c r="C36" s="61" t="s">
        <v>207</v>
      </c>
      <c r="D36" s="9">
        <v>188.0</v>
      </c>
      <c r="E36" s="10"/>
      <c r="F36" s="12">
        <f>(E36/1000)*D36</f>
        <v>0</v>
      </c>
      <c r="G36" s="9"/>
      <c r="H36" s="9"/>
      <c r="I36" s="9"/>
      <c r="J36" s="11" t="s">
        <v>19</v>
      </c>
    </row>
    <row r="37" ht="14.25" customHeight="1">
      <c r="C37" s="61" t="s">
        <v>230</v>
      </c>
      <c r="D37" s="9">
        <v>1.0</v>
      </c>
      <c r="E37" s="10"/>
      <c r="F37" s="12"/>
      <c r="G37" s="9"/>
      <c r="H37" s="9"/>
      <c r="I37" s="9"/>
      <c r="J37" s="11"/>
    </row>
    <row r="38" ht="14.25" customHeight="1">
      <c r="C38" s="61" t="s">
        <v>231</v>
      </c>
      <c r="D38" s="10">
        <v>0.5</v>
      </c>
      <c r="E38" s="10"/>
      <c r="F38" s="12"/>
      <c r="G38" s="9"/>
      <c r="H38" s="9"/>
      <c r="I38" s="9"/>
      <c r="J38" s="11"/>
    </row>
    <row r="39" ht="14.25" customHeight="1">
      <c r="C39" s="61" t="s">
        <v>30</v>
      </c>
      <c r="D39" s="9">
        <v>3.0</v>
      </c>
      <c r="E39" s="10"/>
      <c r="F39" s="12"/>
      <c r="G39" s="9"/>
      <c r="H39" s="9"/>
      <c r="I39" s="9"/>
      <c r="J39" s="11"/>
    </row>
    <row r="40" ht="14.25" customHeight="1">
      <c r="C40" s="13" t="s">
        <v>34</v>
      </c>
      <c r="D40" s="9">
        <v>100.0</v>
      </c>
      <c r="E40" s="10"/>
      <c r="F40" s="12"/>
      <c r="G40" s="9"/>
      <c r="H40" s="9"/>
      <c r="I40" s="9"/>
      <c r="J40" s="11"/>
    </row>
    <row r="41" ht="14.25" customHeight="1">
      <c r="C41" s="61" t="s">
        <v>248</v>
      </c>
      <c r="D41" s="9">
        <v>696.0</v>
      </c>
      <c r="E41" s="10"/>
      <c r="F41" s="12"/>
      <c r="G41" s="9"/>
      <c r="H41" s="9"/>
      <c r="I41" s="9"/>
      <c r="J41" s="11"/>
    </row>
    <row r="42" ht="14.25" customHeight="1">
      <c r="C42" s="61" t="s">
        <v>249</v>
      </c>
      <c r="D42" s="24">
        <v>10.0</v>
      </c>
      <c r="E42" s="10"/>
      <c r="F42" s="12"/>
      <c r="G42" s="9"/>
      <c r="H42" s="9"/>
      <c r="I42" s="9"/>
      <c r="J42" s="11"/>
    </row>
    <row r="43" ht="14.25" customHeight="1">
      <c r="C43" s="61" t="s">
        <v>57</v>
      </c>
      <c r="D43" s="9">
        <v>1.0</v>
      </c>
      <c r="E43" s="10"/>
      <c r="F43" s="12"/>
      <c r="G43" s="9"/>
      <c r="H43" s="9"/>
      <c r="I43" s="9"/>
      <c r="J43" s="11"/>
    </row>
    <row r="44" ht="14.25" customHeight="1">
      <c r="C44" s="13" t="s">
        <v>250</v>
      </c>
      <c r="D44" s="27">
        <v>0.0</v>
      </c>
      <c r="E44" s="10"/>
      <c r="F44" s="12"/>
      <c r="G44" s="9"/>
      <c r="H44" s="9"/>
      <c r="I44" s="9"/>
      <c r="J44" s="11"/>
    </row>
    <row r="45" ht="14.25" customHeight="1">
      <c r="C45" s="19"/>
      <c r="D45" s="20">
        <f>SUM(D36:D44)</f>
        <v>999.5</v>
      </c>
      <c r="E45" s="21"/>
      <c r="F45" s="22">
        <f t="shared" ref="F45:I45" si="3">SUM(F36:F44)</f>
        <v>0</v>
      </c>
      <c r="G45" s="20">
        <f t="shared" si="3"/>
        <v>0</v>
      </c>
      <c r="H45" s="23">
        <f t="shared" si="3"/>
        <v>0</v>
      </c>
      <c r="I45" s="23">
        <f t="shared" si="3"/>
        <v>0</v>
      </c>
      <c r="J45" s="25"/>
    </row>
    <row r="46" ht="14.25" customHeight="1"/>
    <row r="47" ht="14.25" customHeight="1"/>
    <row r="48" ht="14.25" customHeight="1">
      <c r="C48" s="1" t="s">
        <v>253</v>
      </c>
      <c r="D48" s="2"/>
      <c r="E48" s="2"/>
      <c r="F48" s="2"/>
      <c r="G48" s="2"/>
      <c r="H48" s="2"/>
      <c r="I48" s="2"/>
      <c r="J48" s="3"/>
    </row>
    <row r="49" ht="14.25" customHeight="1">
      <c r="B49" s="4">
        <v>4.0</v>
      </c>
      <c r="C49" s="5" t="s">
        <v>4</v>
      </c>
      <c r="D49" s="6" t="s">
        <v>6</v>
      </c>
      <c r="E49" s="6" t="s">
        <v>7</v>
      </c>
      <c r="F49" s="6" t="s">
        <v>9</v>
      </c>
      <c r="G49" s="6"/>
      <c r="H49" s="6" t="s">
        <v>13</v>
      </c>
      <c r="I49" s="6" t="s">
        <v>14</v>
      </c>
      <c r="J49" s="7"/>
    </row>
    <row r="50" ht="14.25" customHeight="1">
      <c r="C50" s="8" t="s">
        <v>193</v>
      </c>
      <c r="D50" s="9">
        <v>5.0</v>
      </c>
      <c r="E50" s="10"/>
      <c r="F50" s="12">
        <f>(E50/1000)*D50</f>
        <v>0</v>
      </c>
      <c r="G50" s="9"/>
      <c r="H50" s="9"/>
      <c r="I50" s="9"/>
      <c r="J50" s="11" t="s">
        <v>19</v>
      </c>
    </row>
    <row r="51" ht="14.25" customHeight="1">
      <c r="C51" s="8" t="s">
        <v>257</v>
      </c>
      <c r="D51" s="9">
        <v>5.0</v>
      </c>
      <c r="E51" s="10"/>
      <c r="F51" s="12"/>
      <c r="G51" s="9"/>
      <c r="H51" s="9"/>
      <c r="I51" s="9"/>
      <c r="J51" s="11"/>
    </row>
    <row r="52" ht="14.25" customHeight="1">
      <c r="C52" s="8" t="s">
        <v>143</v>
      </c>
      <c r="D52" s="9">
        <v>40.0</v>
      </c>
      <c r="E52" s="10"/>
      <c r="F52" s="12"/>
      <c r="G52" s="9"/>
      <c r="H52" s="9"/>
      <c r="I52" s="9"/>
      <c r="J52" s="11"/>
    </row>
    <row r="53" ht="14.25" customHeight="1">
      <c r="C53" s="64" t="s">
        <v>200</v>
      </c>
      <c r="D53" s="9">
        <v>869.0</v>
      </c>
      <c r="E53" s="10"/>
      <c r="F53" s="12"/>
      <c r="G53" s="9"/>
      <c r="H53" s="9"/>
      <c r="I53" s="9"/>
      <c r="J53" s="11"/>
    </row>
    <row r="54" ht="14.25" customHeight="1">
      <c r="C54" s="8" t="s">
        <v>258</v>
      </c>
      <c r="D54" s="9">
        <v>10.0</v>
      </c>
      <c r="E54" s="10"/>
      <c r="F54" s="12"/>
      <c r="G54" s="9"/>
      <c r="H54" s="9"/>
      <c r="I54" s="9"/>
      <c r="J54" s="11"/>
    </row>
    <row r="55" ht="14.25" customHeight="1">
      <c r="C55" s="54" t="s">
        <v>232</v>
      </c>
      <c r="D55" s="42">
        <v>20.0</v>
      </c>
      <c r="E55" s="10"/>
      <c r="F55" s="12"/>
      <c r="G55" s="9"/>
      <c r="H55" s="9"/>
      <c r="I55" s="9"/>
      <c r="J55" s="11"/>
    </row>
    <row r="56" ht="14.25" customHeight="1">
      <c r="C56" s="8" t="s">
        <v>32</v>
      </c>
      <c r="D56" s="9">
        <v>30.0</v>
      </c>
      <c r="E56" s="10"/>
      <c r="F56" s="12"/>
      <c r="G56" s="9"/>
      <c r="H56" s="9"/>
      <c r="I56" s="9"/>
      <c r="J56" s="11"/>
    </row>
    <row r="57" ht="14.25" customHeight="1">
      <c r="C57" s="13" t="s">
        <v>175</v>
      </c>
      <c r="D57" s="24">
        <v>10.0</v>
      </c>
      <c r="E57" s="10"/>
      <c r="F57" s="12"/>
      <c r="G57" s="9"/>
      <c r="H57" s="9"/>
      <c r="I57" s="9"/>
      <c r="J57" s="11"/>
    </row>
    <row r="58" ht="14.25" customHeight="1">
      <c r="C58" s="13" t="s">
        <v>29</v>
      </c>
      <c r="D58" s="24">
        <v>10.0</v>
      </c>
      <c r="E58" s="10"/>
      <c r="F58" s="12"/>
      <c r="G58" s="9"/>
      <c r="H58" s="9"/>
      <c r="I58" s="9"/>
      <c r="J58" s="11"/>
    </row>
    <row r="59" ht="14.25" customHeight="1">
      <c r="C59" s="13" t="s">
        <v>179</v>
      </c>
      <c r="D59" s="9">
        <v>0.5</v>
      </c>
      <c r="E59" s="10"/>
      <c r="F59" s="12"/>
      <c r="G59" s="9"/>
      <c r="H59" s="9"/>
      <c r="I59" s="9"/>
      <c r="J59" s="11"/>
    </row>
    <row r="60" ht="14.25" customHeight="1">
      <c r="C60" s="13" t="s">
        <v>183</v>
      </c>
      <c r="D60" s="10">
        <v>0.5</v>
      </c>
      <c r="E60" s="10"/>
      <c r="F60" s="12"/>
      <c r="G60" s="9"/>
      <c r="H60" s="9"/>
      <c r="I60" s="9"/>
      <c r="J60" s="11"/>
    </row>
    <row r="61" ht="14.25" customHeight="1">
      <c r="C61" s="19"/>
      <c r="D61" s="66">
        <f>SUM(D50:D60)</f>
        <v>1000</v>
      </c>
      <c r="E61" s="68"/>
      <c r="F61" s="69">
        <f t="shared" ref="F61:I61" si="4">SUM(F50:F60)</f>
        <v>0</v>
      </c>
      <c r="G61" s="66">
        <f t="shared" si="4"/>
        <v>0</v>
      </c>
      <c r="H61" s="70">
        <f t="shared" si="4"/>
        <v>0</v>
      </c>
      <c r="I61" s="70">
        <f t="shared" si="4"/>
        <v>0</v>
      </c>
      <c r="J61" s="71"/>
    </row>
    <row r="62" ht="14.25" customHeight="1">
      <c r="C62" s="72" t="s">
        <v>269</v>
      </c>
      <c r="D62" s="2"/>
      <c r="E62" s="2"/>
      <c r="F62" s="2"/>
      <c r="G62" s="2"/>
      <c r="H62" s="2"/>
      <c r="I62" s="2"/>
      <c r="J62" s="3"/>
    </row>
    <row r="63" ht="14.25" customHeight="1"/>
    <row r="64" ht="14.25" customHeight="1"/>
    <row r="65" ht="14.25" customHeight="1">
      <c r="C65" s="1" t="s">
        <v>271</v>
      </c>
      <c r="D65" s="2"/>
      <c r="E65" s="2"/>
      <c r="F65" s="2"/>
      <c r="G65" s="2"/>
      <c r="H65" s="2"/>
      <c r="I65" s="2"/>
      <c r="J65" s="3"/>
    </row>
    <row r="66" ht="14.25" customHeight="1">
      <c r="B66" s="4">
        <v>5.0</v>
      </c>
      <c r="C66" s="5" t="s">
        <v>4</v>
      </c>
      <c r="D66" s="6" t="s">
        <v>6</v>
      </c>
      <c r="E66" s="6" t="s">
        <v>7</v>
      </c>
      <c r="F66" s="6" t="s">
        <v>9</v>
      </c>
      <c r="G66" s="6"/>
      <c r="H66" s="6" t="s">
        <v>13</v>
      </c>
      <c r="I66" s="6" t="s">
        <v>14</v>
      </c>
      <c r="J66" s="7"/>
    </row>
    <row r="67" ht="14.25" customHeight="1">
      <c r="C67" s="8" t="s">
        <v>273</v>
      </c>
      <c r="D67" s="9">
        <v>40.0</v>
      </c>
      <c r="E67" s="10"/>
      <c r="F67" s="12">
        <f>(E67/1000)*D67</f>
        <v>0</v>
      </c>
      <c r="G67" s="9"/>
      <c r="H67" s="9"/>
      <c r="I67" s="9"/>
      <c r="J67" s="11" t="s">
        <v>19</v>
      </c>
    </row>
    <row r="68" ht="14.25" customHeight="1">
      <c r="C68" s="8" t="s">
        <v>274</v>
      </c>
      <c r="D68" s="9">
        <v>500.0</v>
      </c>
      <c r="E68" s="10"/>
      <c r="F68" s="12"/>
      <c r="G68" s="9"/>
      <c r="H68" s="9"/>
      <c r="I68" s="9"/>
      <c r="J68" s="11"/>
    </row>
    <row r="69" ht="14.25" customHeight="1">
      <c r="C69" s="8" t="s">
        <v>29</v>
      </c>
      <c r="D69" s="9">
        <v>457.5</v>
      </c>
      <c r="E69" s="10"/>
      <c r="F69" s="12"/>
      <c r="G69" s="9"/>
      <c r="H69" s="9"/>
      <c r="I69" s="9"/>
      <c r="J69" s="11"/>
    </row>
    <row r="70" ht="14.25" customHeight="1">
      <c r="C70" s="8" t="s">
        <v>276</v>
      </c>
      <c r="D70" s="10">
        <v>2.5</v>
      </c>
      <c r="E70" s="10"/>
      <c r="F70" s="12"/>
      <c r="G70" s="9"/>
      <c r="H70" s="9"/>
      <c r="I70" s="9"/>
      <c r="J70" s="11"/>
    </row>
    <row r="71" ht="14.25" customHeight="1">
      <c r="C71" s="19"/>
      <c r="D71" s="20">
        <f>SUM(D67:D70)</f>
        <v>1000</v>
      </c>
      <c r="E71" s="21"/>
      <c r="F71" s="22">
        <f t="shared" ref="F71:I71" si="5">SUM(F67:F70)</f>
        <v>0</v>
      </c>
      <c r="G71" s="20">
        <f t="shared" si="5"/>
        <v>0</v>
      </c>
      <c r="H71" s="23">
        <f t="shared" si="5"/>
        <v>0</v>
      </c>
      <c r="I71" s="23">
        <f t="shared" si="5"/>
        <v>0</v>
      </c>
      <c r="J71" s="25"/>
    </row>
    <row r="72" ht="14.25" customHeight="1"/>
    <row r="73" ht="14.25" customHeight="1"/>
    <row r="74" ht="14.25" customHeight="1">
      <c r="C74" s="1" t="s">
        <v>279</v>
      </c>
      <c r="D74" s="2"/>
      <c r="E74" s="2"/>
      <c r="F74" s="2"/>
      <c r="G74" s="2"/>
      <c r="H74" s="2"/>
      <c r="I74" s="2"/>
      <c r="J74" s="3"/>
    </row>
    <row r="75" ht="14.25" customHeight="1">
      <c r="B75" s="4">
        <v>6.0</v>
      </c>
      <c r="C75" s="5" t="s">
        <v>4</v>
      </c>
      <c r="D75" s="6" t="s">
        <v>6</v>
      </c>
      <c r="E75" s="6" t="s">
        <v>7</v>
      </c>
      <c r="F75" s="6" t="s">
        <v>9</v>
      </c>
      <c r="G75" s="6"/>
      <c r="H75" s="6" t="s">
        <v>13</v>
      </c>
      <c r="I75" s="6" t="s">
        <v>14</v>
      </c>
      <c r="J75" s="7"/>
    </row>
    <row r="76" ht="14.25" customHeight="1">
      <c r="C76" s="8" t="s">
        <v>273</v>
      </c>
      <c r="D76" s="9">
        <v>3.0</v>
      </c>
      <c r="E76" s="10"/>
      <c r="F76" s="12">
        <f>(E76/1000)*D76</f>
        <v>0</v>
      </c>
      <c r="G76" s="9"/>
      <c r="H76" s="9"/>
      <c r="I76" s="9"/>
      <c r="J76" s="11" t="s">
        <v>19</v>
      </c>
    </row>
    <row r="77" ht="14.25" customHeight="1">
      <c r="C77" s="8" t="s">
        <v>281</v>
      </c>
      <c r="D77" s="9">
        <v>845.0</v>
      </c>
      <c r="E77" s="10"/>
      <c r="F77" s="12"/>
      <c r="G77" s="9"/>
      <c r="H77" s="9"/>
      <c r="I77" s="9"/>
      <c r="J77" s="11"/>
    </row>
    <row r="78" ht="14.25" customHeight="1">
      <c r="C78" s="8" t="s">
        <v>29</v>
      </c>
      <c r="D78" s="9">
        <v>50.0</v>
      </c>
      <c r="E78" s="10"/>
      <c r="F78" s="12"/>
      <c r="G78" s="9"/>
      <c r="H78" s="9"/>
      <c r="I78" s="9"/>
      <c r="J78" s="11"/>
    </row>
    <row r="79" ht="14.25" customHeight="1">
      <c r="C79" s="8" t="s">
        <v>276</v>
      </c>
      <c r="D79" s="10">
        <v>2.5</v>
      </c>
      <c r="E79" s="10"/>
      <c r="F79" s="12"/>
      <c r="G79" s="9"/>
      <c r="H79" s="9"/>
      <c r="I79" s="9"/>
      <c r="J79" s="11"/>
    </row>
    <row r="80" ht="14.25" customHeight="1">
      <c r="C80" s="8" t="s">
        <v>283</v>
      </c>
      <c r="D80" s="9">
        <v>100.0</v>
      </c>
      <c r="E80" s="16"/>
      <c r="F80" s="17"/>
      <c r="G80" s="15"/>
      <c r="H80" s="15"/>
      <c r="I80" s="15"/>
      <c r="J80" s="18"/>
    </row>
    <row r="81" ht="14.25" customHeight="1">
      <c r="C81" s="19"/>
      <c r="D81" s="20">
        <f>SUM(D76:D80)</f>
        <v>1000.5</v>
      </c>
      <c r="E81" s="21"/>
      <c r="F81" s="22">
        <f t="shared" ref="F81:I81" si="6">SUM(F76:F79)</f>
        <v>0</v>
      </c>
      <c r="G81" s="20">
        <f t="shared" si="6"/>
        <v>0</v>
      </c>
      <c r="H81" s="23">
        <f t="shared" si="6"/>
        <v>0</v>
      </c>
      <c r="I81" s="23">
        <f t="shared" si="6"/>
        <v>0</v>
      </c>
      <c r="J81" s="25"/>
    </row>
    <row r="82" ht="14.25" customHeight="1"/>
    <row r="83" ht="14.25" customHeight="1"/>
    <row r="84" ht="14.25" customHeight="1">
      <c r="C84" s="1" t="s">
        <v>287</v>
      </c>
      <c r="D84" s="2"/>
      <c r="E84" s="2"/>
      <c r="F84" s="2"/>
      <c r="G84" s="2"/>
      <c r="H84" s="2"/>
      <c r="I84" s="2"/>
      <c r="J84" s="3"/>
    </row>
    <row r="85" ht="14.25" customHeight="1">
      <c r="B85" s="4">
        <v>7.0</v>
      </c>
      <c r="C85" s="5" t="s">
        <v>4</v>
      </c>
      <c r="D85" s="6" t="s">
        <v>6</v>
      </c>
      <c r="E85" s="6" t="s">
        <v>7</v>
      </c>
      <c r="F85" s="6" t="s">
        <v>9</v>
      </c>
      <c r="G85" s="6"/>
      <c r="H85" s="6" t="s">
        <v>13</v>
      </c>
      <c r="I85" s="6" t="s">
        <v>14</v>
      </c>
      <c r="J85" s="7"/>
    </row>
    <row r="86" ht="14.25" customHeight="1">
      <c r="C86" s="8" t="s">
        <v>16</v>
      </c>
      <c r="D86" s="10">
        <v>920.0</v>
      </c>
      <c r="E86" s="10"/>
      <c r="F86" s="12">
        <f>(E86/1000)*D86</f>
        <v>0</v>
      </c>
      <c r="G86" s="9"/>
      <c r="H86" s="9"/>
      <c r="I86" s="9"/>
      <c r="J86" s="11" t="s">
        <v>19</v>
      </c>
    </row>
    <row r="87" ht="14.25" customHeight="1">
      <c r="C87" s="8" t="s">
        <v>58</v>
      </c>
      <c r="D87" s="10">
        <v>40.0</v>
      </c>
      <c r="E87" s="10"/>
      <c r="F87" s="12"/>
      <c r="G87" s="9"/>
      <c r="H87" s="9"/>
      <c r="I87" s="9"/>
      <c r="J87" s="11"/>
    </row>
    <row r="88" ht="14.25" customHeight="1">
      <c r="C88" s="8" t="s">
        <v>67</v>
      </c>
      <c r="D88" s="10">
        <v>10.0</v>
      </c>
      <c r="E88" s="10"/>
      <c r="F88" s="12"/>
      <c r="G88" s="9"/>
      <c r="H88" s="9"/>
      <c r="I88" s="9"/>
      <c r="J88" s="11"/>
    </row>
    <row r="89" ht="14.25" customHeight="1">
      <c r="C89" s="8" t="s">
        <v>29</v>
      </c>
      <c r="D89" s="10">
        <v>25.0</v>
      </c>
      <c r="E89" s="10"/>
      <c r="F89" s="12"/>
      <c r="G89" s="9"/>
      <c r="H89" s="9"/>
      <c r="I89" s="9"/>
      <c r="J89" s="11"/>
    </row>
    <row r="90" ht="14.25" customHeight="1">
      <c r="C90" s="8" t="s">
        <v>198</v>
      </c>
      <c r="D90" s="10">
        <v>5.0</v>
      </c>
      <c r="E90" s="10"/>
      <c r="F90" s="12"/>
      <c r="G90" s="9"/>
      <c r="H90" s="9"/>
      <c r="I90" s="9"/>
      <c r="J90" s="11"/>
    </row>
    <row r="91" ht="14.25" customHeight="1">
      <c r="C91" s="8" t="s">
        <v>173</v>
      </c>
      <c r="D91" s="10">
        <v>15.0</v>
      </c>
      <c r="E91" s="10"/>
      <c r="F91" s="12"/>
      <c r="G91" s="9"/>
      <c r="H91" s="9"/>
      <c r="I91" s="9"/>
      <c r="J91" s="11"/>
    </row>
    <row r="92" ht="14.25" customHeight="1">
      <c r="C92" s="13" t="s">
        <v>185</v>
      </c>
      <c r="D92" s="10">
        <v>5.0</v>
      </c>
      <c r="E92" s="10"/>
      <c r="F92" s="12"/>
      <c r="G92" s="9"/>
      <c r="H92" s="9"/>
      <c r="I92" s="9"/>
      <c r="J92" s="11"/>
    </row>
    <row r="93" ht="14.25" customHeight="1">
      <c r="C93" s="13" t="s">
        <v>111</v>
      </c>
      <c r="D93" s="10">
        <v>3.0</v>
      </c>
      <c r="E93" s="10"/>
      <c r="F93" s="12"/>
      <c r="G93" s="9"/>
      <c r="H93" s="9"/>
      <c r="I93" s="9"/>
      <c r="J93" s="11"/>
    </row>
    <row r="94" ht="14.25" customHeight="1">
      <c r="C94" s="8" t="s">
        <v>70</v>
      </c>
      <c r="D94" s="9">
        <v>2.0</v>
      </c>
      <c r="E94" s="10"/>
      <c r="F94" s="12"/>
      <c r="G94" s="9"/>
      <c r="H94" s="9"/>
      <c r="I94" s="9"/>
      <c r="J94" s="11"/>
    </row>
    <row r="95" ht="14.25" customHeight="1">
      <c r="C95" s="8" t="s">
        <v>22</v>
      </c>
      <c r="D95" s="9">
        <v>2.0</v>
      </c>
      <c r="E95" s="10"/>
      <c r="F95" s="12"/>
      <c r="G95" s="9"/>
      <c r="H95" s="9"/>
      <c r="I95" s="9"/>
      <c r="J95" s="11"/>
    </row>
    <row r="96" ht="14.25" customHeight="1">
      <c r="C96" s="14" t="s">
        <v>231</v>
      </c>
      <c r="D96" s="15">
        <v>1.0</v>
      </c>
      <c r="E96" s="10"/>
      <c r="F96" s="12"/>
      <c r="G96" s="9"/>
      <c r="H96" s="9"/>
      <c r="I96" s="9"/>
      <c r="J96" s="11"/>
    </row>
    <row r="97" ht="14.25" customHeight="1">
      <c r="C97" s="14" t="s">
        <v>39</v>
      </c>
      <c r="D97" s="15">
        <v>2.0</v>
      </c>
      <c r="E97" s="10"/>
      <c r="F97" s="12"/>
      <c r="G97" s="9"/>
      <c r="H97" s="9"/>
      <c r="I97" s="9"/>
      <c r="J97" s="11"/>
    </row>
    <row r="98" ht="14.25" customHeight="1">
      <c r="C98" s="14" t="s">
        <v>295</v>
      </c>
      <c r="D98" s="15">
        <v>0.05</v>
      </c>
      <c r="E98" s="16"/>
      <c r="F98" s="17"/>
      <c r="G98" s="15"/>
      <c r="H98" s="15"/>
      <c r="I98" s="15"/>
      <c r="J98" s="18"/>
    </row>
    <row r="99" ht="14.25" customHeight="1">
      <c r="C99" s="19"/>
      <c r="D99" s="20">
        <f>SUM(D86:D97)</f>
        <v>1030</v>
      </c>
      <c r="E99" s="21"/>
      <c r="F99" s="22">
        <f t="shared" ref="F99:I99" si="7">SUM(F86:F97)</f>
        <v>0</v>
      </c>
      <c r="G99" s="20">
        <f t="shared" si="7"/>
        <v>0</v>
      </c>
      <c r="H99" s="23">
        <f t="shared" si="7"/>
        <v>0</v>
      </c>
      <c r="I99" s="23">
        <f t="shared" si="7"/>
        <v>0</v>
      </c>
      <c r="J99" s="25"/>
    </row>
    <row r="100" ht="14.25" customHeight="1"/>
    <row r="101" ht="14.25" customHeight="1"/>
    <row r="102" ht="14.25" customHeight="1">
      <c r="C102" s="1" t="s">
        <v>299</v>
      </c>
      <c r="D102" s="2"/>
      <c r="E102" s="2"/>
      <c r="F102" s="2"/>
      <c r="G102" s="2"/>
      <c r="H102" s="2"/>
      <c r="I102" s="2"/>
      <c r="J102" s="3"/>
    </row>
    <row r="103" ht="14.25" customHeight="1">
      <c r="B103" s="4">
        <v>8.0</v>
      </c>
      <c r="C103" s="5" t="s">
        <v>4</v>
      </c>
      <c r="D103" s="6" t="s">
        <v>6</v>
      </c>
      <c r="E103" s="6" t="s">
        <v>7</v>
      </c>
      <c r="F103" s="6" t="s">
        <v>9</v>
      </c>
      <c r="G103" s="6"/>
      <c r="H103" s="6" t="s">
        <v>13</v>
      </c>
      <c r="I103" s="6" t="s">
        <v>14</v>
      </c>
      <c r="J103" s="7"/>
    </row>
    <row r="104" ht="14.25" customHeight="1">
      <c r="C104" s="8" t="s">
        <v>303</v>
      </c>
      <c r="D104" s="9">
        <v>20.0</v>
      </c>
      <c r="E104" s="10"/>
      <c r="F104" s="12">
        <f>(E104/1000)*D104</f>
        <v>0</v>
      </c>
      <c r="G104" s="9"/>
      <c r="H104" s="9"/>
      <c r="I104" s="9"/>
      <c r="J104" s="11" t="s">
        <v>19</v>
      </c>
    </row>
    <row r="105" ht="14.25" customHeight="1">
      <c r="C105" s="8" t="s">
        <v>305</v>
      </c>
      <c r="D105" s="9">
        <v>15.0</v>
      </c>
      <c r="E105" s="10"/>
      <c r="F105" s="12"/>
      <c r="G105" s="9"/>
      <c r="H105" s="9"/>
      <c r="I105" s="9"/>
      <c r="J105" s="11"/>
    </row>
    <row r="106" ht="14.25" customHeight="1">
      <c r="C106" s="8" t="s">
        <v>308</v>
      </c>
      <c r="D106" s="9">
        <v>10.0</v>
      </c>
      <c r="E106" s="10"/>
      <c r="F106" s="12"/>
      <c r="G106" s="9"/>
      <c r="H106" s="9"/>
      <c r="I106" s="9"/>
      <c r="J106" s="11"/>
    </row>
    <row r="107" ht="14.25" customHeight="1">
      <c r="C107" s="8" t="s">
        <v>310</v>
      </c>
      <c r="D107" s="9">
        <v>10.0</v>
      </c>
      <c r="E107" s="10"/>
      <c r="F107" s="12"/>
      <c r="G107" s="9"/>
      <c r="H107" s="9"/>
      <c r="I107" s="9"/>
      <c r="J107" s="11"/>
    </row>
    <row r="108" ht="14.25" customHeight="1">
      <c r="C108" s="8" t="s">
        <v>313</v>
      </c>
      <c r="D108" s="9">
        <v>1.0</v>
      </c>
      <c r="E108" s="10"/>
      <c r="F108" s="12"/>
      <c r="G108" s="9"/>
      <c r="H108" s="9"/>
      <c r="I108" s="9"/>
      <c r="J108" s="11"/>
    </row>
    <row r="109" ht="14.25" customHeight="1">
      <c r="C109" s="8" t="s">
        <v>85</v>
      </c>
      <c r="D109" s="10">
        <v>1.5</v>
      </c>
      <c r="E109" s="10"/>
      <c r="F109" s="12"/>
      <c r="G109" s="9"/>
      <c r="H109" s="9"/>
      <c r="I109" s="9"/>
      <c r="J109" s="11"/>
    </row>
    <row r="110" ht="14.25" customHeight="1">
      <c r="C110" s="8" t="s">
        <v>316</v>
      </c>
      <c r="D110" s="27">
        <v>0.02</v>
      </c>
      <c r="E110" s="10"/>
      <c r="F110" s="12"/>
      <c r="G110" s="9"/>
      <c r="H110" s="9"/>
      <c r="I110" s="9"/>
      <c r="J110" s="11"/>
    </row>
    <row r="111" ht="14.25" customHeight="1">
      <c r="C111" s="8" t="s">
        <v>104</v>
      </c>
      <c r="D111" s="9">
        <v>942.0</v>
      </c>
      <c r="E111" s="10"/>
      <c r="F111" s="12"/>
      <c r="G111" s="9"/>
      <c r="H111" s="9"/>
      <c r="I111" s="9"/>
      <c r="J111" s="11"/>
    </row>
    <row r="112" ht="14.25" customHeight="1">
      <c r="C112" s="19"/>
      <c r="D112" s="20">
        <f>SUM(D104:D111)</f>
        <v>999.52</v>
      </c>
      <c r="E112" s="21"/>
      <c r="F112" s="22">
        <f t="shared" ref="F112:I112" si="8">SUM(F104:F111)</f>
        <v>0</v>
      </c>
      <c r="G112" s="20">
        <f t="shared" si="8"/>
        <v>0</v>
      </c>
      <c r="H112" s="23">
        <f t="shared" si="8"/>
        <v>0</v>
      </c>
      <c r="I112" s="23">
        <f t="shared" si="8"/>
        <v>0</v>
      </c>
      <c r="J112" s="25"/>
    </row>
    <row r="113" ht="14.25" customHeight="1"/>
    <row r="114" ht="14.25" customHeight="1"/>
    <row r="115" ht="14.25" customHeight="1">
      <c r="C115" s="1" t="s">
        <v>320</v>
      </c>
      <c r="D115" s="2"/>
      <c r="E115" s="2"/>
      <c r="F115" s="2"/>
      <c r="G115" s="2"/>
      <c r="H115" s="2"/>
      <c r="I115" s="2"/>
      <c r="J115" s="3"/>
    </row>
    <row r="116" ht="14.25" customHeight="1">
      <c r="B116" s="4">
        <v>9.0</v>
      </c>
      <c r="C116" s="5" t="s">
        <v>4</v>
      </c>
      <c r="D116" s="6" t="s">
        <v>6</v>
      </c>
      <c r="E116" s="6" t="s">
        <v>7</v>
      </c>
      <c r="F116" s="6" t="s">
        <v>9</v>
      </c>
      <c r="G116" s="6"/>
      <c r="H116" s="6" t="s">
        <v>13</v>
      </c>
      <c r="I116" s="6" t="s">
        <v>14</v>
      </c>
      <c r="J116" s="7"/>
    </row>
    <row r="117" ht="14.25" customHeight="1">
      <c r="C117" s="8" t="s">
        <v>321</v>
      </c>
      <c r="D117" s="9">
        <v>80.0</v>
      </c>
      <c r="E117" s="10"/>
      <c r="F117" s="12">
        <f>(E117/1000)*D117</f>
        <v>0</v>
      </c>
      <c r="G117" s="9"/>
      <c r="H117" s="9"/>
      <c r="I117" s="9"/>
      <c r="J117" s="11" t="s">
        <v>19</v>
      </c>
    </row>
    <row r="118" ht="14.25" customHeight="1">
      <c r="C118" s="8" t="s">
        <v>123</v>
      </c>
      <c r="D118" s="9">
        <v>700.0</v>
      </c>
      <c r="E118" s="10"/>
      <c r="F118" s="12"/>
      <c r="G118" s="9"/>
      <c r="H118" s="9"/>
      <c r="I118" s="9"/>
      <c r="J118" s="11"/>
    </row>
    <row r="119" ht="14.25" customHeight="1">
      <c r="C119" s="8" t="s">
        <v>136</v>
      </c>
      <c r="D119" s="9">
        <v>200.0</v>
      </c>
      <c r="E119" s="10"/>
      <c r="F119" s="12"/>
      <c r="G119" s="9"/>
      <c r="H119" s="9"/>
      <c r="I119" s="9"/>
      <c r="J119" s="11"/>
    </row>
    <row r="120" ht="14.25" customHeight="1">
      <c r="C120" s="8" t="s">
        <v>104</v>
      </c>
      <c r="D120" s="9">
        <v>15.0</v>
      </c>
      <c r="E120" s="10"/>
      <c r="F120" s="12"/>
      <c r="G120" s="9"/>
      <c r="H120" s="9"/>
      <c r="I120" s="9"/>
      <c r="J120" s="11"/>
    </row>
    <row r="121" ht="14.25" customHeight="1">
      <c r="C121" s="8" t="s">
        <v>65</v>
      </c>
      <c r="D121" s="9">
        <v>5.0</v>
      </c>
      <c r="E121" s="10"/>
      <c r="F121" s="12"/>
      <c r="G121" s="9"/>
      <c r="H121" s="9"/>
      <c r="I121" s="9"/>
      <c r="J121" s="11"/>
    </row>
    <row r="122" ht="14.25" customHeight="1">
      <c r="C122" s="19"/>
      <c r="D122" s="20">
        <f>SUM(D117:D121)</f>
        <v>1000</v>
      </c>
      <c r="E122" s="21"/>
      <c r="F122" s="22">
        <f t="shared" ref="F122:I122" si="9">SUM(F117:F121)</f>
        <v>0</v>
      </c>
      <c r="G122" s="20">
        <f t="shared" si="9"/>
        <v>0</v>
      </c>
      <c r="H122" s="23">
        <f t="shared" si="9"/>
        <v>0</v>
      </c>
      <c r="I122" s="23">
        <f t="shared" si="9"/>
        <v>0</v>
      </c>
      <c r="J122" s="25"/>
    </row>
    <row r="123" ht="14.25" customHeight="1"/>
    <row r="124" ht="14.25" customHeight="1"/>
    <row r="125" ht="14.25" customHeight="1">
      <c r="C125" s="1" t="s">
        <v>324</v>
      </c>
      <c r="D125" s="2"/>
      <c r="E125" s="2"/>
      <c r="F125" s="2"/>
      <c r="G125" s="2"/>
      <c r="H125" s="2"/>
      <c r="I125" s="2"/>
      <c r="J125" s="3"/>
    </row>
    <row r="126" ht="14.25" customHeight="1">
      <c r="B126" s="4">
        <v>10.0</v>
      </c>
      <c r="C126" s="5" t="s">
        <v>4</v>
      </c>
      <c r="D126" s="6" t="s">
        <v>6</v>
      </c>
      <c r="E126" s="6" t="s">
        <v>7</v>
      </c>
      <c r="F126" s="6" t="s">
        <v>9</v>
      </c>
      <c r="G126" s="6"/>
      <c r="H126" s="6" t="s">
        <v>13</v>
      </c>
      <c r="I126" s="6" t="s">
        <v>14</v>
      </c>
      <c r="J126" s="7"/>
    </row>
    <row r="127" ht="14.25" customHeight="1">
      <c r="C127" s="8" t="s">
        <v>156</v>
      </c>
      <c r="D127" s="9">
        <v>955.0</v>
      </c>
      <c r="E127" s="10"/>
      <c r="F127" s="12">
        <f>(E127/1000)*D127</f>
        <v>0</v>
      </c>
      <c r="G127" s="9"/>
      <c r="H127" s="9"/>
      <c r="I127" s="9"/>
      <c r="J127" s="11" t="s">
        <v>19</v>
      </c>
    </row>
    <row r="128" ht="14.25" customHeight="1">
      <c r="C128" s="8" t="s">
        <v>88</v>
      </c>
      <c r="D128" s="9">
        <v>10.0</v>
      </c>
      <c r="E128" s="10"/>
      <c r="F128" s="12"/>
      <c r="G128" s="9"/>
      <c r="H128" s="9"/>
      <c r="I128" s="9"/>
      <c r="J128" s="11"/>
    </row>
    <row r="129" ht="14.25" customHeight="1">
      <c r="C129" s="8" t="s">
        <v>201</v>
      </c>
      <c r="D129" s="9">
        <v>20.0</v>
      </c>
      <c r="E129" s="10"/>
      <c r="F129" s="12"/>
      <c r="G129" s="9"/>
      <c r="H129" s="9"/>
      <c r="I129" s="9"/>
      <c r="J129" s="11"/>
    </row>
    <row r="130" ht="14.25" customHeight="1">
      <c r="C130" s="13" t="s">
        <v>109</v>
      </c>
      <c r="D130" s="9">
        <v>5.0</v>
      </c>
      <c r="E130" s="10"/>
      <c r="F130" s="12"/>
      <c r="G130" s="9"/>
      <c r="H130" s="9"/>
      <c r="I130" s="9"/>
      <c r="J130" s="11"/>
    </row>
    <row r="131" ht="14.25" customHeight="1">
      <c r="C131" s="8" t="s">
        <v>327</v>
      </c>
      <c r="D131" s="9">
        <v>5.0</v>
      </c>
      <c r="E131" s="10"/>
      <c r="F131" s="12"/>
      <c r="G131" s="9"/>
      <c r="H131" s="9"/>
      <c r="I131" s="9"/>
      <c r="J131" s="11"/>
    </row>
    <row r="132" ht="14.25" customHeight="1">
      <c r="C132" s="8" t="s">
        <v>84</v>
      </c>
      <c r="D132" s="9">
        <v>2.0</v>
      </c>
      <c r="E132" s="10"/>
      <c r="F132" s="12"/>
      <c r="G132" s="9"/>
      <c r="H132" s="9"/>
      <c r="I132" s="9"/>
      <c r="J132" s="11"/>
    </row>
    <row r="133" ht="14.25" customHeight="1">
      <c r="C133" s="8" t="s">
        <v>275</v>
      </c>
      <c r="D133" s="9">
        <v>1.0</v>
      </c>
      <c r="E133" s="10"/>
      <c r="F133" s="12"/>
      <c r="G133" s="9"/>
      <c r="H133" s="9"/>
      <c r="I133" s="9"/>
      <c r="J133" s="11"/>
    </row>
    <row r="134" ht="14.25" customHeight="1">
      <c r="C134" s="8" t="s">
        <v>328</v>
      </c>
      <c r="D134" s="10">
        <v>0.5</v>
      </c>
      <c r="E134" s="10"/>
      <c r="F134" s="12"/>
      <c r="G134" s="9"/>
      <c r="H134" s="9"/>
      <c r="I134" s="9"/>
      <c r="J134" s="11"/>
    </row>
    <row r="135" ht="14.25" customHeight="1">
      <c r="C135" s="8" t="s">
        <v>39</v>
      </c>
      <c r="D135" s="9">
        <v>1.0</v>
      </c>
      <c r="E135" s="10"/>
      <c r="F135" s="12"/>
      <c r="G135" s="9"/>
      <c r="H135" s="9"/>
      <c r="I135" s="9"/>
      <c r="J135" s="11"/>
    </row>
    <row r="136" ht="14.25" customHeight="1">
      <c r="C136" s="8" t="s">
        <v>69</v>
      </c>
      <c r="D136" s="9">
        <v>1.0</v>
      </c>
      <c r="E136" s="10"/>
      <c r="F136" s="12"/>
      <c r="G136" s="9"/>
      <c r="H136" s="9"/>
      <c r="I136" s="9"/>
      <c r="J136" s="11"/>
    </row>
    <row r="137" ht="14.25" customHeight="1">
      <c r="C137" s="8" t="s">
        <v>331</v>
      </c>
      <c r="D137" s="9">
        <v>1.0</v>
      </c>
      <c r="E137" s="10"/>
      <c r="F137" s="12"/>
      <c r="G137" s="9"/>
      <c r="H137" s="9"/>
      <c r="I137" s="9"/>
      <c r="J137" s="11"/>
    </row>
    <row r="138" ht="14.25" customHeight="1">
      <c r="C138" s="19"/>
      <c r="D138" s="20">
        <f>SUM(D127:D137)</f>
        <v>1001.5</v>
      </c>
      <c r="E138" s="21"/>
      <c r="F138" s="22">
        <f t="shared" ref="F138:I138" si="10">SUM(F127:F137)</f>
        <v>0</v>
      </c>
      <c r="G138" s="20">
        <f t="shared" si="10"/>
        <v>0</v>
      </c>
      <c r="H138" s="23">
        <f t="shared" si="10"/>
        <v>0</v>
      </c>
      <c r="I138" s="23">
        <f t="shared" si="10"/>
        <v>0</v>
      </c>
      <c r="J138" s="25"/>
    </row>
    <row r="139" ht="14.25" customHeight="1"/>
    <row r="140" ht="14.25" customHeight="1"/>
    <row r="141" ht="14.25" customHeight="1">
      <c r="C141" s="1" t="s">
        <v>334</v>
      </c>
      <c r="D141" s="2"/>
      <c r="E141" s="2"/>
      <c r="F141" s="2"/>
      <c r="G141" s="2"/>
      <c r="H141" s="2"/>
      <c r="I141" s="2"/>
      <c r="J141" s="3"/>
    </row>
    <row r="142" ht="14.25" customHeight="1">
      <c r="B142" s="4">
        <v>11.0</v>
      </c>
      <c r="C142" s="5" t="s">
        <v>4</v>
      </c>
      <c r="D142" s="6" t="s">
        <v>6</v>
      </c>
      <c r="E142" s="6" t="s">
        <v>7</v>
      </c>
      <c r="F142" s="6" t="s">
        <v>9</v>
      </c>
      <c r="G142" s="6"/>
      <c r="H142" s="6" t="s">
        <v>13</v>
      </c>
      <c r="I142" s="6" t="s">
        <v>14</v>
      </c>
      <c r="J142" s="7"/>
    </row>
    <row r="143" ht="14.25" customHeight="1">
      <c r="C143" s="8" t="s">
        <v>156</v>
      </c>
      <c r="D143" s="9">
        <v>835.0</v>
      </c>
      <c r="E143" s="10"/>
      <c r="F143" s="12">
        <f>(E143/1000)*D143</f>
        <v>0</v>
      </c>
      <c r="G143" s="9">
        <f t="shared" ref="G143:G154" si="11">+D143*80</f>
        <v>66800</v>
      </c>
      <c r="H143" s="9"/>
      <c r="I143" s="9"/>
      <c r="J143" s="11" t="s">
        <v>19</v>
      </c>
    </row>
    <row r="144" ht="14.25" customHeight="1">
      <c r="C144" s="8" t="s">
        <v>336</v>
      </c>
      <c r="D144" s="9">
        <v>25.0</v>
      </c>
      <c r="E144" s="10"/>
      <c r="F144" s="12"/>
      <c r="G144" s="9">
        <f t="shared" si="11"/>
        <v>2000</v>
      </c>
      <c r="H144" s="9"/>
      <c r="I144" s="9"/>
      <c r="J144" s="11"/>
    </row>
    <row r="145" ht="14.25" customHeight="1">
      <c r="C145" s="8" t="s">
        <v>136</v>
      </c>
      <c r="D145" s="9">
        <v>35.0</v>
      </c>
      <c r="E145" s="10"/>
      <c r="F145" s="12"/>
      <c r="G145" s="9">
        <f t="shared" si="11"/>
        <v>2800</v>
      </c>
      <c r="H145" s="9"/>
      <c r="I145" s="9"/>
      <c r="J145" s="11"/>
    </row>
    <row r="146" ht="14.25" customHeight="1">
      <c r="C146" s="13" t="s">
        <v>32</v>
      </c>
      <c r="D146" s="9">
        <v>20.0</v>
      </c>
      <c r="E146" s="10"/>
      <c r="F146" s="12"/>
      <c r="G146" s="9">
        <f t="shared" si="11"/>
        <v>1600</v>
      </c>
      <c r="H146" s="9"/>
      <c r="I146" s="9"/>
      <c r="J146" s="11"/>
    </row>
    <row r="147" ht="14.25" customHeight="1">
      <c r="C147" s="8" t="s">
        <v>65</v>
      </c>
      <c r="D147" s="9">
        <v>25.0</v>
      </c>
      <c r="E147" s="10"/>
      <c r="F147" s="12"/>
      <c r="G147" s="9">
        <f t="shared" si="11"/>
        <v>2000</v>
      </c>
      <c r="H147" s="9"/>
      <c r="I147" s="9"/>
      <c r="J147" s="11"/>
    </row>
    <row r="148" ht="14.25" customHeight="1">
      <c r="C148" s="8" t="s">
        <v>337</v>
      </c>
      <c r="D148" s="9">
        <v>10.0</v>
      </c>
      <c r="E148" s="10"/>
      <c r="F148" s="12"/>
      <c r="G148" s="9">
        <f t="shared" si="11"/>
        <v>800</v>
      </c>
      <c r="H148" s="9"/>
      <c r="I148" s="9"/>
      <c r="J148" s="11"/>
    </row>
    <row r="149" ht="14.25" customHeight="1">
      <c r="C149" s="8" t="s">
        <v>338</v>
      </c>
      <c r="D149" s="9">
        <v>5.0</v>
      </c>
      <c r="E149" s="10"/>
      <c r="F149" s="12"/>
      <c r="G149" s="9">
        <f t="shared" si="11"/>
        <v>400</v>
      </c>
      <c r="H149" s="9"/>
      <c r="I149" s="9"/>
      <c r="J149" s="11"/>
    </row>
    <row r="150" ht="14.25" customHeight="1">
      <c r="C150" s="8" t="s">
        <v>339</v>
      </c>
      <c r="D150" s="10">
        <v>25.0</v>
      </c>
      <c r="E150" s="10"/>
      <c r="F150" s="12"/>
      <c r="G150" s="9">
        <f t="shared" si="11"/>
        <v>2000</v>
      </c>
      <c r="H150" s="9"/>
      <c r="I150" s="9"/>
      <c r="J150" s="11"/>
    </row>
    <row r="151" ht="14.25" customHeight="1">
      <c r="C151" s="8" t="s">
        <v>205</v>
      </c>
      <c r="D151" s="9">
        <v>10.0</v>
      </c>
      <c r="E151" s="10"/>
      <c r="F151" s="12"/>
      <c r="G151" s="9">
        <f t="shared" si="11"/>
        <v>800</v>
      </c>
      <c r="H151" s="9"/>
      <c r="I151" s="9"/>
      <c r="J151" s="11"/>
    </row>
    <row r="152" ht="14.25" customHeight="1">
      <c r="C152" s="8" t="s">
        <v>84</v>
      </c>
      <c r="D152" s="9">
        <v>2.0</v>
      </c>
      <c r="E152" s="10"/>
      <c r="F152" s="12"/>
      <c r="G152" s="9">
        <f t="shared" si="11"/>
        <v>160</v>
      </c>
      <c r="H152" s="9"/>
      <c r="I152" s="9"/>
      <c r="J152" s="11"/>
    </row>
    <row r="153" ht="14.25" customHeight="1">
      <c r="C153" s="8" t="s">
        <v>39</v>
      </c>
      <c r="D153" s="9">
        <v>1.0</v>
      </c>
      <c r="E153" s="10"/>
      <c r="F153" s="12"/>
      <c r="G153" s="9">
        <f t="shared" si="11"/>
        <v>80</v>
      </c>
      <c r="H153" s="9"/>
      <c r="I153" s="9"/>
      <c r="J153" s="11"/>
    </row>
    <row r="154" ht="14.25" customHeight="1">
      <c r="C154" s="8" t="s">
        <v>341</v>
      </c>
      <c r="D154" s="15">
        <v>7.0</v>
      </c>
      <c r="E154" s="16"/>
      <c r="F154" s="17"/>
      <c r="G154" s="9">
        <f t="shared" si="11"/>
        <v>560</v>
      </c>
      <c r="H154" s="15"/>
      <c r="I154" s="15"/>
      <c r="J154" s="18"/>
    </row>
    <row r="155" ht="14.25" customHeight="1">
      <c r="C155" s="19"/>
      <c r="D155" s="20">
        <f>SUM(D143:D154)</f>
        <v>1000</v>
      </c>
      <c r="E155" s="21"/>
      <c r="F155" s="22">
        <f t="shared" ref="F155:I155" si="12">SUM(F143:F153)</f>
        <v>0</v>
      </c>
      <c r="G155" s="20">
        <f t="shared" si="12"/>
        <v>79440</v>
      </c>
      <c r="H155" s="23">
        <f t="shared" si="12"/>
        <v>0</v>
      </c>
      <c r="I155" s="23">
        <f t="shared" si="12"/>
        <v>0</v>
      </c>
      <c r="J155" s="25"/>
    </row>
    <row r="156" ht="14.25" customHeight="1"/>
    <row r="157" ht="14.25" customHeight="1"/>
    <row r="158" ht="14.25" customHeight="1">
      <c r="C158" s="1" t="s">
        <v>343</v>
      </c>
      <c r="D158" s="2"/>
      <c r="E158" s="2"/>
      <c r="F158" s="2"/>
      <c r="G158" s="2"/>
      <c r="H158" s="2"/>
      <c r="I158" s="2"/>
      <c r="J158" s="3"/>
    </row>
    <row r="159" ht="14.25" customHeight="1">
      <c r="B159" s="4">
        <v>12.0</v>
      </c>
      <c r="C159" s="5" t="s">
        <v>4</v>
      </c>
      <c r="D159" s="6" t="s">
        <v>6</v>
      </c>
      <c r="E159" s="6" t="s">
        <v>7</v>
      </c>
      <c r="F159" s="6" t="s">
        <v>9</v>
      </c>
      <c r="G159" s="6" t="s">
        <v>13</v>
      </c>
      <c r="H159" s="6" t="s">
        <v>13</v>
      </c>
      <c r="I159" s="6" t="s">
        <v>14</v>
      </c>
      <c r="J159" s="7"/>
    </row>
    <row r="160" ht="14.25" customHeight="1">
      <c r="C160" s="8" t="s">
        <v>156</v>
      </c>
      <c r="D160" s="9">
        <v>810.0</v>
      </c>
      <c r="E160" s="10"/>
      <c r="F160" s="12">
        <f>(E160/1000)*D160</f>
        <v>0</v>
      </c>
      <c r="G160" s="9">
        <f t="shared" ref="G160:G171" si="13">+D160*8</f>
        <v>6480</v>
      </c>
      <c r="H160" s="9"/>
      <c r="I160" s="9"/>
      <c r="J160" s="11" t="s">
        <v>19</v>
      </c>
    </row>
    <row r="161" ht="14.25" customHeight="1">
      <c r="C161" s="8" t="s">
        <v>336</v>
      </c>
      <c r="D161" s="9">
        <v>50.0</v>
      </c>
      <c r="E161" s="10"/>
      <c r="F161" s="12"/>
      <c r="G161" s="9">
        <f t="shared" si="13"/>
        <v>400</v>
      </c>
      <c r="H161" s="9"/>
      <c r="I161" s="9"/>
      <c r="J161" s="11"/>
    </row>
    <row r="162" ht="14.25" customHeight="1">
      <c r="C162" s="8" t="s">
        <v>136</v>
      </c>
      <c r="D162" s="9">
        <v>40.0</v>
      </c>
      <c r="E162" s="10"/>
      <c r="F162" s="12"/>
      <c r="G162" s="9">
        <f t="shared" si="13"/>
        <v>320</v>
      </c>
      <c r="H162" s="9"/>
      <c r="I162" s="9"/>
      <c r="J162" s="11"/>
    </row>
    <row r="163" ht="14.25" customHeight="1">
      <c r="C163" s="13" t="s">
        <v>32</v>
      </c>
      <c r="D163" s="9">
        <v>20.0</v>
      </c>
      <c r="E163" s="10"/>
      <c r="F163" s="12"/>
      <c r="G163" s="9">
        <f t="shared" si="13"/>
        <v>160</v>
      </c>
      <c r="H163" s="9"/>
      <c r="I163" s="9"/>
      <c r="J163" s="11"/>
    </row>
    <row r="164" ht="14.25" customHeight="1">
      <c r="C164" s="8" t="s">
        <v>65</v>
      </c>
      <c r="D164" s="9">
        <v>20.0</v>
      </c>
      <c r="E164" s="10"/>
      <c r="F164" s="12"/>
      <c r="G164" s="9">
        <f t="shared" si="13"/>
        <v>160</v>
      </c>
      <c r="H164" s="9"/>
      <c r="I164" s="9"/>
      <c r="J164" s="11"/>
    </row>
    <row r="165" ht="14.25" customHeight="1">
      <c r="C165" s="8" t="s">
        <v>337</v>
      </c>
      <c r="D165" s="9">
        <v>5.0</v>
      </c>
      <c r="E165" s="10"/>
      <c r="F165" s="12"/>
      <c r="G165" s="9">
        <f t="shared" si="13"/>
        <v>40</v>
      </c>
      <c r="H165" s="9"/>
      <c r="I165" s="9"/>
      <c r="J165" s="11"/>
    </row>
    <row r="166" ht="14.25" customHeight="1">
      <c r="C166" s="8" t="s">
        <v>338</v>
      </c>
      <c r="D166" s="9">
        <v>5.0</v>
      </c>
      <c r="E166" s="10"/>
      <c r="F166" s="12"/>
      <c r="G166" s="9">
        <f t="shared" si="13"/>
        <v>40</v>
      </c>
      <c r="H166" s="9"/>
      <c r="I166" s="9"/>
      <c r="J166" s="11"/>
    </row>
    <row r="167" ht="14.25" customHeight="1">
      <c r="C167" s="8" t="s">
        <v>339</v>
      </c>
      <c r="D167" s="9">
        <v>30.0</v>
      </c>
      <c r="E167" s="10"/>
      <c r="F167" s="12"/>
      <c r="G167" s="9">
        <f t="shared" si="13"/>
        <v>240</v>
      </c>
      <c r="H167" s="9"/>
      <c r="I167" s="9"/>
      <c r="J167" s="11"/>
    </row>
    <row r="168" ht="14.25" customHeight="1">
      <c r="C168" s="8" t="s">
        <v>205</v>
      </c>
      <c r="D168" s="9">
        <v>10.0</v>
      </c>
      <c r="E168" s="10"/>
      <c r="F168" s="12"/>
      <c r="G168" s="9">
        <f t="shared" si="13"/>
        <v>80</v>
      </c>
      <c r="H168" s="9"/>
      <c r="I168" s="9"/>
      <c r="J168" s="11"/>
    </row>
    <row r="169" ht="14.25" customHeight="1">
      <c r="C169" s="8" t="s">
        <v>84</v>
      </c>
      <c r="D169" s="9">
        <v>2.0</v>
      </c>
      <c r="E169" s="10"/>
      <c r="F169" s="12"/>
      <c r="G169" s="9">
        <f t="shared" si="13"/>
        <v>16</v>
      </c>
      <c r="H169" s="9"/>
      <c r="I169" s="9"/>
      <c r="J169" s="11"/>
    </row>
    <row r="170" ht="14.25" customHeight="1">
      <c r="C170" s="8" t="s">
        <v>39</v>
      </c>
      <c r="D170" s="9">
        <v>2.0</v>
      </c>
      <c r="E170" s="10"/>
      <c r="F170" s="12"/>
      <c r="G170" s="9">
        <f t="shared" si="13"/>
        <v>16</v>
      </c>
      <c r="H170" s="9"/>
      <c r="I170" s="9"/>
      <c r="J170" s="11"/>
    </row>
    <row r="171" ht="14.25" customHeight="1">
      <c r="C171" s="8" t="s">
        <v>341</v>
      </c>
      <c r="D171" s="15">
        <v>6.0</v>
      </c>
      <c r="E171" s="16"/>
      <c r="F171" s="17"/>
      <c r="G171" s="9">
        <f t="shared" si="13"/>
        <v>48</v>
      </c>
      <c r="H171" s="15"/>
      <c r="I171" s="15"/>
      <c r="J171" s="18"/>
    </row>
    <row r="172" ht="14.25" customHeight="1">
      <c r="C172" s="19"/>
      <c r="D172" s="20">
        <f>SUM(D160:D171)</f>
        <v>1000</v>
      </c>
      <c r="E172" s="21"/>
      <c r="F172" s="22">
        <f>SUM(F160:F170)</f>
        <v>0</v>
      </c>
      <c r="G172" s="20">
        <f>SUM(G160:G171)</f>
        <v>8000</v>
      </c>
      <c r="H172" s="23">
        <f t="shared" ref="H172:I172" si="14">SUM(H160:H170)</f>
        <v>0</v>
      </c>
      <c r="I172" s="23">
        <f t="shared" si="14"/>
        <v>0</v>
      </c>
      <c r="J172" s="25"/>
    </row>
    <row r="173" ht="14.25" customHeight="1"/>
    <row r="174" ht="14.25" customHeight="1"/>
    <row r="175" ht="14.25" customHeight="1">
      <c r="C175" s="1" t="s">
        <v>349</v>
      </c>
      <c r="D175" s="2"/>
      <c r="E175" s="2"/>
      <c r="F175" s="2"/>
      <c r="G175" s="2"/>
      <c r="H175" s="2"/>
      <c r="I175" s="2"/>
      <c r="J175" s="3"/>
    </row>
    <row r="176" ht="14.25" customHeight="1">
      <c r="B176" s="4">
        <v>12.0</v>
      </c>
      <c r="C176" s="5" t="s">
        <v>4</v>
      </c>
      <c r="D176" s="6" t="s">
        <v>6</v>
      </c>
      <c r="E176" s="6" t="s">
        <v>7</v>
      </c>
      <c r="F176" s="6" t="s">
        <v>9</v>
      </c>
      <c r="G176" s="6"/>
      <c r="H176" s="6" t="s">
        <v>13</v>
      </c>
      <c r="I176" s="6" t="s">
        <v>14</v>
      </c>
      <c r="J176" s="7"/>
    </row>
    <row r="177" ht="14.25" customHeight="1">
      <c r="C177" s="8" t="s">
        <v>350</v>
      </c>
      <c r="D177" s="9">
        <v>50.0</v>
      </c>
      <c r="E177" s="10"/>
      <c r="F177" s="12">
        <f>(E177/1000)*D177</f>
        <v>0</v>
      </c>
      <c r="G177" s="9"/>
      <c r="H177" s="9"/>
      <c r="I177" s="9"/>
      <c r="J177" s="11" t="s">
        <v>19</v>
      </c>
    </row>
    <row r="178" ht="14.25" customHeight="1">
      <c r="C178" s="8" t="s">
        <v>104</v>
      </c>
      <c r="D178" s="9">
        <v>205.0</v>
      </c>
      <c r="E178" s="10"/>
      <c r="F178" s="12"/>
      <c r="G178" s="9"/>
      <c r="H178" s="9"/>
      <c r="I178" s="9"/>
      <c r="J178" s="11"/>
    </row>
    <row r="179" ht="14.25" customHeight="1">
      <c r="C179" s="8" t="s">
        <v>352</v>
      </c>
      <c r="D179" s="9">
        <v>5.0</v>
      </c>
      <c r="E179" s="10"/>
      <c r="F179" s="12"/>
      <c r="G179" s="9"/>
      <c r="H179" s="9"/>
      <c r="I179" s="9"/>
      <c r="J179" s="11"/>
    </row>
    <row r="180" ht="14.25" customHeight="1">
      <c r="C180" s="8" t="s">
        <v>32</v>
      </c>
      <c r="D180" s="9">
        <v>34.0</v>
      </c>
      <c r="E180" s="10"/>
      <c r="F180" s="12"/>
      <c r="G180" s="9"/>
      <c r="H180" s="9"/>
      <c r="I180" s="9"/>
      <c r="J180" s="11"/>
    </row>
    <row r="181" ht="14.25" customHeight="1">
      <c r="C181" s="8" t="s">
        <v>353</v>
      </c>
      <c r="D181" s="9">
        <v>706.0</v>
      </c>
      <c r="E181" s="10"/>
      <c r="F181" s="12"/>
      <c r="G181" s="9"/>
      <c r="H181" s="9"/>
      <c r="I181" s="9"/>
      <c r="J181" s="11"/>
    </row>
    <row r="182" ht="14.25" customHeight="1">
      <c r="C182" s="8" t="s">
        <v>354</v>
      </c>
      <c r="D182" s="27">
        <v>0.02</v>
      </c>
      <c r="E182" s="10"/>
      <c r="F182" s="12"/>
      <c r="G182" s="9"/>
      <c r="H182" s="9"/>
      <c r="I182" s="9"/>
      <c r="J182" s="11"/>
    </row>
    <row r="183" ht="14.25" customHeight="1">
      <c r="C183" s="19"/>
      <c r="D183" s="20">
        <f>SUM(D177:D182)</f>
        <v>1000.02</v>
      </c>
      <c r="E183" s="21"/>
      <c r="F183" s="22">
        <f t="shared" ref="F183:I183" si="15">SUM(F177:F182)</f>
        <v>0</v>
      </c>
      <c r="G183" s="20">
        <f t="shared" si="15"/>
        <v>0</v>
      </c>
      <c r="H183" s="23">
        <f t="shared" si="15"/>
        <v>0</v>
      </c>
      <c r="I183" s="23">
        <f t="shared" si="15"/>
        <v>0</v>
      </c>
      <c r="J183" s="25"/>
    </row>
    <row r="184" ht="14.25" customHeight="1"/>
    <row r="185" ht="14.25" customHeight="1"/>
    <row r="186" ht="14.25" customHeight="1">
      <c r="C186" s="1" t="s">
        <v>355</v>
      </c>
      <c r="D186" s="2"/>
      <c r="E186" s="2"/>
      <c r="F186" s="2"/>
      <c r="G186" s="2"/>
      <c r="H186" s="2"/>
      <c r="I186" s="2"/>
      <c r="J186" s="3"/>
    </row>
    <row r="187" ht="14.25" customHeight="1">
      <c r="B187" s="4">
        <v>13.0</v>
      </c>
      <c r="C187" s="5" t="s">
        <v>4</v>
      </c>
      <c r="D187" s="6" t="s">
        <v>6</v>
      </c>
      <c r="E187" s="6" t="s">
        <v>7</v>
      </c>
      <c r="F187" s="6" t="s">
        <v>9</v>
      </c>
      <c r="G187" s="6"/>
      <c r="H187" s="6" t="s">
        <v>13</v>
      </c>
      <c r="I187" s="6" t="s">
        <v>14</v>
      </c>
      <c r="J187" s="7"/>
    </row>
    <row r="188" ht="14.25" customHeight="1">
      <c r="C188" s="8" t="s">
        <v>104</v>
      </c>
      <c r="D188" s="9">
        <v>901.0</v>
      </c>
      <c r="E188" s="10"/>
      <c r="F188" s="12">
        <f>(E188/1000)*D188</f>
        <v>0</v>
      </c>
      <c r="G188" s="9"/>
      <c r="H188" s="9"/>
      <c r="I188" s="9"/>
      <c r="J188" s="11" t="s">
        <v>19</v>
      </c>
    </row>
    <row r="189" ht="14.25" customHeight="1">
      <c r="C189" s="8" t="s">
        <v>32</v>
      </c>
      <c r="D189" s="9">
        <v>20.0</v>
      </c>
      <c r="E189" s="10"/>
      <c r="F189" s="12"/>
      <c r="G189" s="9"/>
      <c r="H189" s="9"/>
      <c r="I189" s="9"/>
      <c r="J189" s="11"/>
    </row>
    <row r="190" ht="14.25" customHeight="1">
      <c r="C190" s="8" t="s">
        <v>188</v>
      </c>
      <c r="D190" s="9">
        <v>20.0</v>
      </c>
      <c r="E190" s="10"/>
      <c r="F190" s="12"/>
      <c r="G190" s="9"/>
      <c r="H190" s="9"/>
      <c r="I190" s="9"/>
      <c r="J190" s="11"/>
    </row>
    <row r="191" ht="14.25" customHeight="1">
      <c r="C191" s="8" t="s">
        <v>163</v>
      </c>
      <c r="D191" s="9">
        <v>10.0</v>
      </c>
      <c r="E191" s="10"/>
      <c r="F191" s="12"/>
      <c r="G191" s="9"/>
      <c r="H191" s="9"/>
      <c r="I191" s="9"/>
      <c r="J191" s="11"/>
    </row>
    <row r="192" ht="14.25" customHeight="1">
      <c r="C192" s="8" t="s">
        <v>357</v>
      </c>
      <c r="D192" s="9">
        <v>10.0</v>
      </c>
      <c r="E192" s="10"/>
      <c r="F192" s="12"/>
      <c r="G192" s="9"/>
      <c r="H192" s="9"/>
      <c r="I192" s="9"/>
      <c r="J192" s="11"/>
    </row>
    <row r="193" ht="14.25" customHeight="1">
      <c r="C193" s="8" t="s">
        <v>337</v>
      </c>
      <c r="D193" s="9">
        <v>10.0</v>
      </c>
      <c r="E193" s="10"/>
      <c r="F193" s="12"/>
      <c r="G193" s="9"/>
      <c r="H193" s="9"/>
      <c r="I193" s="9"/>
      <c r="J193" s="11"/>
    </row>
    <row r="194" ht="14.25" customHeight="1">
      <c r="C194" s="8" t="s">
        <v>182</v>
      </c>
      <c r="D194" s="9">
        <v>15.0</v>
      </c>
      <c r="E194" s="10"/>
      <c r="F194" s="12"/>
      <c r="G194" s="9"/>
      <c r="H194" s="9"/>
      <c r="I194" s="9"/>
      <c r="J194" s="11"/>
    </row>
    <row r="195" ht="14.25" customHeight="1">
      <c r="C195" s="8" t="s">
        <v>111</v>
      </c>
      <c r="D195" s="9">
        <v>3.0</v>
      </c>
      <c r="E195" s="10"/>
      <c r="F195" s="12"/>
      <c r="G195" s="9"/>
      <c r="H195" s="9"/>
      <c r="I195" s="9"/>
      <c r="J195" s="11"/>
    </row>
    <row r="196" ht="14.25" customHeight="1">
      <c r="C196" s="8" t="s">
        <v>79</v>
      </c>
      <c r="D196" s="9">
        <v>3.0</v>
      </c>
      <c r="E196" s="10"/>
      <c r="F196" s="12"/>
      <c r="G196" s="9"/>
      <c r="H196" s="9"/>
      <c r="I196" s="9"/>
      <c r="J196" s="11"/>
    </row>
    <row r="197" ht="14.25" customHeight="1">
      <c r="C197" s="8" t="s">
        <v>22</v>
      </c>
      <c r="D197" s="9">
        <v>3.0</v>
      </c>
      <c r="E197" s="10"/>
      <c r="F197" s="12"/>
      <c r="G197" s="9"/>
      <c r="H197" s="9"/>
      <c r="I197" s="9"/>
      <c r="J197" s="11"/>
    </row>
    <row r="198" ht="14.25" customHeight="1">
      <c r="C198" s="8" t="s">
        <v>359</v>
      </c>
      <c r="D198" s="9">
        <v>2.0</v>
      </c>
      <c r="E198" s="10"/>
      <c r="F198" s="12"/>
      <c r="G198" s="9"/>
      <c r="H198" s="9"/>
      <c r="I198" s="9"/>
      <c r="J198" s="11"/>
    </row>
    <row r="199" ht="14.25" customHeight="1">
      <c r="C199" s="8" t="s">
        <v>39</v>
      </c>
      <c r="D199" s="9">
        <v>2.0</v>
      </c>
      <c r="E199" s="10"/>
      <c r="F199" s="12"/>
      <c r="G199" s="9"/>
      <c r="H199" s="9"/>
      <c r="I199" s="9"/>
      <c r="J199" s="11"/>
    </row>
    <row r="200" ht="14.25" customHeight="1">
      <c r="C200" s="8" t="s">
        <v>84</v>
      </c>
      <c r="D200" s="9">
        <v>2.0</v>
      </c>
      <c r="E200" s="10"/>
      <c r="F200" s="12"/>
      <c r="G200" s="9"/>
      <c r="H200" s="9"/>
      <c r="I200" s="9"/>
      <c r="J200" s="11"/>
    </row>
    <row r="201" ht="14.25" customHeight="1">
      <c r="C201" s="19"/>
      <c r="D201" s="20">
        <f>SUM(D188:D200)</f>
        <v>1001</v>
      </c>
      <c r="E201" s="21"/>
      <c r="F201" s="22">
        <f t="shared" ref="F201:I201" si="16">SUM(F188:F200)</f>
        <v>0</v>
      </c>
      <c r="G201" s="20">
        <f t="shared" si="16"/>
        <v>0</v>
      </c>
      <c r="H201" s="23">
        <f t="shared" si="16"/>
        <v>0</v>
      </c>
      <c r="I201" s="23">
        <f t="shared" si="16"/>
        <v>0</v>
      </c>
      <c r="J201" s="25"/>
    </row>
    <row r="202" ht="14.25" customHeight="1"/>
    <row r="203" ht="14.25" customHeight="1"/>
    <row r="204" ht="14.25" customHeight="1">
      <c r="C204" s="1" t="s">
        <v>363</v>
      </c>
      <c r="D204" s="2"/>
      <c r="E204" s="2"/>
      <c r="F204" s="2"/>
      <c r="G204" s="2"/>
      <c r="H204" s="2"/>
      <c r="I204" s="2"/>
      <c r="J204" s="3"/>
    </row>
    <row r="205" ht="14.25" customHeight="1">
      <c r="B205" s="4">
        <v>14.0</v>
      </c>
      <c r="C205" s="5" t="s">
        <v>4</v>
      </c>
      <c r="D205" s="6" t="s">
        <v>6</v>
      </c>
      <c r="E205" s="6" t="s">
        <v>7</v>
      </c>
      <c r="F205" s="6" t="s">
        <v>9</v>
      </c>
      <c r="G205" s="6"/>
      <c r="H205" s="6" t="s">
        <v>13</v>
      </c>
      <c r="I205" s="6" t="s">
        <v>14</v>
      </c>
      <c r="J205" s="7"/>
    </row>
    <row r="206" ht="14.25" customHeight="1">
      <c r="C206" s="8" t="s">
        <v>366</v>
      </c>
      <c r="D206" s="9">
        <v>500.0</v>
      </c>
      <c r="E206" s="10"/>
      <c r="F206" s="12">
        <f>(E206/1000)*D206</f>
        <v>0</v>
      </c>
      <c r="G206" s="9"/>
      <c r="H206" s="9"/>
      <c r="I206" s="9"/>
      <c r="J206" s="11" t="s">
        <v>19</v>
      </c>
    </row>
    <row r="207" ht="14.25" customHeight="1">
      <c r="C207" s="8" t="s">
        <v>368</v>
      </c>
      <c r="D207" s="9">
        <v>500.0</v>
      </c>
      <c r="E207" s="10"/>
      <c r="F207" s="12"/>
      <c r="G207" s="9"/>
      <c r="H207" s="9"/>
      <c r="I207" s="9"/>
      <c r="J207" s="11"/>
    </row>
    <row r="208" ht="14.25" customHeight="1">
      <c r="D208" s="20">
        <f>SUM(D206:D207)</f>
        <v>1000</v>
      </c>
      <c r="E208" s="21"/>
      <c r="F208" s="22">
        <f t="shared" ref="F208:I208" si="17">SUM(F195:F207)</f>
        <v>0</v>
      </c>
      <c r="G208" s="20">
        <f t="shared" si="17"/>
        <v>0</v>
      </c>
      <c r="H208" s="23">
        <f t="shared" si="17"/>
        <v>0</v>
      </c>
      <c r="I208" s="23">
        <f t="shared" si="17"/>
        <v>0</v>
      </c>
      <c r="J208" s="25"/>
    </row>
    <row r="209" ht="14.25" customHeight="1"/>
    <row r="210" ht="14.25" customHeight="1"/>
    <row r="211" ht="14.25" customHeight="1">
      <c r="C211" s="1" t="s">
        <v>370</v>
      </c>
      <c r="D211" s="2"/>
      <c r="E211" s="2"/>
      <c r="F211" s="2"/>
      <c r="G211" s="2"/>
      <c r="H211" s="2"/>
      <c r="I211" s="2"/>
      <c r="J211" s="3"/>
    </row>
    <row r="212" ht="14.25" customHeight="1">
      <c r="B212" s="4">
        <v>15.0</v>
      </c>
      <c r="C212" s="5" t="s">
        <v>4</v>
      </c>
      <c r="D212" s="6" t="s">
        <v>6</v>
      </c>
      <c r="E212" s="6" t="s">
        <v>7</v>
      </c>
      <c r="F212" s="6" t="s">
        <v>9</v>
      </c>
      <c r="G212" s="6"/>
      <c r="H212" s="6" t="s">
        <v>13</v>
      </c>
      <c r="I212" s="6" t="s">
        <v>14</v>
      </c>
      <c r="J212" s="7"/>
    </row>
    <row r="213" ht="14.25" customHeight="1">
      <c r="C213" s="8" t="s">
        <v>104</v>
      </c>
      <c r="D213" s="9">
        <v>720.0</v>
      </c>
      <c r="E213" s="10"/>
      <c r="F213" s="12">
        <f>(E213/1000)*D213</f>
        <v>0</v>
      </c>
      <c r="G213" s="9"/>
      <c r="H213" s="9"/>
      <c r="I213" s="9"/>
      <c r="J213" s="11" t="s">
        <v>19</v>
      </c>
    </row>
    <row r="214" ht="14.25" customHeight="1">
      <c r="C214" s="8" t="s">
        <v>371</v>
      </c>
      <c r="D214" s="9">
        <v>80.0</v>
      </c>
      <c r="E214" s="10"/>
      <c r="F214" s="12"/>
      <c r="G214" s="9"/>
      <c r="H214" s="9"/>
      <c r="I214" s="9"/>
      <c r="J214" s="11"/>
    </row>
    <row r="215" ht="14.25" customHeight="1">
      <c r="C215" s="8" t="s">
        <v>296</v>
      </c>
      <c r="D215" s="9">
        <v>20.0</v>
      </c>
      <c r="E215" s="10"/>
      <c r="F215" s="12"/>
      <c r="G215" s="9"/>
      <c r="H215" s="9"/>
      <c r="I215" s="9"/>
      <c r="J215" s="11"/>
    </row>
    <row r="216" ht="14.25" customHeight="1">
      <c r="C216" s="8" t="s">
        <v>373</v>
      </c>
      <c r="D216" s="9">
        <v>50.0</v>
      </c>
      <c r="E216" s="10"/>
      <c r="F216" s="12"/>
      <c r="G216" s="9"/>
      <c r="H216" s="9"/>
      <c r="I216" s="9"/>
      <c r="J216" s="11"/>
    </row>
    <row r="217" ht="14.25" customHeight="1">
      <c r="C217" s="8" t="s">
        <v>374</v>
      </c>
      <c r="D217" s="9">
        <v>30.0</v>
      </c>
      <c r="E217" s="10"/>
      <c r="F217" s="12"/>
      <c r="G217" s="9"/>
      <c r="H217" s="9"/>
      <c r="I217" s="9"/>
      <c r="J217" s="11"/>
    </row>
    <row r="218" ht="14.25" customHeight="1">
      <c r="C218" s="8" t="s">
        <v>375</v>
      </c>
      <c r="D218" s="9">
        <v>2.0</v>
      </c>
      <c r="E218" s="10"/>
      <c r="F218" s="12"/>
      <c r="G218" s="9"/>
      <c r="H218" s="9"/>
      <c r="I218" s="9"/>
      <c r="J218" s="11"/>
    </row>
    <row r="219" ht="14.25" customHeight="1">
      <c r="C219" s="8" t="s">
        <v>376</v>
      </c>
      <c r="D219" s="9">
        <v>20.0</v>
      </c>
      <c r="E219" s="10"/>
      <c r="F219" s="12"/>
      <c r="G219" s="9"/>
      <c r="H219" s="9"/>
      <c r="I219" s="9"/>
      <c r="J219" s="11"/>
    </row>
    <row r="220" ht="14.25" customHeight="1">
      <c r="C220" s="8" t="s">
        <v>39</v>
      </c>
      <c r="D220" s="10">
        <v>0.5</v>
      </c>
      <c r="E220" s="10"/>
      <c r="F220" s="12"/>
      <c r="G220" s="9"/>
      <c r="H220" s="9"/>
      <c r="I220" s="9"/>
      <c r="J220" s="11"/>
    </row>
    <row r="221" ht="14.25" customHeight="1">
      <c r="C221" s="8" t="s">
        <v>377</v>
      </c>
      <c r="D221" s="9">
        <v>1.0</v>
      </c>
      <c r="E221" s="10"/>
      <c r="F221" s="12"/>
      <c r="G221" s="9"/>
      <c r="H221" s="9"/>
      <c r="I221" s="9"/>
      <c r="J221" s="11"/>
    </row>
    <row r="222" ht="14.25" customHeight="1">
      <c r="C222" s="8" t="s">
        <v>379</v>
      </c>
      <c r="D222" s="10">
        <v>0.05</v>
      </c>
      <c r="E222" s="10"/>
      <c r="F222" s="12"/>
      <c r="G222" s="9"/>
      <c r="H222" s="9"/>
      <c r="I222" s="9"/>
      <c r="J222" s="11"/>
    </row>
    <row r="223" ht="14.25" customHeight="1">
      <c r="C223" s="19"/>
      <c r="D223" s="20">
        <f>SUM(D213:D222)</f>
        <v>923.55</v>
      </c>
      <c r="E223" s="21"/>
      <c r="F223" s="22">
        <f t="shared" ref="F223:I223" si="18">SUM(F213:F222)</f>
        <v>0</v>
      </c>
      <c r="G223" s="20">
        <f t="shared" si="18"/>
        <v>0</v>
      </c>
      <c r="H223" s="23">
        <f t="shared" si="18"/>
        <v>0</v>
      </c>
      <c r="I223" s="23">
        <f t="shared" si="18"/>
        <v>0</v>
      </c>
      <c r="J223" s="25"/>
    </row>
    <row r="224" ht="14.25" customHeight="1"/>
    <row r="225" ht="14.25" customHeight="1"/>
    <row r="226" ht="14.25" customHeight="1">
      <c r="C226" s="1" t="s">
        <v>381</v>
      </c>
      <c r="D226" s="2"/>
      <c r="E226" s="2"/>
      <c r="F226" s="2"/>
      <c r="G226" s="2"/>
      <c r="H226" s="2"/>
      <c r="I226" s="2"/>
      <c r="J226" s="3"/>
    </row>
    <row r="227" ht="14.25" customHeight="1">
      <c r="B227" s="4">
        <v>16.0</v>
      </c>
      <c r="C227" s="5" t="s">
        <v>4</v>
      </c>
      <c r="D227" s="6" t="s">
        <v>6</v>
      </c>
      <c r="E227" s="6" t="s">
        <v>7</v>
      </c>
      <c r="F227" s="6" t="s">
        <v>9</v>
      </c>
      <c r="G227" s="6"/>
      <c r="H227" s="6" t="s">
        <v>13</v>
      </c>
      <c r="I227" s="6" t="s">
        <v>14</v>
      </c>
      <c r="J227" s="7"/>
    </row>
    <row r="228" ht="14.25" customHeight="1">
      <c r="C228" s="8" t="s">
        <v>104</v>
      </c>
      <c r="D228" s="9">
        <v>874.0</v>
      </c>
      <c r="E228" s="10"/>
      <c r="F228" s="12">
        <f>(E228/1000)*D228</f>
        <v>0</v>
      </c>
      <c r="G228" s="9"/>
      <c r="H228" s="9"/>
      <c r="I228" s="9"/>
      <c r="J228" s="11" t="s">
        <v>19</v>
      </c>
    </row>
    <row r="229" ht="14.25" customHeight="1">
      <c r="C229" s="8" t="s">
        <v>382</v>
      </c>
      <c r="D229" s="9">
        <v>10.0</v>
      </c>
      <c r="E229" s="10"/>
      <c r="F229" s="12"/>
      <c r="G229" s="9"/>
      <c r="H229" s="9"/>
      <c r="I229" s="9"/>
      <c r="J229" s="11"/>
    </row>
    <row r="230" ht="14.25" customHeight="1">
      <c r="C230" s="8" t="s">
        <v>383</v>
      </c>
      <c r="D230" s="9">
        <v>20.0</v>
      </c>
      <c r="E230" s="10"/>
      <c r="F230" s="12"/>
      <c r="G230" s="9"/>
      <c r="H230" s="9"/>
      <c r="I230" s="9"/>
      <c r="J230" s="11"/>
    </row>
    <row r="231" ht="14.25" customHeight="1">
      <c r="C231" s="8" t="s">
        <v>385</v>
      </c>
      <c r="D231" s="9">
        <v>2.0</v>
      </c>
      <c r="E231" s="10"/>
      <c r="F231" s="12"/>
      <c r="G231" s="9"/>
      <c r="H231" s="9"/>
      <c r="I231" s="9"/>
      <c r="J231" s="11"/>
    </row>
    <row r="232" ht="14.25" customHeight="1">
      <c r="C232" s="8" t="s">
        <v>230</v>
      </c>
      <c r="D232" s="9">
        <v>1.0</v>
      </c>
      <c r="E232" s="10"/>
      <c r="F232" s="12"/>
      <c r="G232" s="9"/>
      <c r="H232" s="9"/>
      <c r="I232" s="9"/>
      <c r="J232" s="11"/>
    </row>
    <row r="233" ht="14.25" customHeight="1">
      <c r="C233" s="8" t="s">
        <v>26</v>
      </c>
      <c r="D233" s="10">
        <v>0.5</v>
      </c>
      <c r="E233" s="10"/>
      <c r="F233" s="12"/>
      <c r="G233" s="9"/>
      <c r="H233" s="9"/>
      <c r="I233" s="9"/>
      <c r="J233" s="11"/>
    </row>
    <row r="234" ht="14.25" customHeight="1">
      <c r="C234" s="8" t="s">
        <v>387</v>
      </c>
      <c r="D234" s="10">
        <v>0.5</v>
      </c>
      <c r="E234" s="10"/>
      <c r="F234" s="12"/>
      <c r="G234" s="9"/>
      <c r="H234" s="9"/>
      <c r="I234" s="9"/>
      <c r="J234" s="11"/>
    </row>
    <row r="235" ht="14.25" customHeight="1">
      <c r="C235" s="8" t="s">
        <v>88</v>
      </c>
      <c r="D235" s="9">
        <v>50.0</v>
      </c>
      <c r="E235" s="10"/>
      <c r="F235" s="12"/>
      <c r="G235" s="9"/>
      <c r="H235" s="9"/>
      <c r="I235" s="9"/>
      <c r="J235" s="11"/>
    </row>
    <row r="236" ht="14.25" customHeight="1">
      <c r="C236" s="8" t="s">
        <v>84</v>
      </c>
      <c r="D236" s="9">
        <v>3.0</v>
      </c>
      <c r="E236" s="10"/>
      <c r="F236" s="12"/>
      <c r="G236" s="9"/>
      <c r="H236" s="9"/>
      <c r="I236" s="9"/>
      <c r="J236" s="11"/>
    </row>
    <row r="237" ht="14.25" customHeight="1">
      <c r="C237" s="8" t="s">
        <v>240</v>
      </c>
      <c r="D237" s="9">
        <v>40.0</v>
      </c>
      <c r="E237" s="10"/>
      <c r="F237" s="12"/>
      <c r="G237" s="9"/>
      <c r="H237" s="9"/>
      <c r="I237" s="9"/>
      <c r="J237" s="11"/>
    </row>
    <row r="238" ht="14.25" customHeight="1">
      <c r="C238" s="19"/>
      <c r="D238" s="20">
        <f>SUM(D228:D237)</f>
        <v>1001</v>
      </c>
      <c r="E238" s="21"/>
      <c r="F238" s="22">
        <f t="shared" ref="F238:I238" si="19">SUM(F228:F237)</f>
        <v>0</v>
      </c>
      <c r="G238" s="20">
        <f t="shared" si="19"/>
        <v>0</v>
      </c>
      <c r="H238" s="23">
        <f t="shared" si="19"/>
        <v>0</v>
      </c>
      <c r="I238" s="23">
        <f t="shared" si="19"/>
        <v>0</v>
      </c>
      <c r="J238" s="25"/>
    </row>
    <row r="239" ht="14.25" customHeight="1"/>
    <row r="240" ht="14.25" customHeight="1"/>
    <row r="241" ht="14.25" customHeight="1">
      <c r="C241" s="1" t="s">
        <v>388</v>
      </c>
      <c r="D241" s="2"/>
      <c r="E241" s="2"/>
      <c r="F241" s="2"/>
      <c r="G241" s="2"/>
      <c r="H241" s="2"/>
      <c r="I241" s="2"/>
      <c r="J241" s="3"/>
    </row>
    <row r="242" ht="14.25" customHeight="1">
      <c r="B242" s="4">
        <v>16.0</v>
      </c>
      <c r="C242" s="5" t="s">
        <v>4</v>
      </c>
      <c r="D242" s="6" t="s">
        <v>6</v>
      </c>
      <c r="E242" s="6" t="s">
        <v>7</v>
      </c>
      <c r="F242" s="6" t="s">
        <v>9</v>
      </c>
      <c r="G242" s="6"/>
      <c r="H242" s="6" t="s">
        <v>13</v>
      </c>
      <c r="I242" s="6" t="s">
        <v>14</v>
      </c>
      <c r="J242" s="7"/>
    </row>
    <row r="243" ht="14.25" customHeight="1">
      <c r="C243" s="8" t="s">
        <v>123</v>
      </c>
      <c r="D243" s="9">
        <v>620.0</v>
      </c>
      <c r="E243" s="10"/>
      <c r="F243" s="12">
        <f>(E243/1000)*D243</f>
        <v>0</v>
      </c>
      <c r="G243" s="9"/>
      <c r="H243" s="9"/>
      <c r="I243" s="9"/>
      <c r="J243" s="11" t="s">
        <v>19</v>
      </c>
    </row>
    <row r="244" ht="14.25" customHeight="1">
      <c r="C244" s="8" t="s">
        <v>88</v>
      </c>
      <c r="D244" s="9">
        <v>80.0</v>
      </c>
      <c r="E244" s="10"/>
      <c r="F244" s="12"/>
      <c r="G244" s="9"/>
      <c r="H244" s="9"/>
      <c r="I244" s="9"/>
      <c r="J244" s="11"/>
    </row>
    <row r="245" ht="14.25" customHeight="1">
      <c r="C245" s="8" t="s">
        <v>391</v>
      </c>
      <c r="D245" s="9">
        <v>2.0</v>
      </c>
      <c r="E245" s="10"/>
      <c r="F245" s="12"/>
      <c r="G245" s="9"/>
      <c r="H245" s="9"/>
      <c r="I245" s="9"/>
      <c r="J245" s="11"/>
    </row>
    <row r="246" ht="14.25" customHeight="1">
      <c r="C246" s="8" t="s">
        <v>392</v>
      </c>
      <c r="D246" s="9">
        <v>2.0</v>
      </c>
      <c r="E246" s="10"/>
      <c r="F246" s="12"/>
      <c r="G246" s="9"/>
      <c r="H246" s="9"/>
      <c r="I246" s="9"/>
      <c r="J246" s="11"/>
    </row>
    <row r="247" ht="14.25" customHeight="1">
      <c r="C247" s="8" t="s">
        <v>394</v>
      </c>
      <c r="D247" s="9">
        <v>2.0</v>
      </c>
      <c r="E247" s="10"/>
      <c r="F247" s="12"/>
      <c r="G247" s="9"/>
      <c r="H247" s="9"/>
      <c r="I247" s="9"/>
      <c r="J247" s="11"/>
    </row>
    <row r="248" ht="14.25" customHeight="1">
      <c r="C248" s="8" t="s">
        <v>395</v>
      </c>
      <c r="D248" s="10">
        <v>150.0</v>
      </c>
      <c r="E248" s="10"/>
      <c r="F248" s="12"/>
      <c r="G248" s="9"/>
      <c r="H248" s="9"/>
      <c r="I248" s="9"/>
      <c r="J248" s="11"/>
    </row>
    <row r="249" ht="14.25" customHeight="1">
      <c r="C249" s="8" t="s">
        <v>200</v>
      </c>
      <c r="D249" s="10">
        <v>144.0</v>
      </c>
      <c r="E249" s="10"/>
      <c r="F249" s="12"/>
      <c r="G249" s="9"/>
      <c r="H249" s="9"/>
      <c r="I249" s="9"/>
      <c r="J249" s="11"/>
    </row>
    <row r="250" ht="14.25" customHeight="1">
      <c r="C250" s="19"/>
      <c r="D250" s="20">
        <f>SUM(D243:D249)</f>
        <v>1000</v>
      </c>
      <c r="E250" s="21"/>
      <c r="F250" s="22">
        <f t="shared" ref="F250:I250" si="20">SUM(F243:F249)</f>
        <v>0</v>
      </c>
      <c r="G250" s="20">
        <f t="shared" si="20"/>
        <v>0</v>
      </c>
      <c r="H250" s="23">
        <f t="shared" si="20"/>
        <v>0</v>
      </c>
      <c r="I250" s="23">
        <f t="shared" si="20"/>
        <v>0</v>
      </c>
      <c r="J250" s="25"/>
    </row>
    <row r="251" ht="14.25" customHeight="1"/>
    <row r="252" ht="14.25" customHeight="1"/>
    <row r="253" ht="14.25" customHeight="1">
      <c r="C253" s="1" t="s">
        <v>396</v>
      </c>
      <c r="D253" s="2"/>
      <c r="E253" s="2"/>
      <c r="F253" s="2"/>
      <c r="G253" s="2"/>
      <c r="H253" s="2"/>
      <c r="I253" s="2"/>
      <c r="J253" s="3"/>
    </row>
    <row r="254" ht="14.25" customHeight="1">
      <c r="B254" s="4">
        <v>16.0</v>
      </c>
      <c r="C254" s="5" t="s">
        <v>4</v>
      </c>
      <c r="D254" s="6" t="s">
        <v>6</v>
      </c>
      <c r="E254" s="6" t="s">
        <v>7</v>
      </c>
      <c r="F254" s="6" t="s">
        <v>9</v>
      </c>
      <c r="G254" s="6"/>
      <c r="H254" s="6" t="s">
        <v>13</v>
      </c>
      <c r="I254" s="6" t="s">
        <v>14</v>
      </c>
      <c r="J254" s="7"/>
    </row>
    <row r="255" ht="14.25" customHeight="1">
      <c r="C255" s="8" t="s">
        <v>397</v>
      </c>
      <c r="D255" s="9">
        <v>30.0</v>
      </c>
      <c r="E255" s="10"/>
      <c r="F255" s="12">
        <f>(E255/1000)*D255</f>
        <v>0</v>
      </c>
      <c r="G255" s="9"/>
      <c r="H255" s="9"/>
      <c r="I255" s="9"/>
      <c r="J255" s="11" t="s">
        <v>19</v>
      </c>
    </row>
    <row r="256" ht="14.25" customHeight="1">
      <c r="C256" s="8" t="s">
        <v>200</v>
      </c>
      <c r="D256" s="9">
        <v>970.0</v>
      </c>
      <c r="E256" s="10"/>
      <c r="F256" s="12"/>
      <c r="G256" s="9"/>
      <c r="H256" s="9"/>
      <c r="I256" s="9"/>
      <c r="J256" s="11"/>
    </row>
    <row r="257" ht="14.25" customHeight="1">
      <c r="C257" s="8" t="s">
        <v>88</v>
      </c>
      <c r="D257" s="9">
        <v>30.0</v>
      </c>
      <c r="E257" s="10"/>
      <c r="F257" s="12"/>
      <c r="G257" s="9"/>
      <c r="H257" s="9"/>
      <c r="I257" s="9"/>
      <c r="J257" s="11"/>
    </row>
    <row r="258" ht="14.25" customHeight="1">
      <c r="C258" s="8" t="s">
        <v>168</v>
      </c>
      <c r="D258" s="9">
        <v>2.0</v>
      </c>
      <c r="E258" s="10"/>
      <c r="F258" s="12"/>
      <c r="G258" s="9"/>
      <c r="H258" s="9"/>
      <c r="I258" s="9"/>
      <c r="J258" s="11"/>
    </row>
    <row r="259" ht="14.25" customHeight="1">
      <c r="C259" s="8" t="s">
        <v>173</v>
      </c>
      <c r="D259" s="10">
        <v>0.5</v>
      </c>
      <c r="E259" s="10"/>
      <c r="F259" s="12"/>
      <c r="G259" s="9"/>
      <c r="H259" s="9"/>
      <c r="I259" s="9"/>
      <c r="J259" s="11"/>
    </row>
    <row r="260" ht="14.25" customHeight="1">
      <c r="C260" s="19"/>
      <c r="D260" s="20">
        <f>SUM(D255:D259)</f>
        <v>1032.5</v>
      </c>
      <c r="E260" s="21"/>
      <c r="F260" s="22">
        <f t="shared" ref="F260:I260" si="21">SUM(F255:F259)</f>
        <v>0</v>
      </c>
      <c r="G260" s="20">
        <f t="shared" si="21"/>
        <v>0</v>
      </c>
      <c r="H260" s="23">
        <f t="shared" si="21"/>
        <v>0</v>
      </c>
      <c r="I260" s="23">
        <f t="shared" si="21"/>
        <v>0</v>
      </c>
      <c r="J260" s="25"/>
    </row>
    <row r="261" ht="14.25" customHeight="1"/>
    <row r="262" ht="14.25" customHeight="1"/>
    <row r="263" ht="14.25" customHeight="1">
      <c r="C263" s="1" t="s">
        <v>398</v>
      </c>
      <c r="D263" s="2"/>
      <c r="E263" s="2"/>
      <c r="F263" s="2"/>
      <c r="G263" s="2"/>
      <c r="H263" s="2"/>
      <c r="I263" s="2"/>
      <c r="J263" s="3"/>
    </row>
    <row r="264" ht="14.25" customHeight="1">
      <c r="B264" s="4">
        <v>16.0</v>
      </c>
      <c r="C264" s="5" t="s">
        <v>4</v>
      </c>
      <c r="D264" s="6" t="s">
        <v>6</v>
      </c>
      <c r="E264" s="6" t="s">
        <v>7</v>
      </c>
      <c r="F264" s="6" t="s">
        <v>9</v>
      </c>
      <c r="G264" s="6"/>
      <c r="H264" s="6" t="s">
        <v>13</v>
      </c>
      <c r="I264" s="6" t="s">
        <v>14</v>
      </c>
      <c r="J264" s="7"/>
    </row>
    <row r="265" ht="14.25" customHeight="1">
      <c r="C265" s="8" t="s">
        <v>397</v>
      </c>
      <c r="D265" s="9">
        <v>60.0</v>
      </c>
      <c r="E265" s="10"/>
      <c r="F265" s="12">
        <f>(E265/1000)*D265</f>
        <v>0</v>
      </c>
      <c r="G265" s="9"/>
      <c r="H265" s="9"/>
      <c r="I265" s="9"/>
      <c r="J265" s="11" t="s">
        <v>19</v>
      </c>
    </row>
    <row r="266" ht="14.25" customHeight="1">
      <c r="C266" s="8" t="s">
        <v>200</v>
      </c>
      <c r="D266" s="9">
        <v>835.0</v>
      </c>
      <c r="E266" s="10"/>
      <c r="F266" s="12"/>
      <c r="G266" s="9"/>
      <c r="H266" s="9"/>
      <c r="I266" s="9"/>
      <c r="J266" s="11"/>
    </row>
    <row r="267" ht="14.25" customHeight="1">
      <c r="C267" s="8" t="s">
        <v>88</v>
      </c>
      <c r="D267" s="9">
        <v>100.0</v>
      </c>
      <c r="E267" s="10"/>
      <c r="F267" s="12"/>
      <c r="G267" s="9"/>
      <c r="H267" s="9"/>
      <c r="I267" s="9"/>
      <c r="J267" s="11"/>
    </row>
    <row r="268" ht="14.25" customHeight="1">
      <c r="C268" s="8" t="s">
        <v>168</v>
      </c>
      <c r="D268" s="9">
        <v>5.0</v>
      </c>
      <c r="E268" s="10"/>
      <c r="F268" s="12"/>
      <c r="G268" s="9"/>
      <c r="H268" s="9"/>
      <c r="I268" s="9"/>
      <c r="J268" s="11"/>
    </row>
    <row r="269" ht="14.25" customHeight="1">
      <c r="C269" s="19"/>
      <c r="D269" s="20">
        <f>SUM(D265:D268)</f>
        <v>1000</v>
      </c>
      <c r="E269" s="21"/>
      <c r="F269" s="22">
        <f t="shared" ref="F269:I269" si="22">SUM(F265:F268)</f>
        <v>0</v>
      </c>
      <c r="G269" s="20">
        <f t="shared" si="22"/>
        <v>0</v>
      </c>
      <c r="H269" s="23">
        <f t="shared" si="22"/>
        <v>0</v>
      </c>
      <c r="I269" s="23">
        <f t="shared" si="22"/>
        <v>0</v>
      </c>
      <c r="J269" s="25"/>
    </row>
    <row r="270" ht="14.25" customHeight="1"/>
    <row r="271" ht="14.25" customHeight="1"/>
    <row r="272" ht="14.25" customHeight="1">
      <c r="C272" s="1" t="s">
        <v>399</v>
      </c>
      <c r="D272" s="2"/>
      <c r="E272" s="2"/>
      <c r="F272" s="2"/>
      <c r="G272" s="2"/>
      <c r="H272" s="2"/>
      <c r="I272" s="2"/>
      <c r="J272" s="3"/>
    </row>
    <row r="273" ht="14.25" customHeight="1">
      <c r="B273" s="4">
        <v>16.0</v>
      </c>
      <c r="C273" s="5" t="s">
        <v>4</v>
      </c>
      <c r="D273" s="6" t="s">
        <v>6</v>
      </c>
      <c r="E273" s="6" t="s">
        <v>7</v>
      </c>
      <c r="F273" s="6" t="s">
        <v>9</v>
      </c>
      <c r="G273" s="6"/>
      <c r="H273" s="6" t="s">
        <v>13</v>
      </c>
      <c r="I273" s="6" t="s">
        <v>14</v>
      </c>
      <c r="J273" s="7"/>
    </row>
    <row r="274" ht="14.25" customHeight="1">
      <c r="C274" s="8" t="s">
        <v>238</v>
      </c>
      <c r="D274" s="9">
        <v>100.0</v>
      </c>
      <c r="E274" s="10"/>
      <c r="F274" s="12">
        <f>(E274/1000)*D274</f>
        <v>0</v>
      </c>
      <c r="G274" s="9"/>
      <c r="H274" s="9"/>
      <c r="I274" s="9"/>
      <c r="J274" s="11" t="s">
        <v>19</v>
      </c>
    </row>
    <row r="275" ht="14.25" customHeight="1">
      <c r="C275" s="8" t="s">
        <v>400</v>
      </c>
      <c r="D275" s="9">
        <v>50.0</v>
      </c>
      <c r="E275" s="10"/>
      <c r="F275" s="12"/>
      <c r="G275" s="9"/>
      <c r="H275" s="9"/>
      <c r="I275" s="9"/>
      <c r="J275" s="11"/>
    </row>
    <row r="276" ht="14.25" customHeight="1">
      <c r="C276" s="8" t="s">
        <v>401</v>
      </c>
      <c r="D276" s="9">
        <v>850.0</v>
      </c>
      <c r="E276" s="10"/>
      <c r="F276" s="12"/>
      <c r="G276" s="9"/>
      <c r="H276" s="9"/>
      <c r="I276" s="9"/>
      <c r="J276" s="11"/>
    </row>
    <row r="277" ht="14.25" customHeight="1">
      <c r="C277" s="19"/>
      <c r="D277" s="20">
        <f>SUM(D274:D276)</f>
        <v>1000</v>
      </c>
      <c r="E277" s="21"/>
      <c r="F277" s="22">
        <f t="shared" ref="F277:I277" si="23">SUM(F274:F276)</f>
        <v>0</v>
      </c>
      <c r="G277" s="20">
        <f t="shared" si="23"/>
        <v>0</v>
      </c>
      <c r="H277" s="23">
        <f t="shared" si="23"/>
        <v>0</v>
      </c>
      <c r="I277" s="23">
        <f t="shared" si="23"/>
        <v>0</v>
      </c>
      <c r="J277" s="25"/>
    </row>
    <row r="278" ht="14.25" customHeight="1"/>
    <row r="279" ht="14.25" customHeight="1"/>
    <row r="280" ht="14.25" customHeight="1">
      <c r="C280" s="1" t="s">
        <v>402</v>
      </c>
      <c r="D280" s="2"/>
      <c r="E280" s="2"/>
      <c r="F280" s="2"/>
      <c r="G280" s="2"/>
      <c r="H280" s="2"/>
      <c r="I280" s="2"/>
      <c r="J280" s="3"/>
    </row>
    <row r="281" ht="14.25" customHeight="1">
      <c r="B281" s="4">
        <v>16.0</v>
      </c>
      <c r="C281" s="5" t="s">
        <v>4</v>
      </c>
      <c r="D281" s="6" t="s">
        <v>6</v>
      </c>
      <c r="E281" s="6" t="s">
        <v>7</v>
      </c>
      <c r="F281" s="6" t="s">
        <v>9</v>
      </c>
      <c r="G281" s="6"/>
      <c r="H281" s="6" t="s">
        <v>13</v>
      </c>
      <c r="I281" s="6" t="s">
        <v>14</v>
      </c>
      <c r="J281" s="7"/>
    </row>
    <row r="282" ht="14.25" customHeight="1">
      <c r="C282" s="8" t="s">
        <v>200</v>
      </c>
      <c r="D282" s="9">
        <v>189.0</v>
      </c>
      <c r="E282" s="10"/>
      <c r="F282" s="12">
        <f>(E282/1000)*D282</f>
        <v>0</v>
      </c>
      <c r="G282" s="9"/>
      <c r="H282" s="9"/>
      <c r="I282" s="9"/>
      <c r="J282" s="11" t="s">
        <v>19</v>
      </c>
    </row>
    <row r="283" ht="14.25" customHeight="1">
      <c r="C283" s="8" t="s">
        <v>22</v>
      </c>
      <c r="D283" s="9">
        <v>1.0</v>
      </c>
      <c r="E283" s="10"/>
      <c r="F283" s="12"/>
      <c r="G283" s="9"/>
      <c r="H283" s="9"/>
      <c r="I283" s="9"/>
      <c r="J283" s="11"/>
    </row>
    <row r="284" ht="14.25" customHeight="1">
      <c r="C284" s="8" t="s">
        <v>231</v>
      </c>
      <c r="D284" s="10">
        <v>0.5</v>
      </c>
      <c r="E284" s="10"/>
      <c r="F284" s="12"/>
      <c r="G284" s="9"/>
      <c r="H284" s="9"/>
      <c r="I284" s="9"/>
      <c r="J284" s="11"/>
    </row>
    <row r="285" ht="14.25" customHeight="1">
      <c r="C285" s="8" t="s">
        <v>30</v>
      </c>
      <c r="D285" s="9">
        <v>3.0</v>
      </c>
      <c r="E285" s="10"/>
      <c r="F285" s="12"/>
      <c r="G285" s="9"/>
      <c r="H285" s="9"/>
      <c r="I285" s="9"/>
      <c r="J285" s="11"/>
    </row>
    <row r="286" ht="14.25" customHeight="1">
      <c r="C286" s="8" t="s">
        <v>34</v>
      </c>
      <c r="D286" s="9">
        <v>100.0</v>
      </c>
      <c r="E286" s="10"/>
      <c r="F286" s="12"/>
      <c r="G286" s="9"/>
      <c r="H286" s="9"/>
      <c r="I286" s="9"/>
      <c r="J286" s="11"/>
    </row>
    <row r="287" ht="14.25" customHeight="1">
      <c r="C287" s="8" t="s">
        <v>123</v>
      </c>
      <c r="D287" s="9">
        <v>696.0</v>
      </c>
      <c r="E287" s="10"/>
      <c r="F287" s="12"/>
      <c r="G287" s="9"/>
      <c r="H287" s="9"/>
      <c r="I287" s="9"/>
      <c r="J287" s="11"/>
    </row>
    <row r="288" ht="14.25" customHeight="1">
      <c r="C288" s="8" t="s">
        <v>403</v>
      </c>
      <c r="D288" s="9">
        <v>10.0</v>
      </c>
      <c r="E288" s="10"/>
      <c r="F288" s="12"/>
      <c r="G288" s="9"/>
      <c r="H288" s="9"/>
      <c r="I288" s="9"/>
      <c r="J288" s="11"/>
    </row>
    <row r="289" ht="14.25" customHeight="1">
      <c r="C289" s="8" t="s">
        <v>404</v>
      </c>
      <c r="D289" s="10">
        <v>1.0</v>
      </c>
      <c r="E289" s="10"/>
      <c r="F289" s="12"/>
      <c r="G289" s="9"/>
      <c r="H289" s="9"/>
      <c r="I289" s="9"/>
      <c r="J289" s="11"/>
    </row>
    <row r="290" ht="14.25" customHeight="1">
      <c r="C290" s="8" t="s">
        <v>405</v>
      </c>
      <c r="D290" s="10">
        <v>0.5</v>
      </c>
      <c r="E290" s="10"/>
      <c r="F290" s="12"/>
      <c r="G290" s="9"/>
      <c r="H290" s="9"/>
      <c r="I290" s="9"/>
      <c r="J290" s="11"/>
    </row>
    <row r="291" ht="14.25" customHeight="1">
      <c r="C291" s="19"/>
      <c r="D291" s="20">
        <f>SUM(D282:D290)</f>
        <v>1001</v>
      </c>
      <c r="E291" s="21"/>
      <c r="F291" s="22">
        <f t="shared" ref="F291:I291" si="24">SUM(F282:F290)</f>
        <v>0</v>
      </c>
      <c r="G291" s="20">
        <f t="shared" si="24"/>
        <v>0</v>
      </c>
      <c r="H291" s="23">
        <f t="shared" si="24"/>
        <v>0</v>
      </c>
      <c r="I291" s="23">
        <f t="shared" si="24"/>
        <v>0</v>
      </c>
      <c r="J291" s="25"/>
    </row>
    <row r="292" ht="14.25" customHeight="1"/>
    <row r="293" ht="14.25" customHeight="1"/>
    <row r="294" ht="14.25" customHeight="1">
      <c r="C294" s="1" t="s">
        <v>406</v>
      </c>
      <c r="D294" s="2"/>
      <c r="E294" s="2"/>
      <c r="F294" s="2"/>
      <c r="G294" s="2"/>
      <c r="H294" s="2"/>
      <c r="I294" s="2"/>
      <c r="J294" s="3"/>
    </row>
    <row r="295" ht="14.25" customHeight="1">
      <c r="B295" s="4">
        <v>16.0</v>
      </c>
      <c r="C295" s="5" t="s">
        <v>4</v>
      </c>
      <c r="D295" s="6" t="s">
        <v>6</v>
      </c>
      <c r="E295" s="6" t="s">
        <v>7</v>
      </c>
      <c r="F295" s="6" t="s">
        <v>9</v>
      </c>
      <c r="G295" s="6"/>
      <c r="H295" s="6" t="s">
        <v>13</v>
      </c>
      <c r="I295" s="6" t="s">
        <v>14</v>
      </c>
      <c r="J295" s="7"/>
    </row>
    <row r="296" ht="14.25" customHeight="1">
      <c r="C296" s="8" t="s">
        <v>407</v>
      </c>
      <c r="D296" s="9">
        <v>80.0</v>
      </c>
      <c r="E296" s="10"/>
      <c r="F296" s="12">
        <f>(E296/1000)*D296</f>
        <v>0</v>
      </c>
      <c r="G296" s="9"/>
      <c r="H296" s="9"/>
      <c r="I296" s="9"/>
      <c r="J296" s="11" t="s">
        <v>19</v>
      </c>
    </row>
    <row r="297" ht="14.25" customHeight="1">
      <c r="C297" s="8" t="s">
        <v>123</v>
      </c>
      <c r="D297" s="9">
        <v>700.0</v>
      </c>
      <c r="E297" s="10"/>
      <c r="F297" s="12"/>
      <c r="G297" s="9"/>
      <c r="H297" s="9"/>
      <c r="I297" s="9"/>
      <c r="J297" s="11"/>
    </row>
    <row r="298" ht="14.25" customHeight="1">
      <c r="C298" s="8" t="s">
        <v>29</v>
      </c>
      <c r="D298" s="9">
        <v>200.0</v>
      </c>
      <c r="E298" s="10"/>
      <c r="F298" s="12"/>
      <c r="G298" s="9"/>
      <c r="H298" s="9"/>
      <c r="I298" s="9"/>
      <c r="J298" s="11"/>
    </row>
    <row r="299" ht="14.25" customHeight="1">
      <c r="C299" s="8" t="s">
        <v>200</v>
      </c>
      <c r="D299" s="9">
        <v>15.0</v>
      </c>
      <c r="E299" s="10"/>
      <c r="F299" s="12"/>
      <c r="G299" s="9"/>
      <c r="H299" s="9"/>
      <c r="I299" s="9"/>
      <c r="J299" s="11"/>
    </row>
    <row r="300" ht="14.25" customHeight="1">
      <c r="C300" s="8" t="s">
        <v>65</v>
      </c>
      <c r="D300" s="9">
        <v>5.0</v>
      </c>
      <c r="E300" s="10"/>
      <c r="F300" s="12"/>
      <c r="G300" s="9"/>
      <c r="H300" s="9"/>
      <c r="I300" s="9"/>
      <c r="J300" s="11"/>
    </row>
    <row r="301" ht="14.25" customHeight="1">
      <c r="C301" s="19"/>
      <c r="D301" s="20">
        <f>SUM(D296:D300)</f>
        <v>1000</v>
      </c>
      <c r="E301" s="21"/>
      <c r="F301" s="22">
        <f t="shared" ref="F301:I301" si="25">SUM(F296:F300)</f>
        <v>0</v>
      </c>
      <c r="G301" s="20">
        <f t="shared" si="25"/>
        <v>0</v>
      </c>
      <c r="H301" s="23">
        <f t="shared" si="25"/>
        <v>0</v>
      </c>
      <c r="I301" s="23">
        <f t="shared" si="25"/>
        <v>0</v>
      </c>
      <c r="J301" s="25"/>
    </row>
    <row r="302" ht="14.25" customHeight="1"/>
    <row r="303" ht="14.25" customHeight="1"/>
    <row r="304" ht="14.25" customHeight="1">
      <c r="C304" s="1" t="s">
        <v>408</v>
      </c>
      <c r="D304" s="2"/>
      <c r="E304" s="2"/>
      <c r="F304" s="2"/>
      <c r="G304" s="2"/>
      <c r="H304" s="2"/>
      <c r="I304" s="2"/>
      <c r="J304" s="3"/>
    </row>
    <row r="305" ht="14.25" customHeight="1">
      <c r="B305" s="4">
        <v>16.0</v>
      </c>
      <c r="C305" s="5" t="s">
        <v>4</v>
      </c>
      <c r="D305" s="6" t="s">
        <v>6</v>
      </c>
      <c r="E305" s="6" t="s">
        <v>7</v>
      </c>
      <c r="F305" s="6" t="s">
        <v>9</v>
      </c>
      <c r="G305" s="6"/>
      <c r="H305" s="6" t="s">
        <v>13</v>
      </c>
      <c r="I305" s="6" t="s">
        <v>14</v>
      </c>
      <c r="J305" s="7"/>
    </row>
    <row r="306" ht="14.25" customHeight="1">
      <c r="C306" s="8" t="s">
        <v>200</v>
      </c>
      <c r="D306" s="9">
        <v>883.0</v>
      </c>
      <c r="E306" s="10"/>
      <c r="F306" s="12">
        <f>(E306/1000)*D306</f>
        <v>0</v>
      </c>
      <c r="G306" s="9"/>
      <c r="H306" s="9"/>
      <c r="I306" s="9"/>
      <c r="J306" s="11" t="s">
        <v>19</v>
      </c>
    </row>
    <row r="307" ht="14.25" customHeight="1">
      <c r="C307" s="8" t="s">
        <v>88</v>
      </c>
      <c r="D307" s="9">
        <v>30.0</v>
      </c>
      <c r="E307" s="10"/>
      <c r="F307" s="12"/>
      <c r="G307" s="9"/>
      <c r="H307" s="9"/>
      <c r="I307" s="9"/>
      <c r="J307" s="11"/>
    </row>
    <row r="308" ht="14.25" customHeight="1">
      <c r="C308" s="8" t="s">
        <v>29</v>
      </c>
      <c r="D308" s="9">
        <v>30.0</v>
      </c>
      <c r="E308" s="10"/>
      <c r="F308" s="12"/>
      <c r="G308" s="9"/>
      <c r="H308" s="9"/>
      <c r="I308" s="9"/>
      <c r="J308" s="11"/>
    </row>
    <row r="309" ht="14.25" customHeight="1">
      <c r="C309" s="8" t="s">
        <v>109</v>
      </c>
      <c r="D309" s="9">
        <v>10.0</v>
      </c>
      <c r="E309" s="10"/>
      <c r="F309" s="12"/>
      <c r="G309" s="9"/>
      <c r="H309" s="9"/>
      <c r="I309" s="9"/>
      <c r="J309" s="11"/>
    </row>
    <row r="310" ht="14.25" customHeight="1">
      <c r="C310" s="8" t="s">
        <v>266</v>
      </c>
      <c r="D310" s="9">
        <v>2.0</v>
      </c>
      <c r="E310" s="10"/>
      <c r="F310" s="12"/>
      <c r="G310" s="9"/>
      <c r="H310" s="9"/>
      <c r="I310" s="9"/>
      <c r="J310" s="11"/>
    </row>
    <row r="311" ht="14.25" customHeight="1">
      <c r="C311" s="8" t="s">
        <v>201</v>
      </c>
      <c r="D311" s="9">
        <v>20.0</v>
      </c>
      <c r="E311" s="10"/>
      <c r="F311" s="12"/>
      <c r="G311" s="9"/>
      <c r="H311" s="9"/>
      <c r="I311" s="9"/>
      <c r="J311" s="11"/>
    </row>
    <row r="312" ht="14.25" customHeight="1">
      <c r="C312" s="8" t="s">
        <v>409</v>
      </c>
      <c r="D312" s="9">
        <v>10.0</v>
      </c>
      <c r="E312" s="10"/>
      <c r="F312" s="12"/>
      <c r="G312" s="9"/>
      <c r="H312" s="9"/>
      <c r="I312" s="9"/>
      <c r="J312" s="11"/>
    </row>
    <row r="313" ht="14.25" customHeight="1">
      <c r="C313" s="8" t="s">
        <v>410</v>
      </c>
      <c r="D313" s="9">
        <v>5.0</v>
      </c>
      <c r="E313" s="10"/>
      <c r="F313" s="12"/>
      <c r="G313" s="9"/>
      <c r="H313" s="9"/>
      <c r="I313" s="9"/>
      <c r="J313" s="11"/>
    </row>
    <row r="314" ht="14.25" customHeight="1">
      <c r="C314" s="8" t="s">
        <v>411</v>
      </c>
      <c r="D314" s="9">
        <v>5.0</v>
      </c>
      <c r="E314" s="10"/>
      <c r="F314" s="12"/>
      <c r="G314" s="9"/>
      <c r="H314" s="9"/>
      <c r="I314" s="9"/>
      <c r="J314" s="11"/>
    </row>
    <row r="315" ht="14.25" customHeight="1">
      <c r="C315" s="8" t="s">
        <v>230</v>
      </c>
      <c r="D315" s="9">
        <v>3.0</v>
      </c>
      <c r="E315" s="10"/>
      <c r="F315" s="12"/>
      <c r="G315" s="9"/>
      <c r="H315" s="9"/>
      <c r="I315" s="9"/>
      <c r="J315" s="11"/>
    </row>
    <row r="316" ht="15.0" customHeight="1">
      <c r="C316" s="8" t="s">
        <v>231</v>
      </c>
      <c r="D316" s="9">
        <v>2.0</v>
      </c>
      <c r="E316" s="10"/>
      <c r="F316" s="12"/>
      <c r="G316" s="9"/>
      <c r="H316" s="9"/>
      <c r="I316" s="9"/>
      <c r="J316" s="11"/>
    </row>
    <row r="317" ht="14.25" customHeight="1">
      <c r="C317" s="8" t="s">
        <v>220</v>
      </c>
      <c r="D317" s="27">
        <v>0.03</v>
      </c>
      <c r="E317" s="10"/>
      <c r="F317" s="12"/>
      <c r="G317" s="9"/>
      <c r="H317" s="9"/>
      <c r="I317" s="9"/>
      <c r="J317" s="11"/>
    </row>
    <row r="318" ht="14.25" customHeight="1">
      <c r="C318" s="19"/>
      <c r="D318" s="20">
        <f>SUM(D306:D317)</f>
        <v>1000.03</v>
      </c>
      <c r="E318" s="21"/>
      <c r="F318" s="22">
        <f t="shared" ref="F318:I318" si="26">SUM(F306:F317)</f>
        <v>0</v>
      </c>
      <c r="G318" s="20">
        <f t="shared" si="26"/>
        <v>0</v>
      </c>
      <c r="H318" s="23">
        <f t="shared" si="26"/>
        <v>0</v>
      </c>
      <c r="I318" s="23">
        <f t="shared" si="26"/>
        <v>0</v>
      </c>
      <c r="J318" s="25"/>
    </row>
    <row r="319" ht="14.25" customHeight="1"/>
    <row r="320" ht="14.25" customHeight="1"/>
    <row r="321" ht="14.25" customHeight="1">
      <c r="C321" s="1" t="s">
        <v>412</v>
      </c>
      <c r="D321" s="2"/>
      <c r="E321" s="2"/>
      <c r="F321" s="2"/>
      <c r="G321" s="2"/>
      <c r="H321" s="2"/>
      <c r="I321" s="2"/>
      <c r="J321" s="3"/>
    </row>
    <row r="322" ht="14.25" customHeight="1">
      <c r="B322" s="4">
        <v>16.0</v>
      </c>
      <c r="C322" s="5" t="s">
        <v>4</v>
      </c>
      <c r="D322" s="6" t="s">
        <v>6</v>
      </c>
      <c r="E322" s="6" t="s">
        <v>7</v>
      </c>
      <c r="F322" s="6" t="s">
        <v>9</v>
      </c>
      <c r="G322" s="6"/>
      <c r="H322" s="6" t="s">
        <v>13</v>
      </c>
      <c r="I322" s="6" t="s">
        <v>14</v>
      </c>
      <c r="J322" s="7"/>
    </row>
    <row r="323" ht="14.25" customHeight="1">
      <c r="C323" s="8" t="s">
        <v>200</v>
      </c>
      <c r="D323" s="9">
        <v>845.0</v>
      </c>
      <c r="E323" s="10"/>
      <c r="F323" s="12">
        <f>(E323/1000)*D323</f>
        <v>0</v>
      </c>
      <c r="G323" s="9"/>
      <c r="H323" s="9"/>
      <c r="I323" s="9"/>
      <c r="J323" s="11" t="s">
        <v>19</v>
      </c>
    </row>
    <row r="324" ht="14.25" customHeight="1">
      <c r="C324" s="8" t="s">
        <v>413</v>
      </c>
      <c r="D324" s="9">
        <v>50.0</v>
      </c>
      <c r="E324" s="10"/>
      <c r="F324" s="12"/>
      <c r="G324" s="9"/>
      <c r="H324" s="9"/>
      <c r="I324" s="9"/>
      <c r="J324" s="11"/>
    </row>
    <row r="325" ht="14.25" customHeight="1">
      <c r="C325" s="8" t="s">
        <v>414</v>
      </c>
      <c r="D325" s="9">
        <v>25.0</v>
      </c>
      <c r="E325" s="10"/>
      <c r="F325" s="12"/>
      <c r="G325" s="9"/>
      <c r="H325" s="9"/>
      <c r="I325" s="9"/>
      <c r="J325" s="11"/>
    </row>
    <row r="326" ht="14.25" customHeight="1">
      <c r="C326" s="8" t="s">
        <v>32</v>
      </c>
      <c r="D326" s="9">
        <v>30.0</v>
      </c>
      <c r="E326" s="10"/>
      <c r="F326" s="12"/>
      <c r="G326" s="9"/>
      <c r="H326" s="9"/>
      <c r="I326" s="9"/>
      <c r="J326" s="11"/>
    </row>
    <row r="327" ht="14.25" customHeight="1">
      <c r="C327" s="8" t="s">
        <v>415</v>
      </c>
      <c r="D327" s="9">
        <v>50.0</v>
      </c>
      <c r="E327" s="10"/>
      <c r="F327" s="12"/>
      <c r="G327" s="9"/>
      <c r="H327" s="9"/>
      <c r="I327" s="9"/>
      <c r="J327" s="11"/>
    </row>
    <row r="328" ht="14.25" customHeight="1">
      <c r="C328" s="8" t="s">
        <v>180</v>
      </c>
      <c r="D328" s="27">
        <v>0.02</v>
      </c>
      <c r="E328" s="10"/>
      <c r="F328" s="12"/>
      <c r="G328" s="9"/>
      <c r="H328" s="9"/>
      <c r="I328" s="9"/>
      <c r="J328" s="11"/>
    </row>
    <row r="329" ht="14.25" customHeight="1">
      <c r="C329" s="19"/>
      <c r="D329" s="20">
        <f>SUM(D323:D328)</f>
        <v>1000.02</v>
      </c>
      <c r="E329" s="21"/>
      <c r="F329" s="22">
        <f t="shared" ref="F329:I329" si="27">SUM(F323:F328)</f>
        <v>0</v>
      </c>
      <c r="G329" s="20">
        <f t="shared" si="27"/>
        <v>0</v>
      </c>
      <c r="H329" s="23">
        <f t="shared" si="27"/>
        <v>0</v>
      </c>
      <c r="I329" s="23">
        <f t="shared" si="27"/>
        <v>0</v>
      </c>
      <c r="J329" s="25"/>
    </row>
    <row r="330" ht="14.25" customHeight="1"/>
    <row r="331" ht="14.25" customHeight="1"/>
    <row r="332" ht="14.25" customHeight="1">
      <c r="C332" s="1" t="s">
        <v>416</v>
      </c>
      <c r="D332" s="2"/>
      <c r="E332" s="2"/>
      <c r="F332" s="2"/>
      <c r="G332" s="2"/>
      <c r="H332" s="2"/>
      <c r="I332" s="2"/>
      <c r="J332" s="3"/>
    </row>
    <row r="333" ht="14.25" customHeight="1">
      <c r="B333" s="4">
        <v>16.0</v>
      </c>
      <c r="C333" s="5" t="s">
        <v>4</v>
      </c>
      <c r="D333" s="6" t="s">
        <v>6</v>
      </c>
      <c r="E333" s="6" t="s">
        <v>7</v>
      </c>
      <c r="F333" s="6" t="s">
        <v>9</v>
      </c>
      <c r="G333" s="6"/>
      <c r="H333" s="6" t="s">
        <v>13</v>
      </c>
      <c r="I333" s="6" t="s">
        <v>14</v>
      </c>
      <c r="J333" s="7"/>
    </row>
    <row r="334" ht="14.25" customHeight="1">
      <c r="C334" s="8" t="s">
        <v>415</v>
      </c>
      <c r="D334" s="9">
        <v>620.0</v>
      </c>
      <c r="E334" s="10"/>
      <c r="F334" s="12">
        <f>(E334/1000)*D334</f>
        <v>0</v>
      </c>
      <c r="G334" s="9"/>
      <c r="H334" s="9"/>
      <c r="I334" s="9"/>
      <c r="J334" s="11" t="s">
        <v>19</v>
      </c>
    </row>
    <row r="335" ht="14.25" customHeight="1">
      <c r="C335" s="8" t="s">
        <v>32</v>
      </c>
      <c r="D335" s="9">
        <v>80.0</v>
      </c>
      <c r="E335" s="10"/>
      <c r="F335" s="12"/>
      <c r="G335" s="9"/>
      <c r="H335" s="9"/>
      <c r="I335" s="9"/>
      <c r="J335" s="11"/>
    </row>
    <row r="336" ht="14.25" customHeight="1">
      <c r="C336" s="8" t="s">
        <v>417</v>
      </c>
      <c r="D336" s="9">
        <v>2.0</v>
      </c>
      <c r="E336" s="10"/>
      <c r="F336" s="12"/>
      <c r="G336" s="9"/>
      <c r="H336" s="9"/>
      <c r="I336" s="9"/>
      <c r="J336" s="11"/>
    </row>
    <row r="337" ht="14.25" customHeight="1">
      <c r="C337" s="8" t="s">
        <v>392</v>
      </c>
      <c r="D337" s="9">
        <v>2.0</v>
      </c>
      <c r="E337" s="10"/>
      <c r="F337" s="12"/>
      <c r="G337" s="9"/>
      <c r="H337" s="9"/>
      <c r="I337" s="9"/>
      <c r="J337" s="11"/>
    </row>
    <row r="338" ht="14.25" customHeight="1">
      <c r="C338" s="8" t="s">
        <v>394</v>
      </c>
      <c r="D338" s="9">
        <v>2.0</v>
      </c>
      <c r="E338" s="10"/>
      <c r="F338" s="12"/>
      <c r="G338" s="9"/>
      <c r="H338" s="9"/>
      <c r="I338" s="9"/>
      <c r="J338" s="11"/>
    </row>
    <row r="339" ht="14.25" customHeight="1">
      <c r="C339" s="8" t="s">
        <v>414</v>
      </c>
      <c r="D339" s="9">
        <v>150.0</v>
      </c>
      <c r="E339" s="10"/>
      <c r="F339" s="12"/>
      <c r="G339" s="9"/>
      <c r="H339" s="9"/>
      <c r="I339" s="9"/>
      <c r="J339" s="11"/>
    </row>
    <row r="340" ht="14.25" customHeight="1">
      <c r="C340" s="8" t="s">
        <v>200</v>
      </c>
      <c r="D340" s="9">
        <v>144.0</v>
      </c>
      <c r="E340" s="10"/>
      <c r="F340" s="12"/>
      <c r="G340" s="9"/>
      <c r="H340" s="9"/>
      <c r="I340" s="9"/>
      <c r="J340" s="11"/>
    </row>
    <row r="341" ht="14.25" customHeight="1">
      <c r="C341" s="19"/>
      <c r="D341" s="20">
        <f>SUM(D334:D340)</f>
        <v>1000</v>
      </c>
      <c r="E341" s="21"/>
      <c r="F341" s="22">
        <f t="shared" ref="F341:I341" si="28">SUM(F334:F340)</f>
        <v>0</v>
      </c>
      <c r="G341" s="20">
        <f t="shared" si="28"/>
        <v>0</v>
      </c>
      <c r="H341" s="23">
        <f t="shared" si="28"/>
        <v>0</v>
      </c>
      <c r="I341" s="23">
        <f t="shared" si="28"/>
        <v>0</v>
      </c>
      <c r="J341" s="25"/>
    </row>
    <row r="342" ht="14.25" customHeight="1"/>
    <row r="343" ht="14.25" customHeight="1"/>
    <row r="344" ht="14.25" customHeight="1">
      <c r="C344" s="1" t="s">
        <v>418</v>
      </c>
      <c r="D344" s="2"/>
      <c r="E344" s="2"/>
      <c r="F344" s="2"/>
      <c r="G344" s="2"/>
      <c r="H344" s="2"/>
      <c r="I344" s="2"/>
      <c r="J344" s="3"/>
    </row>
    <row r="345" ht="14.25" customHeight="1">
      <c r="B345" s="4">
        <v>16.0</v>
      </c>
      <c r="C345" s="5" t="s">
        <v>4</v>
      </c>
      <c r="D345" s="6" t="s">
        <v>6</v>
      </c>
      <c r="E345" s="6" t="s">
        <v>7</v>
      </c>
      <c r="F345" s="6" t="s">
        <v>9</v>
      </c>
      <c r="G345" s="6"/>
      <c r="H345" s="6" t="s">
        <v>13</v>
      </c>
      <c r="I345" s="6" t="s">
        <v>14</v>
      </c>
      <c r="J345" s="7"/>
    </row>
    <row r="346" ht="14.25" customHeight="1">
      <c r="C346" s="8" t="s">
        <v>415</v>
      </c>
      <c r="D346" s="9">
        <v>620.0</v>
      </c>
      <c r="E346" s="10"/>
      <c r="F346" s="12">
        <f>(E346/1000)*D346</f>
        <v>0</v>
      </c>
      <c r="G346" s="9"/>
      <c r="H346" s="9"/>
      <c r="I346" s="9"/>
      <c r="J346" s="11" t="s">
        <v>19</v>
      </c>
    </row>
    <row r="347" ht="14.25" customHeight="1">
      <c r="C347" s="8" t="s">
        <v>32</v>
      </c>
      <c r="D347" s="9">
        <v>80.0</v>
      </c>
      <c r="E347" s="10"/>
      <c r="F347" s="12"/>
      <c r="G347" s="9"/>
      <c r="H347" s="9"/>
      <c r="I347" s="9"/>
      <c r="J347" s="11"/>
    </row>
    <row r="348" ht="14.25" customHeight="1">
      <c r="C348" s="8" t="s">
        <v>417</v>
      </c>
      <c r="D348" s="9">
        <v>2.0</v>
      </c>
      <c r="E348" s="10"/>
      <c r="F348" s="12"/>
      <c r="G348" s="9"/>
      <c r="H348" s="9"/>
      <c r="I348" s="9"/>
      <c r="J348" s="11"/>
    </row>
    <row r="349" ht="14.25" customHeight="1">
      <c r="C349" s="8" t="s">
        <v>392</v>
      </c>
      <c r="D349" s="9">
        <v>2.0</v>
      </c>
      <c r="E349" s="10"/>
      <c r="F349" s="12"/>
      <c r="G349" s="9"/>
      <c r="H349" s="9"/>
      <c r="I349" s="9"/>
      <c r="J349" s="11"/>
    </row>
    <row r="350" ht="14.25" customHeight="1">
      <c r="C350" s="8" t="s">
        <v>394</v>
      </c>
      <c r="D350" s="9">
        <v>2.0</v>
      </c>
      <c r="E350" s="10"/>
      <c r="F350" s="12"/>
      <c r="G350" s="9"/>
      <c r="H350" s="9"/>
      <c r="I350" s="9"/>
      <c r="J350" s="11"/>
    </row>
    <row r="351" ht="14.25" customHeight="1">
      <c r="C351" s="8" t="s">
        <v>414</v>
      </c>
      <c r="D351" s="9">
        <v>150.0</v>
      </c>
      <c r="E351" s="10"/>
      <c r="F351" s="12"/>
      <c r="G351" s="9"/>
      <c r="H351" s="9"/>
      <c r="I351" s="9"/>
      <c r="J351" s="11"/>
    </row>
    <row r="352" ht="14.25" customHeight="1">
      <c r="C352" s="8" t="s">
        <v>200</v>
      </c>
      <c r="D352" s="9">
        <v>144.0</v>
      </c>
      <c r="E352" s="10"/>
      <c r="F352" s="12"/>
      <c r="G352" s="9"/>
      <c r="H352" s="9"/>
      <c r="I352" s="9"/>
      <c r="J352" s="11"/>
    </row>
    <row r="353" ht="14.25" customHeight="1">
      <c r="C353" s="19"/>
      <c r="D353" s="20">
        <f>SUM(D346:D352)</f>
        <v>1000</v>
      </c>
      <c r="E353" s="21"/>
      <c r="F353" s="22">
        <f t="shared" ref="F353:I353" si="29">SUM(F346:F352)</f>
        <v>0</v>
      </c>
      <c r="G353" s="20">
        <f t="shared" si="29"/>
        <v>0</v>
      </c>
      <c r="H353" s="23">
        <f t="shared" si="29"/>
        <v>0</v>
      </c>
      <c r="I353" s="23">
        <f t="shared" si="29"/>
        <v>0</v>
      </c>
      <c r="J353" s="25"/>
    </row>
    <row r="354" ht="14.25" customHeight="1"/>
    <row r="355" ht="14.25" customHeight="1"/>
    <row r="356" ht="14.25" customHeight="1">
      <c r="C356" s="80" t="s">
        <v>419</v>
      </c>
      <c r="D356" s="2"/>
      <c r="E356" s="2"/>
      <c r="F356" s="2"/>
      <c r="G356" s="2"/>
      <c r="H356" s="2"/>
      <c r="I356" s="2"/>
      <c r="J356" s="3"/>
    </row>
    <row r="357" ht="56.25" customHeight="1">
      <c r="B357" s="4">
        <v>16.0</v>
      </c>
      <c r="C357" s="5" t="s">
        <v>4</v>
      </c>
      <c r="D357" s="6" t="s">
        <v>6</v>
      </c>
      <c r="E357" s="6" t="s">
        <v>7</v>
      </c>
      <c r="F357" s="6" t="s">
        <v>9</v>
      </c>
      <c r="G357" s="6"/>
      <c r="H357" s="6" t="s">
        <v>13</v>
      </c>
      <c r="I357" s="6" t="s">
        <v>14</v>
      </c>
      <c r="J357" s="7"/>
    </row>
    <row r="358" ht="14.25" customHeight="1">
      <c r="C358" s="8" t="s">
        <v>415</v>
      </c>
      <c r="D358" s="82">
        <v>875.0</v>
      </c>
      <c r="E358" s="10"/>
      <c r="F358" s="12">
        <f>(E358/1000)*D358</f>
        <v>0</v>
      </c>
      <c r="G358" s="9"/>
      <c r="H358" s="9"/>
      <c r="I358" s="9"/>
      <c r="J358" s="11" t="s">
        <v>19</v>
      </c>
    </row>
    <row r="359" ht="14.25" customHeight="1">
      <c r="C359" s="89" t="s">
        <v>307</v>
      </c>
      <c r="D359" s="82">
        <v>10.0</v>
      </c>
      <c r="E359" s="10"/>
      <c r="F359" s="12"/>
      <c r="G359" s="9"/>
      <c r="H359" s="9"/>
      <c r="I359" s="9"/>
      <c r="J359" s="11"/>
    </row>
    <row r="360" ht="14.25" customHeight="1">
      <c r="C360" s="89" t="s">
        <v>57</v>
      </c>
      <c r="D360" s="82">
        <v>10.0</v>
      </c>
      <c r="E360" s="10"/>
      <c r="F360" s="12"/>
      <c r="G360" s="9"/>
      <c r="H360" s="9"/>
      <c r="I360" s="9"/>
      <c r="J360" s="11"/>
    </row>
    <row r="361" ht="14.25" customHeight="1">
      <c r="C361" s="89" t="s">
        <v>135</v>
      </c>
      <c r="D361" s="82">
        <v>5.0</v>
      </c>
      <c r="E361" s="10"/>
      <c r="F361" s="12"/>
      <c r="G361" s="9"/>
      <c r="H361" s="9"/>
      <c r="I361" s="9"/>
      <c r="J361" s="11"/>
    </row>
    <row r="362" ht="14.25" customHeight="1">
      <c r="C362" s="89" t="s">
        <v>200</v>
      </c>
      <c r="D362" s="82">
        <v>100.0</v>
      </c>
      <c r="E362" s="10"/>
      <c r="F362" s="12"/>
      <c r="G362" s="9"/>
      <c r="H362" s="9"/>
      <c r="I362" s="9"/>
      <c r="J362" s="11"/>
    </row>
    <row r="363" ht="14.25" customHeight="1">
      <c r="C363" s="19"/>
      <c r="D363" s="20">
        <f>SUM(D358:D362)</f>
        <v>1000</v>
      </c>
      <c r="E363" s="21"/>
      <c r="F363" s="22">
        <f t="shared" ref="F363:I363" si="30">SUM(F358:F362)</f>
        <v>0</v>
      </c>
      <c r="G363" s="20">
        <f t="shared" si="30"/>
        <v>0</v>
      </c>
      <c r="H363" s="23">
        <f t="shared" si="30"/>
        <v>0</v>
      </c>
      <c r="I363" s="23">
        <f t="shared" si="30"/>
        <v>0</v>
      </c>
      <c r="J363" s="25"/>
    </row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29">
    <mergeCell ref="C3:J3"/>
    <mergeCell ref="C21:J21"/>
    <mergeCell ref="C34:J34"/>
    <mergeCell ref="C48:J48"/>
    <mergeCell ref="C62:J62"/>
    <mergeCell ref="C65:J65"/>
    <mergeCell ref="C74:J74"/>
    <mergeCell ref="C84:J84"/>
    <mergeCell ref="C102:J102"/>
    <mergeCell ref="C115:J115"/>
    <mergeCell ref="C125:J125"/>
    <mergeCell ref="C141:J141"/>
    <mergeCell ref="C158:J158"/>
    <mergeCell ref="C175:J175"/>
    <mergeCell ref="C272:J272"/>
    <mergeCell ref="C280:J280"/>
    <mergeCell ref="C294:J294"/>
    <mergeCell ref="C304:J304"/>
    <mergeCell ref="C321:J321"/>
    <mergeCell ref="C332:J332"/>
    <mergeCell ref="C344:J344"/>
    <mergeCell ref="C356:J356"/>
    <mergeCell ref="C186:J186"/>
    <mergeCell ref="C204:J204"/>
    <mergeCell ref="C211:J211"/>
    <mergeCell ref="C226:J226"/>
    <mergeCell ref="C241:J241"/>
    <mergeCell ref="C253:J253"/>
    <mergeCell ref="C263:J26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4.43"/>
    <col customWidth="1" min="4" max="26" width="10.71"/>
  </cols>
  <sheetData>
    <row r="1" ht="14.25" customHeight="1"/>
    <row r="2" ht="14.25" customHeight="1"/>
    <row r="3" ht="14.25" customHeight="1">
      <c r="C3" s="1" t="s">
        <v>292</v>
      </c>
      <c r="D3" s="2"/>
      <c r="E3" s="2"/>
      <c r="F3" s="2"/>
      <c r="G3" s="2"/>
      <c r="H3" s="2"/>
      <c r="I3" s="2"/>
      <c r="J3" s="3"/>
    </row>
    <row r="4" ht="14.25" customHeight="1">
      <c r="B4" s="4">
        <v>4.0</v>
      </c>
      <c r="C4" s="5" t="s">
        <v>4</v>
      </c>
      <c r="D4" s="6" t="s">
        <v>5</v>
      </c>
      <c r="E4" s="6" t="s">
        <v>8</v>
      </c>
      <c r="F4" s="6" t="s">
        <v>74</v>
      </c>
      <c r="G4" s="6" t="s">
        <v>294</v>
      </c>
      <c r="H4" s="6" t="s">
        <v>12</v>
      </c>
      <c r="I4" s="6" t="s">
        <v>76</v>
      </c>
      <c r="J4" s="7"/>
    </row>
    <row r="5" ht="14.25" customHeight="1">
      <c r="C5" s="8" t="s">
        <v>296</v>
      </c>
      <c r="D5" s="10">
        <v>100.0</v>
      </c>
      <c r="E5" s="10"/>
      <c r="F5" s="12">
        <f t="shared" ref="F5:F16" si="1">(E5/1000)*D5</f>
        <v>0</v>
      </c>
      <c r="G5" s="9"/>
      <c r="H5" s="9"/>
      <c r="I5" s="9"/>
      <c r="J5" s="11" t="s">
        <v>19</v>
      </c>
    </row>
    <row r="6" ht="14.25" customHeight="1">
      <c r="C6" s="8" t="s">
        <v>298</v>
      </c>
      <c r="D6" s="10">
        <v>1.0</v>
      </c>
      <c r="E6" s="10"/>
      <c r="F6" s="12">
        <f t="shared" si="1"/>
        <v>0</v>
      </c>
      <c r="G6" s="9"/>
      <c r="H6" s="9"/>
      <c r="I6" s="9"/>
      <c r="J6" s="11"/>
    </row>
    <row r="7" ht="14.25" customHeight="1">
      <c r="C7" s="8" t="s">
        <v>300</v>
      </c>
      <c r="D7" s="10">
        <v>10.0</v>
      </c>
      <c r="E7" s="10"/>
      <c r="F7" s="12">
        <f t="shared" si="1"/>
        <v>0</v>
      </c>
      <c r="G7" s="9"/>
      <c r="H7" s="9"/>
      <c r="I7" s="9"/>
      <c r="J7" s="11"/>
    </row>
    <row r="8" ht="14.25" customHeight="1">
      <c r="C8" s="13" t="s">
        <v>251</v>
      </c>
      <c r="D8" s="10">
        <v>50.0</v>
      </c>
      <c r="E8" s="10"/>
      <c r="F8" s="12">
        <f t="shared" si="1"/>
        <v>0</v>
      </c>
      <c r="G8" s="9"/>
      <c r="H8" s="9"/>
      <c r="I8" s="9"/>
      <c r="J8" s="11"/>
    </row>
    <row r="9" ht="14.25" customHeight="1">
      <c r="C9" s="13" t="s">
        <v>185</v>
      </c>
      <c r="D9" s="10">
        <v>0.5</v>
      </c>
      <c r="E9" s="10"/>
      <c r="F9" s="12">
        <f t="shared" si="1"/>
        <v>0</v>
      </c>
      <c r="G9" s="9"/>
      <c r="H9" s="9"/>
      <c r="I9" s="9"/>
      <c r="J9" s="11"/>
    </row>
    <row r="10" ht="14.25" customHeight="1">
      <c r="C10" s="8" t="s">
        <v>304</v>
      </c>
      <c r="D10" s="9">
        <v>20.0</v>
      </c>
      <c r="E10" s="9"/>
      <c r="F10" s="12">
        <f t="shared" si="1"/>
        <v>0</v>
      </c>
      <c r="G10" s="9"/>
      <c r="H10" s="9"/>
      <c r="I10" s="9"/>
      <c r="J10" s="11" t="s">
        <v>19</v>
      </c>
    </row>
    <row r="11" ht="14.25" customHeight="1">
      <c r="C11" s="8" t="s">
        <v>84</v>
      </c>
      <c r="D11" s="9">
        <v>1.0</v>
      </c>
      <c r="E11" s="9"/>
      <c r="F11" s="12">
        <f t="shared" si="1"/>
        <v>0</v>
      </c>
      <c r="G11" s="9"/>
      <c r="H11" s="9"/>
      <c r="I11" s="9"/>
      <c r="J11" s="11"/>
    </row>
    <row r="12" ht="14.25" customHeight="1">
      <c r="C12" s="8" t="s">
        <v>109</v>
      </c>
      <c r="D12" s="9">
        <v>5.0</v>
      </c>
      <c r="E12" s="9"/>
      <c r="F12" s="12">
        <f t="shared" si="1"/>
        <v>0</v>
      </c>
      <c r="G12" s="9"/>
      <c r="H12" s="9"/>
      <c r="I12" s="9"/>
      <c r="J12" s="11"/>
    </row>
    <row r="13" ht="14.25" customHeight="1">
      <c r="C13" s="8" t="s">
        <v>312</v>
      </c>
      <c r="D13" s="9">
        <v>5.0</v>
      </c>
      <c r="E13" s="9"/>
      <c r="F13" s="12">
        <f t="shared" si="1"/>
        <v>0</v>
      </c>
      <c r="G13" s="9"/>
      <c r="H13" s="9"/>
      <c r="I13" s="9"/>
      <c r="J13" s="11"/>
    </row>
    <row r="14" ht="14.25" customHeight="1">
      <c r="C14" s="8" t="s">
        <v>315</v>
      </c>
      <c r="D14" s="9">
        <v>5.0</v>
      </c>
      <c r="E14" s="9"/>
      <c r="F14" s="12">
        <f t="shared" si="1"/>
        <v>0</v>
      </c>
      <c r="G14" s="9"/>
      <c r="H14" s="9"/>
      <c r="I14" s="9"/>
      <c r="J14" s="11" t="s">
        <v>19</v>
      </c>
    </row>
    <row r="15" ht="14.25" customHeight="1">
      <c r="C15" s="13" t="s">
        <v>187</v>
      </c>
      <c r="D15" s="9">
        <v>5.0</v>
      </c>
      <c r="E15" s="9"/>
      <c r="F15" s="12">
        <f t="shared" si="1"/>
        <v>0</v>
      </c>
      <c r="G15" s="9"/>
      <c r="H15" s="9"/>
      <c r="I15" s="9"/>
      <c r="J15" s="8"/>
    </row>
    <row r="16" ht="14.25" customHeight="1">
      <c r="C16" s="13" t="s">
        <v>200</v>
      </c>
      <c r="D16" s="9">
        <v>797.0</v>
      </c>
      <c r="E16" s="9"/>
      <c r="F16" s="12">
        <f t="shared" si="1"/>
        <v>0</v>
      </c>
      <c r="G16" s="9"/>
      <c r="H16" s="9"/>
      <c r="I16" s="9"/>
      <c r="J16" s="8"/>
    </row>
    <row r="17" ht="14.25" customHeight="1">
      <c r="C17" s="19"/>
      <c r="D17" s="20">
        <f>SUM(D5:D16)</f>
        <v>999.5</v>
      </c>
      <c r="E17" s="21"/>
      <c r="F17" s="22">
        <f t="shared" ref="F17:I17" si="2">SUM(F5:F16)</f>
        <v>0</v>
      </c>
      <c r="G17" s="20">
        <f t="shared" si="2"/>
        <v>0</v>
      </c>
      <c r="H17" s="23">
        <f t="shared" si="2"/>
        <v>0</v>
      </c>
      <c r="I17" s="23">
        <f t="shared" si="2"/>
        <v>0</v>
      </c>
      <c r="J17" s="26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3:J3"/>
  </mergeCells>
  <printOptions/>
  <pageMargins bottom="0.75" footer="0.0" header="0.0" left="0.7" right="0.7" top="0.75"/>
  <pageSetup orientation="landscape"/>
  <drawing r:id="rId1"/>
</worksheet>
</file>