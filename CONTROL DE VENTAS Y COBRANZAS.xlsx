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. Vtas y Cobranzas" sheetId="1" r:id="rId4"/>
  </sheets>
  <definedNames/>
  <calcPr/>
  <extLst>
    <ext uri="GoogleSheetsCustomDataVersion2">
      <go:sheetsCustomData xmlns:go="http://customooxmlschemas.google.com/" r:id="rId5" roundtripDataChecksum="rsDHa+cRIJfSvPdM2H8C3j5ME22OhDqv2zCFKfJSei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6">
      <text>
        <t xml:space="preserve">======
ID#AAACE9qwhmg
Condición    (2026-08-07 14:50:14)
Contado
Crédito 07 días
Crédito 15 Dias
Crédito 30 días</t>
      </text>
    </comment>
    <comment authorId="0" ref="O6">
      <text>
        <t xml:space="preserve">======
ID#AAACE9qwhms
Estado    (2026-08-07 14:50:14)
Pendiente
Pagado</t>
      </text>
    </comment>
    <comment authorId="0" ref="Q6">
      <text>
        <t xml:space="preserve">======
ID#AAACE9qwhmk
Medio    (2026-08-07 14:50:14)
Depósito en Cuenta
Efectivo
Yape / Plin
Otros (Detallar)</t>
      </text>
    </comment>
    <comment authorId="0" ref="B6">
      <text>
        <t xml:space="preserve">======
ID#AAACFWfNkXA
Administracion    (2026-08-07 22:08:59)
Código Maestro de Operación</t>
      </text>
    </comment>
    <comment authorId="0" ref="R6">
      <text>
        <t xml:space="preserve">======
ID#AAACE9qwhmo
Canal    (2026-08-07 14:50:14)
BCP
Interbank
Otros</t>
      </text>
    </comment>
  </commentList>
  <extLst>
    <ext uri="GoogleSheetsCustomDataVersion2">
      <go:sheetsCustomData xmlns:go="http://customooxmlschemas.google.com/" r:id="rId1" roundtripDataSignature="AMtx7mjR+CI6MiTfzyYyshIi+cU9U1Beqg=="/>
    </ext>
  </extLst>
</comments>
</file>

<file path=xl/sharedStrings.xml><?xml version="1.0" encoding="utf-8"?>
<sst xmlns="http://schemas.openxmlformats.org/spreadsheetml/2006/main" count="761" uniqueCount="281">
  <si>
    <t>QUIMICORP PERU S.A.C.</t>
  </si>
  <si>
    <t>REPORTE DIARIO DE VENTAS</t>
  </si>
  <si>
    <t>Detalle de Ventas Del Día</t>
  </si>
  <si>
    <t>Fecha</t>
  </si>
  <si>
    <t>CMO</t>
  </si>
  <si>
    <t>Comprobante</t>
  </si>
  <si>
    <t>Cantidad</t>
  </si>
  <si>
    <t>Medida</t>
  </si>
  <si>
    <t>Producto</t>
  </si>
  <si>
    <t>P. Unit</t>
  </si>
  <si>
    <t>B. Imponible</t>
  </si>
  <si>
    <t>Total</t>
  </si>
  <si>
    <t>RUC</t>
  </si>
  <si>
    <t>Cliente</t>
  </si>
  <si>
    <t>Familia</t>
  </si>
  <si>
    <t>Orden de Producción Asociada</t>
  </si>
  <si>
    <t>Condición</t>
  </si>
  <si>
    <t>Estado</t>
  </si>
  <si>
    <t>Fecha Pago</t>
  </si>
  <si>
    <t>Medio</t>
  </si>
  <si>
    <t>Canal</t>
  </si>
  <si>
    <t>2026-08-03</t>
  </si>
  <si>
    <t>E001-180</t>
  </si>
  <si>
    <t>KILOGRAMOS</t>
  </si>
  <si>
    <t>SRM PPT PROP AUT</t>
  </si>
  <si>
    <t>20612434124</t>
  </si>
  <si>
    <t>ALFALION INVESTMENT S.A.C.</t>
  </si>
  <si>
    <t>OP-20260803-01</t>
  </si>
  <si>
    <t>Contado</t>
  </si>
  <si>
    <t>Pagado</t>
  </si>
  <si>
    <t>Deposito en cuenta</t>
  </si>
  <si>
    <t>Interbank</t>
  </si>
  <si>
    <t>2026-08-05</t>
  </si>
  <si>
    <t>E001-181</t>
  </si>
  <si>
    <t>SRM ALO AUTOM</t>
  </si>
  <si>
    <t>20615778207</t>
  </si>
  <si>
    <t>NEXARA CORP S.A.C.</t>
  </si>
  <si>
    <t>OP-20260803-06</t>
  </si>
  <si>
    <t>2026-08-01</t>
  </si>
  <si>
    <t>EB01-100</t>
  </si>
  <si>
    <t>LITROS</t>
  </si>
  <si>
    <t>PARFUM FRM AMT LUCKY</t>
  </si>
  <si>
    <t>48558540</t>
  </si>
  <si>
    <t>RORY ALFREDO SERPA FLORES</t>
  </si>
  <si>
    <t>OP-20260803-03</t>
  </si>
  <si>
    <t>2026-08-08</t>
  </si>
  <si>
    <t>E001-182</t>
  </si>
  <si>
    <t>CREMA ACLD AUT</t>
  </si>
  <si>
    <t>OP-20260804-03</t>
  </si>
  <si>
    <t>2026-08-10</t>
  </si>
  <si>
    <t>E001-183</t>
  </si>
  <si>
    <t>DESOD SPRY CHL AUT</t>
  </si>
  <si>
    <t>20614181444</t>
  </si>
  <si>
    <t>IMPORT MERAKI HOGAR S.A.C.</t>
  </si>
  <si>
    <t>OP-20260804-01</t>
  </si>
  <si>
    <t>2026-08-09</t>
  </si>
  <si>
    <t>DESOD SPRY AUT</t>
  </si>
  <si>
    <t>OP-20260804-02</t>
  </si>
  <si>
    <t>EB01-101</t>
  </si>
  <si>
    <t>LIQ RTD AUT</t>
  </si>
  <si>
    <t>75129824</t>
  </si>
  <si>
    <t>JHON ERIC AVILA RAMIREZ</t>
  </si>
  <si>
    <t>OP-20260803-02</t>
  </si>
  <si>
    <t>2026-08-06</t>
  </si>
  <si>
    <t>E001-184</t>
  </si>
  <si>
    <t>SPRY VRR MEUM</t>
  </si>
  <si>
    <t>FENIX G EXPRESS S.A.C.</t>
  </si>
  <si>
    <t>OP-20260803-04</t>
  </si>
  <si>
    <t xml:space="preserve">Credito 07 dias </t>
  </si>
  <si>
    <t>2026-08-07</t>
  </si>
  <si>
    <t>ANTI BAC SPR HONGOS</t>
  </si>
  <si>
    <t>OP-20260803-05</t>
  </si>
  <si>
    <t>E001-185</t>
  </si>
  <si>
    <t>CREAM HDT CRO</t>
  </si>
  <si>
    <t>20613225995</t>
  </si>
  <si>
    <t>GARB CORP PERU S.A.C.</t>
  </si>
  <si>
    <t>OP-20260710-03</t>
  </si>
  <si>
    <t>Pendiente</t>
  </si>
  <si>
    <t>E001-186</t>
  </si>
  <si>
    <t>CREAM MUSC MG AUT</t>
  </si>
  <si>
    <t>20612838489</t>
  </si>
  <si>
    <t>GRUPO DEUS S.A.C.</t>
  </si>
  <si>
    <t>OP-20260801-01</t>
  </si>
  <si>
    <t>E001-188</t>
  </si>
  <si>
    <t>10751305511</t>
  </si>
  <si>
    <t xml:space="preserve"> GARABITO SAMANIEGO
JONATAN MARTIN</t>
  </si>
  <si>
    <t>OP-20260804-04</t>
  </si>
  <si>
    <t>E001-189</t>
  </si>
  <si>
    <t>CREAM VRC AUT</t>
  </si>
  <si>
    <t>OP-20260807-01</t>
  </si>
  <si>
    <t>CREAM MUSC AUT</t>
  </si>
  <si>
    <t>OP-20260807-02</t>
  </si>
  <si>
    <t>2026-08-13</t>
  </si>
  <si>
    <t>E001-190</t>
  </si>
  <si>
    <t>CREAM LBS CUERO</t>
  </si>
  <si>
    <t>OP-20260807-03</t>
  </si>
  <si>
    <t>2026-08-19</t>
  </si>
  <si>
    <t>E001-191</t>
  </si>
  <si>
    <t>DESOD CREAM AUT</t>
  </si>
  <si>
    <t>OP-20260807-05</t>
  </si>
  <si>
    <t>2026-08-12</t>
  </si>
  <si>
    <t>EB01-102</t>
  </si>
  <si>
    <t>GEL MUSC AUT</t>
  </si>
  <si>
    <t>77231684</t>
  </si>
  <si>
    <t>DAVID JUNIOR SARMIENTO
CARDENAS</t>
  </si>
  <si>
    <t>OP-20260805-01</t>
  </si>
  <si>
    <t>EB01-103</t>
  </si>
  <si>
    <t>CREAM NEUR AUT</t>
  </si>
  <si>
    <t>70042804</t>
  </si>
  <si>
    <t>RENZO MARCELO SALSAVILCA ESTRADA</t>
  </si>
  <si>
    <t>OP0008</t>
  </si>
  <si>
    <t>2026-08-14</t>
  </si>
  <si>
    <t>E001-192</t>
  </si>
  <si>
    <t>SRM VRR OP MEUM</t>
  </si>
  <si>
    <t>2026-08-26</t>
  </si>
  <si>
    <t>E001-193</t>
  </si>
  <si>
    <t>IMPERMEABILIZANTE</t>
  </si>
  <si>
    <t>OP-20260810-03</t>
  </si>
  <si>
    <t>2026-08-27</t>
  </si>
  <si>
    <t>E001-194</t>
  </si>
  <si>
    <t>OP-20260810-04</t>
  </si>
  <si>
    <t>2026-08-30</t>
  </si>
  <si>
    <t>EB01-104</t>
  </si>
  <si>
    <t>OP-20260811-01</t>
  </si>
  <si>
    <t>OP-20260811-02</t>
  </si>
  <si>
    <t>2026-08-21</t>
  </si>
  <si>
    <t>EB01-105</t>
  </si>
  <si>
    <t>UNIDAD</t>
  </si>
  <si>
    <t>AUT DRM BEE</t>
  </si>
  <si>
    <t>OP-20260808-01</t>
  </si>
  <si>
    <t>2026-08-20</t>
  </si>
  <si>
    <t>E001-195</t>
  </si>
  <si>
    <t>SRM PES BIO</t>
  </si>
  <si>
    <t>10711935725</t>
  </si>
  <si>
    <t>CARLA PATRICIA RIVERA RAMOS</t>
  </si>
  <si>
    <t>OP-20260811-04</t>
  </si>
  <si>
    <t>BALDE DE 20 KG</t>
  </si>
  <si>
    <t>2026-08-34</t>
  </si>
  <si>
    <t>E001-196</t>
  </si>
  <si>
    <t>OP-20260811-08</t>
  </si>
  <si>
    <t>2026-08-37</t>
  </si>
  <si>
    <t>EB01-106</t>
  </si>
  <si>
    <t>OP-20260811-09</t>
  </si>
  <si>
    <t>2026-08-36</t>
  </si>
  <si>
    <t>E001-197</t>
  </si>
  <si>
    <t>SRM RENOV CRO</t>
  </si>
  <si>
    <t>OP-20260811-11</t>
  </si>
  <si>
    <t>2026-08-35</t>
  </si>
  <si>
    <t>E001-198</t>
  </si>
  <si>
    <t>LCN TOP CREAM AUTOM</t>
  </si>
  <si>
    <t>OP-20260811-10</t>
  </si>
  <si>
    <t>2026-08-25</t>
  </si>
  <si>
    <t>E001-199</t>
  </si>
  <si>
    <t>CRM MNDX AUT</t>
  </si>
  <si>
    <t>OP-20260810-02</t>
  </si>
  <si>
    <t>2026-08-39</t>
  </si>
  <si>
    <t>E001-200</t>
  </si>
  <si>
    <t>CRM BEE AUT</t>
  </si>
  <si>
    <t>20613316184</t>
  </si>
  <si>
    <t>OP-20260812-02</t>
  </si>
  <si>
    <t>2026-08-40</t>
  </si>
  <si>
    <t>E001-201</t>
  </si>
  <si>
    <t>CREAM MUSC</t>
  </si>
  <si>
    <t>OP-20260813-01</t>
  </si>
  <si>
    <t>2026-08-41</t>
  </si>
  <si>
    <t>E001-202</t>
  </si>
  <si>
    <t>OP-20260813-02</t>
  </si>
  <si>
    <t>2026-08-38</t>
  </si>
  <si>
    <t>E001-203</t>
  </si>
  <si>
    <t>OP-20260812-01</t>
  </si>
  <si>
    <t>2026-08-33</t>
  </si>
  <si>
    <t>EB01-107</t>
  </si>
  <si>
    <t>CREAM TENS A.H. AUT</t>
  </si>
  <si>
    <t>73940637</t>
  </si>
  <si>
    <t>JHON ROBERT CCANTO PEREZ</t>
  </si>
  <si>
    <t>OP-20260811-06</t>
  </si>
  <si>
    <t>Credito 20 días</t>
  </si>
  <si>
    <t>CREAM HMRR AUT</t>
  </si>
  <si>
    <t>OP-20260811-05</t>
  </si>
  <si>
    <t>GEL MUS AUT</t>
  </si>
  <si>
    <t>OP-20260811-07</t>
  </si>
  <si>
    <t>2026-08-46</t>
  </si>
  <si>
    <t>E001-204</t>
  </si>
  <si>
    <t>OP-20260813-07</t>
  </si>
  <si>
    <t>2026-08-43</t>
  </si>
  <si>
    <t>E001-205</t>
  </si>
  <si>
    <t>OP-20260813-03</t>
  </si>
  <si>
    <t>2026-08-48</t>
  </si>
  <si>
    <t>E001-206</t>
  </si>
  <si>
    <t>OP-20260813-05</t>
  </si>
  <si>
    <t>2026-08-45</t>
  </si>
  <si>
    <t>E001-207</t>
  </si>
  <si>
    <t>PARFUM AROM AUTOMOT</t>
  </si>
  <si>
    <t>OP-20260813-08</t>
  </si>
  <si>
    <t>2026-08-50</t>
  </si>
  <si>
    <t>E001-208</t>
  </si>
  <si>
    <t>CREAM BLOQ ABRILL AUT</t>
  </si>
  <si>
    <t>OP-20260814-01</t>
  </si>
  <si>
    <t>2026-08-54</t>
  </si>
  <si>
    <t>E001-209</t>
  </si>
  <si>
    <t>OP-20260815-01</t>
  </si>
  <si>
    <t>2026-08-51</t>
  </si>
  <si>
    <t>EB01-108</t>
  </si>
  <si>
    <t>CREAM ART AUT</t>
  </si>
  <si>
    <t>OP-20260814-02</t>
  </si>
  <si>
    <t>EB01-109</t>
  </si>
  <si>
    <t>42816216</t>
  </si>
  <si>
    <t>JUAN PABLO CASSANA RAMON</t>
  </si>
  <si>
    <t>OP-20260811-03</t>
  </si>
  <si>
    <t>2026-08-58</t>
  </si>
  <si>
    <t>E001-210</t>
  </si>
  <si>
    <t xml:space="preserve">CRM HDT CENT Y HIAL AUTOM </t>
  </si>
  <si>
    <t>OP-20260817-01</t>
  </si>
  <si>
    <t>2026-08-64</t>
  </si>
  <si>
    <t>E001-211</t>
  </si>
  <si>
    <t>2026-08-60</t>
  </si>
  <si>
    <t>E001-212</t>
  </si>
  <si>
    <t>STK CKTS AUTOM</t>
  </si>
  <si>
    <t>OP-20260818-02</t>
  </si>
  <si>
    <t>2026-08-56</t>
  </si>
  <si>
    <t>E001-213</t>
  </si>
  <si>
    <t>JBON LIQ TBNF AUTOM</t>
  </si>
  <si>
    <t>OP-20260817-03</t>
  </si>
  <si>
    <t>2026-08-22</t>
  </si>
  <si>
    <t>EB01-118</t>
  </si>
  <si>
    <t>CREMA MUSC AUT</t>
  </si>
  <si>
    <t>OP-20260817-02</t>
  </si>
  <si>
    <t>EB01-119</t>
  </si>
  <si>
    <t>EB01-120</t>
  </si>
  <si>
    <t>EB01-121</t>
  </si>
  <si>
    <t>EB01-122</t>
  </si>
  <si>
    <t>EB01-123</t>
  </si>
  <si>
    <t>EB01-124</t>
  </si>
  <si>
    <t>EB01-125</t>
  </si>
  <si>
    <t>EB01-126</t>
  </si>
  <si>
    <t>2026-08-62</t>
  </si>
  <si>
    <t>EB01-127</t>
  </si>
  <si>
    <t>GEL CSM INT. AUTOM</t>
  </si>
  <si>
    <t>72768719</t>
  </si>
  <si>
    <t xml:space="preserve">RENZO ADRIAN AVILA GUTIERREZ </t>
  </si>
  <si>
    <t>OP-20260818-03</t>
  </si>
  <si>
    <t>2026-08-67</t>
  </si>
  <si>
    <t>E001-214</t>
  </si>
  <si>
    <t>ACEITE CRP AUT</t>
  </si>
  <si>
    <t>OP-20260819-03</t>
  </si>
  <si>
    <t>2026-08-68</t>
  </si>
  <si>
    <t xml:space="preserve"> SPR ANT DE AUTOMOTRIZ</t>
  </si>
  <si>
    <t>20612434125</t>
  </si>
  <si>
    <t>OP-20260819-04</t>
  </si>
  <si>
    <t>2026-08-61</t>
  </si>
  <si>
    <t>E001-215</t>
  </si>
  <si>
    <t>DIAMANTEX</t>
  </si>
  <si>
    <t xml:space="preserve"> 20612436062 </t>
  </si>
  <si>
    <t xml:space="preserve">STARHOME PERU S.A.C.  </t>
  </si>
  <si>
    <t>OP-20260818-01</t>
  </si>
  <si>
    <t xml:space="preserve">Credito 15 dias </t>
  </si>
  <si>
    <t>2026-08-69</t>
  </si>
  <si>
    <t>EB01-128</t>
  </si>
  <si>
    <t>GEL RTD AUT</t>
  </si>
  <si>
    <t xml:space="preserve">RORY ALFREDO SERPA FLORES </t>
  </si>
  <si>
    <t>OP-20260819-05</t>
  </si>
  <si>
    <t>2026-08-66</t>
  </si>
  <si>
    <t>E001-216</t>
  </si>
  <si>
    <t>OP-20260819-01</t>
  </si>
  <si>
    <t>E001 -217</t>
  </si>
  <si>
    <t>SHAMP CREC AUT</t>
  </si>
  <si>
    <t xml:space="preserve">20611510315 </t>
  </si>
  <si>
    <t xml:space="preserve">MULTIPLAZA PERU S.A.C. </t>
  </si>
  <si>
    <t>Credito 60 días</t>
  </si>
  <si>
    <t>VARONEX ART</t>
  </si>
  <si>
    <t>MULTIPLAZA PERU S.A.C.</t>
  </si>
  <si>
    <t>2026-08-72</t>
  </si>
  <si>
    <t>E001 -218</t>
  </si>
  <si>
    <t>OP-20260821-01</t>
  </si>
  <si>
    <t>2026-08-73</t>
  </si>
  <si>
    <t>E001 -219</t>
  </si>
  <si>
    <t>OP-20260822-02</t>
  </si>
  <si>
    <t>2026-08-71</t>
  </si>
  <si>
    <t>E001 -220</t>
  </si>
  <si>
    <t>OP-20260822-03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</si>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</sst>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"/>
    <numFmt numFmtId="166" formatCode="0.00000"/>
    <numFmt numFmtId="167" formatCode="_-* #,##0.00_-;\-* #,##0.00_-;_-* &quot;-&quot;??_-;_-@"/>
    <numFmt numFmtId="168" formatCode="dd/mm"/>
  </numFmts>
  <fonts count="7">
    <font>
      <sz val="11.0"/>
      <color theme="1"/>
      <name val="Aptos Narrow"/>
      <scheme val="minor"/>
    </font>
    <font>
      <sz val="10.0"/>
      <color theme="1"/>
      <name val="Libre Baskerville"/>
    </font>
    <font>
      <sz val="11.0"/>
      <color theme="1"/>
      <name val="Libre Baskerville"/>
    </font>
    <font>
      <b/>
      <sz val="10.0"/>
      <color theme="1"/>
      <name val="Libre Baskerville"/>
    </font>
    <font>
      <b/>
      <sz val="10.0"/>
      <color theme="0"/>
      <name val="Libre Baskerville"/>
    </font>
    <font>
      <sz val="9.0"/>
      <color theme="1"/>
      <name val="Libre Baskerville"/>
    </font>
    <font/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1A983"/>
        <bgColor rgb="FFF1A983"/>
      </patternFill>
    </fill>
  </fills>
  <borders count="6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0" fontId="1" numFmtId="164" xfId="0" applyBorder="1" applyFont="1" applyNumberFormat="1"/>
    <xf borderId="1" fillId="0" fontId="1" numFmtId="49" xfId="0" applyBorder="1" applyFont="1" applyNumberFormat="1"/>
    <xf borderId="1" fillId="0" fontId="1" numFmtId="0" xfId="0" applyBorder="1" applyFont="1"/>
    <xf borderId="1" fillId="0" fontId="1" numFmtId="165" xfId="0" applyBorder="1" applyFont="1" applyNumberFormat="1"/>
    <xf borderId="1" fillId="0" fontId="1" numFmtId="166" xfId="0" applyBorder="1" applyFont="1" applyNumberFormat="1"/>
    <xf borderId="1" fillId="0" fontId="1" numFmtId="167" xfId="0" applyBorder="1" applyFont="1" applyNumberFormat="1"/>
    <xf borderId="1" fillId="0" fontId="1" numFmtId="49" xfId="0" applyAlignment="1" applyBorder="1" applyFont="1" applyNumberFormat="1">
      <alignment horizontal="right"/>
    </xf>
    <xf borderId="1" fillId="0" fontId="1" numFmtId="168" xfId="0" applyBorder="1" applyFont="1" applyNumberFormat="1"/>
    <xf borderId="1" fillId="3" fontId="1" numFmtId="0" xfId="0" applyBorder="1" applyFill="1" applyFont="1"/>
    <xf borderId="0" fillId="0" fontId="2" numFmtId="49" xfId="0" applyAlignment="1" applyFont="1" applyNumberFormat="1">
      <alignment horizontal="right"/>
    </xf>
    <xf borderId="1" fillId="0" fontId="5" numFmtId="0" xfId="0" applyBorder="1" applyFont="1"/>
    <xf borderId="2" fillId="0" fontId="1" numFmtId="49" xfId="0" applyBorder="1" applyFont="1" applyNumberFormat="1"/>
    <xf borderId="1" fillId="0" fontId="2" numFmtId="0" xfId="0" applyBorder="1" applyFont="1"/>
    <xf borderId="1" fillId="0" fontId="1" numFmtId="168" xfId="0" applyAlignment="1" applyBorder="1" applyFont="1" applyNumberFormat="1">
      <alignment horizontal="right"/>
    </xf>
    <xf borderId="2" fillId="0" fontId="2" numFmtId="49" xfId="0" applyBorder="1" applyFont="1" applyNumberFormat="1"/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2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center"/>
    </xf>
    <xf borderId="3" fillId="0" fontId="1" numFmtId="0" xfId="0" applyBorder="1" applyFont="1"/>
    <xf borderId="3" fillId="0" fontId="1" numFmtId="49" xfId="0" applyBorder="1" applyFont="1" applyNumberFormat="1"/>
    <xf borderId="3" fillId="0" fontId="1" numFmtId="165" xfId="0" applyBorder="1" applyFont="1" applyNumberFormat="1"/>
    <xf borderId="3" fillId="0" fontId="1" numFmtId="166" xfId="0" applyBorder="1" applyFont="1" applyNumberFormat="1"/>
    <xf borderId="4" fillId="0" fontId="3" numFmtId="0" xfId="0" applyAlignment="1" applyBorder="1" applyFont="1">
      <alignment horizontal="center"/>
    </xf>
    <xf borderId="5" fillId="0" fontId="6" numFmtId="0" xfId="0" applyBorder="1" applyFont="1"/>
    <xf borderId="1" fillId="0" fontId="3" numFmtId="167" xfId="0" applyBorder="1" applyFont="1" applyNumberFormat="1"/>
    <xf borderId="0" fillId="0" fontId="3" numFmtId="167" xfId="0" applyFont="1" applyNumberFormat="1"/>
    <xf borderId="0" fillId="0" fontId="1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Rep. Vtas y Cobranzas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68:B80" displayName="Table_1" name="Table_1" id="1">
  <tableColumns count="1">
    <tableColumn name="Column1" id="1"/>
  </tableColumns>
  <tableStyleInfo name="Rep. Vtas y Cobranz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1.5"/>
    <col customWidth="1" min="2" max="2" width="13.38"/>
    <col customWidth="1" min="3" max="3" width="11.88"/>
    <col customWidth="1" min="4" max="4" width="8.25"/>
    <col customWidth="1" min="5" max="5" width="11.63"/>
    <col customWidth="1" min="6" max="6" width="21.75"/>
    <col customWidth="1" min="7" max="9" width="11.25"/>
    <col customWidth="1" min="10" max="10" width="14.38"/>
    <col customWidth="1" min="11" max="11" width="36.88"/>
    <col customWidth="1" min="12" max="12" width="6.63"/>
    <col customWidth="1" min="13" max="13" width="19.75"/>
    <col customWidth="1" min="14" max="15" width="11.5"/>
    <col customWidth="1" min="16" max="16" width="9.75"/>
    <col customWidth="1" min="17" max="17" width="14.13"/>
    <col customWidth="1" min="18" max="18" width="9.5"/>
    <col customWidth="1" min="19" max="26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ht="14.25" customHeight="1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</row>
    <row r="3" ht="14.2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</row>
    <row r="4" ht="14.25" customHeigh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</row>
    <row r="5" ht="14.25" customHeight="1">
      <c r="A5" s="3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</row>
    <row r="6" ht="14.2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5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6"/>
      <c r="T6" s="6"/>
      <c r="U6" s="6"/>
      <c r="V6" s="6"/>
      <c r="W6" s="6"/>
      <c r="X6" s="6"/>
      <c r="Y6" s="6"/>
      <c r="Z6" s="6"/>
      <c r="AA6" s="6"/>
    </row>
    <row r="7" ht="14.25" customHeight="1">
      <c r="A7" s="7">
        <v>46237.0</v>
      </c>
      <c r="B7" s="8" t="s">
        <v>21</v>
      </c>
      <c r="C7" s="9" t="s">
        <v>22</v>
      </c>
      <c r="D7" s="10">
        <v>18.0</v>
      </c>
      <c r="E7" s="9" t="s">
        <v>23</v>
      </c>
      <c r="F7" s="9" t="s">
        <v>24</v>
      </c>
      <c r="G7" s="11">
        <v>65.2542</v>
      </c>
      <c r="H7" s="12">
        <f t="shared" ref="H7:H82" si="1">+D7*G7</f>
        <v>1174.5756</v>
      </c>
      <c r="I7" s="12">
        <f t="shared" ref="I7:I82" si="2">+H7*1.18</f>
        <v>1385.999208</v>
      </c>
      <c r="J7" s="13" t="s">
        <v>25</v>
      </c>
      <c r="K7" s="9" t="s">
        <v>26</v>
      </c>
      <c r="L7" s="9"/>
      <c r="M7" s="9" t="s">
        <v>27</v>
      </c>
      <c r="N7" s="9" t="s">
        <v>28</v>
      </c>
      <c r="O7" s="9" t="s">
        <v>29</v>
      </c>
      <c r="P7" s="14">
        <v>46237.0</v>
      </c>
      <c r="Q7" s="9" t="s">
        <v>30</v>
      </c>
      <c r="R7" s="9" t="s">
        <v>31</v>
      </c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7">
        <v>46237.0</v>
      </c>
      <c r="B8" s="8" t="s">
        <v>32</v>
      </c>
      <c r="C8" s="9" t="s">
        <v>33</v>
      </c>
      <c r="D8" s="10">
        <v>6.0</v>
      </c>
      <c r="E8" s="9" t="s">
        <v>23</v>
      </c>
      <c r="F8" s="9" t="s">
        <v>34</v>
      </c>
      <c r="G8" s="11">
        <v>35.0</v>
      </c>
      <c r="H8" s="12">
        <f t="shared" si="1"/>
        <v>210</v>
      </c>
      <c r="I8" s="12">
        <f t="shared" si="2"/>
        <v>247.8</v>
      </c>
      <c r="J8" s="13" t="s">
        <v>35</v>
      </c>
      <c r="K8" s="9" t="s">
        <v>36</v>
      </c>
      <c r="L8" s="9"/>
      <c r="M8" s="9" t="s">
        <v>37</v>
      </c>
      <c r="N8" s="9" t="s">
        <v>28</v>
      </c>
      <c r="O8" s="9" t="s">
        <v>29</v>
      </c>
      <c r="P8" s="14">
        <v>46237.0</v>
      </c>
      <c r="Q8" s="9" t="s">
        <v>30</v>
      </c>
      <c r="R8" s="9" t="s">
        <v>31</v>
      </c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7">
        <v>46237.0</v>
      </c>
      <c r="B9" s="8" t="s">
        <v>38</v>
      </c>
      <c r="C9" s="9" t="s">
        <v>39</v>
      </c>
      <c r="D9" s="10">
        <v>30.0</v>
      </c>
      <c r="E9" s="9" t="s">
        <v>40</v>
      </c>
      <c r="F9" s="9" t="s">
        <v>41</v>
      </c>
      <c r="G9" s="11">
        <v>38.13559</v>
      </c>
      <c r="H9" s="12">
        <f t="shared" si="1"/>
        <v>1144.0677</v>
      </c>
      <c r="I9" s="12">
        <f t="shared" si="2"/>
        <v>1349.999886</v>
      </c>
      <c r="J9" s="13" t="s">
        <v>42</v>
      </c>
      <c r="K9" s="9" t="s">
        <v>43</v>
      </c>
      <c r="L9" s="9"/>
      <c r="M9" s="9" t="s">
        <v>44</v>
      </c>
      <c r="N9" s="9" t="s">
        <v>28</v>
      </c>
      <c r="O9" s="9" t="s">
        <v>29</v>
      </c>
      <c r="P9" s="14">
        <v>46237.0</v>
      </c>
      <c r="Q9" s="9" t="s">
        <v>30</v>
      </c>
      <c r="R9" s="9" t="s">
        <v>31</v>
      </c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7">
        <v>46238.0</v>
      </c>
      <c r="B10" s="8" t="s">
        <v>45</v>
      </c>
      <c r="C10" s="9" t="s">
        <v>46</v>
      </c>
      <c r="D10" s="10">
        <v>12.0</v>
      </c>
      <c r="E10" s="9" t="s">
        <v>23</v>
      </c>
      <c r="F10" s="9" t="s">
        <v>47</v>
      </c>
      <c r="G10" s="11">
        <v>44.06779</v>
      </c>
      <c r="H10" s="12">
        <f t="shared" si="1"/>
        <v>528.81348</v>
      </c>
      <c r="I10" s="12">
        <f t="shared" si="2"/>
        <v>623.9999064</v>
      </c>
      <c r="J10" s="13" t="s">
        <v>25</v>
      </c>
      <c r="K10" s="9" t="s">
        <v>26</v>
      </c>
      <c r="L10" s="9"/>
      <c r="M10" s="9" t="s">
        <v>48</v>
      </c>
      <c r="N10" s="9" t="s">
        <v>28</v>
      </c>
      <c r="O10" s="9" t="s">
        <v>29</v>
      </c>
      <c r="P10" s="14">
        <v>46238.0</v>
      </c>
      <c r="Q10" s="9" t="s">
        <v>30</v>
      </c>
      <c r="R10" s="9" t="s">
        <v>31</v>
      </c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7">
        <v>46238.0</v>
      </c>
      <c r="B11" s="8" t="s">
        <v>49</v>
      </c>
      <c r="C11" s="9" t="s">
        <v>50</v>
      </c>
      <c r="D11" s="10">
        <v>60.0</v>
      </c>
      <c r="E11" s="9" t="s">
        <v>40</v>
      </c>
      <c r="F11" s="9" t="s">
        <v>51</v>
      </c>
      <c r="G11" s="11">
        <v>59.322</v>
      </c>
      <c r="H11" s="12">
        <f t="shared" si="1"/>
        <v>3559.32</v>
      </c>
      <c r="I11" s="12">
        <f t="shared" si="2"/>
        <v>4199.9976</v>
      </c>
      <c r="J11" s="13" t="s">
        <v>52</v>
      </c>
      <c r="K11" s="9" t="s">
        <v>53</v>
      </c>
      <c r="L11" s="9"/>
      <c r="M11" s="9" t="s">
        <v>54</v>
      </c>
      <c r="N11" s="9" t="s">
        <v>28</v>
      </c>
      <c r="O11" s="9" t="s">
        <v>29</v>
      </c>
      <c r="P11" s="14">
        <v>46238.0</v>
      </c>
      <c r="Q11" s="9" t="s">
        <v>30</v>
      </c>
      <c r="R11" s="9" t="s">
        <v>31</v>
      </c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7">
        <v>46238.0</v>
      </c>
      <c r="B12" s="8" t="s">
        <v>55</v>
      </c>
      <c r="C12" s="9" t="s">
        <v>50</v>
      </c>
      <c r="D12" s="10">
        <v>10.0</v>
      </c>
      <c r="E12" s="9" t="s">
        <v>40</v>
      </c>
      <c r="F12" s="9" t="s">
        <v>56</v>
      </c>
      <c r="G12" s="11">
        <v>67.7966</v>
      </c>
      <c r="H12" s="12">
        <f t="shared" si="1"/>
        <v>677.966</v>
      </c>
      <c r="I12" s="12">
        <f t="shared" si="2"/>
        <v>799.99988</v>
      </c>
      <c r="J12" s="13" t="s">
        <v>52</v>
      </c>
      <c r="K12" s="9" t="s">
        <v>53</v>
      </c>
      <c r="L12" s="9"/>
      <c r="M12" s="9" t="s">
        <v>57</v>
      </c>
      <c r="N12" s="9" t="s">
        <v>28</v>
      </c>
      <c r="O12" s="9" t="s">
        <v>29</v>
      </c>
      <c r="P12" s="14">
        <v>46238.0</v>
      </c>
      <c r="Q12" s="9" t="s">
        <v>30</v>
      </c>
      <c r="R12" s="9" t="s">
        <v>31</v>
      </c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7">
        <v>46238.0</v>
      </c>
      <c r="B13" s="8"/>
      <c r="C13" s="9" t="s">
        <v>58</v>
      </c>
      <c r="D13" s="10">
        <v>5.0</v>
      </c>
      <c r="E13" s="9" t="s">
        <v>40</v>
      </c>
      <c r="F13" s="9" t="s">
        <v>59</v>
      </c>
      <c r="G13" s="11">
        <v>127.1186</v>
      </c>
      <c r="H13" s="12">
        <f t="shared" si="1"/>
        <v>635.593</v>
      </c>
      <c r="I13" s="12">
        <f t="shared" si="2"/>
        <v>749.99974</v>
      </c>
      <c r="J13" s="13" t="s">
        <v>60</v>
      </c>
      <c r="K13" s="9" t="s">
        <v>61</v>
      </c>
      <c r="L13" s="9"/>
      <c r="M13" s="9" t="s">
        <v>62</v>
      </c>
      <c r="N13" s="9" t="s">
        <v>28</v>
      </c>
      <c r="O13" s="9" t="s">
        <v>29</v>
      </c>
      <c r="P13" s="14">
        <v>46238.0</v>
      </c>
      <c r="Q13" s="9" t="s">
        <v>30</v>
      </c>
      <c r="R13" s="9" t="s">
        <v>31</v>
      </c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7">
        <v>46239.0</v>
      </c>
      <c r="B14" s="8" t="s">
        <v>63</v>
      </c>
      <c r="C14" s="9" t="s">
        <v>64</v>
      </c>
      <c r="D14" s="10">
        <v>10.0</v>
      </c>
      <c r="E14" s="9" t="s">
        <v>40</v>
      </c>
      <c r="F14" s="9" t="s">
        <v>65</v>
      </c>
      <c r="G14" s="11">
        <v>55.0847</v>
      </c>
      <c r="H14" s="12">
        <f t="shared" si="1"/>
        <v>550.847</v>
      </c>
      <c r="I14" s="12">
        <f t="shared" si="2"/>
        <v>649.99946</v>
      </c>
      <c r="J14" s="13">
        <v>2.0613316184E10</v>
      </c>
      <c r="K14" s="9" t="s">
        <v>66</v>
      </c>
      <c r="L14" s="9"/>
      <c r="M14" s="9" t="s">
        <v>67</v>
      </c>
      <c r="N14" s="9" t="s">
        <v>68</v>
      </c>
      <c r="O14" s="9" t="s">
        <v>29</v>
      </c>
      <c r="P14" s="14">
        <v>46241.0</v>
      </c>
      <c r="Q14" s="9" t="s">
        <v>30</v>
      </c>
      <c r="R14" s="9" t="s">
        <v>31</v>
      </c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7">
        <v>46239.0</v>
      </c>
      <c r="B15" s="8" t="s">
        <v>69</v>
      </c>
      <c r="C15" s="9" t="s">
        <v>64</v>
      </c>
      <c r="D15" s="10">
        <v>15.0</v>
      </c>
      <c r="E15" s="9" t="s">
        <v>40</v>
      </c>
      <c r="F15" s="9" t="s">
        <v>70</v>
      </c>
      <c r="G15" s="11">
        <v>38.1356</v>
      </c>
      <c r="H15" s="12">
        <f t="shared" si="1"/>
        <v>572.034</v>
      </c>
      <c r="I15" s="12">
        <f t="shared" si="2"/>
        <v>675.00012</v>
      </c>
      <c r="J15" s="13">
        <v>2.0613316184E10</v>
      </c>
      <c r="K15" s="9" t="s">
        <v>66</v>
      </c>
      <c r="L15" s="9"/>
      <c r="M15" s="9" t="s">
        <v>71</v>
      </c>
      <c r="N15" s="9" t="s">
        <v>68</v>
      </c>
      <c r="O15" s="9" t="s">
        <v>29</v>
      </c>
      <c r="P15" s="14">
        <v>46241.0</v>
      </c>
      <c r="Q15" s="9" t="s">
        <v>30</v>
      </c>
      <c r="R15" s="9" t="s">
        <v>31</v>
      </c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7">
        <v>46239.0</v>
      </c>
      <c r="B16" s="8"/>
      <c r="C16" s="9" t="s">
        <v>72</v>
      </c>
      <c r="D16" s="10">
        <v>169.5417</v>
      </c>
      <c r="E16" s="9" t="s">
        <v>23</v>
      </c>
      <c r="F16" s="9" t="s">
        <v>73</v>
      </c>
      <c r="G16" s="11">
        <v>50.84745</v>
      </c>
      <c r="H16" s="12">
        <f t="shared" si="1"/>
        <v>8620.763114</v>
      </c>
      <c r="I16" s="12">
        <f t="shared" si="2"/>
        <v>10172.50047</v>
      </c>
      <c r="J16" s="13" t="s">
        <v>74</v>
      </c>
      <c r="K16" s="9" t="s">
        <v>75</v>
      </c>
      <c r="L16" s="9"/>
      <c r="M16" s="15" t="s">
        <v>76</v>
      </c>
      <c r="N16" s="9" t="s">
        <v>28</v>
      </c>
      <c r="O16" s="9" t="s">
        <v>77</v>
      </c>
      <c r="P16" s="14"/>
      <c r="Q16" s="9"/>
      <c r="R16" s="9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7">
        <v>46241.0</v>
      </c>
      <c r="B17" s="8"/>
      <c r="C17" s="9" t="s">
        <v>78</v>
      </c>
      <c r="D17" s="10">
        <v>50.0</v>
      </c>
      <c r="E17" s="9" t="s">
        <v>23</v>
      </c>
      <c r="F17" s="9" t="s">
        <v>79</v>
      </c>
      <c r="G17" s="11">
        <v>50.8474</v>
      </c>
      <c r="H17" s="12">
        <f t="shared" si="1"/>
        <v>2542.37</v>
      </c>
      <c r="I17" s="12">
        <f t="shared" si="2"/>
        <v>2999.9966</v>
      </c>
      <c r="J17" s="16" t="s">
        <v>80</v>
      </c>
      <c r="K17" s="9" t="s">
        <v>81</v>
      </c>
      <c r="L17" s="9"/>
      <c r="M17" s="17" t="s">
        <v>82</v>
      </c>
      <c r="N17" s="9" t="s">
        <v>28</v>
      </c>
      <c r="O17" s="9" t="s">
        <v>29</v>
      </c>
      <c r="P17" s="14">
        <v>46234.0</v>
      </c>
      <c r="Q17" s="9" t="s">
        <v>30</v>
      </c>
      <c r="R17" s="9" t="s">
        <v>31</v>
      </c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7">
        <v>46241.0</v>
      </c>
      <c r="B18" s="8"/>
      <c r="C18" s="9" t="s">
        <v>83</v>
      </c>
      <c r="D18" s="10">
        <v>150.0</v>
      </c>
      <c r="E18" s="9" t="s">
        <v>23</v>
      </c>
      <c r="F18" s="9" t="s">
        <v>73</v>
      </c>
      <c r="G18" s="11">
        <v>50.84745</v>
      </c>
      <c r="H18" s="12">
        <f t="shared" si="1"/>
        <v>7627.1175</v>
      </c>
      <c r="I18" s="12">
        <f t="shared" si="2"/>
        <v>8999.99865</v>
      </c>
      <c r="J18" s="16" t="s">
        <v>84</v>
      </c>
      <c r="K18" s="9" t="s">
        <v>85</v>
      </c>
      <c r="L18" s="9"/>
      <c r="M18" s="17" t="s">
        <v>86</v>
      </c>
      <c r="N18" s="9" t="s">
        <v>68</v>
      </c>
      <c r="O18" s="9" t="s">
        <v>77</v>
      </c>
      <c r="P18" s="9"/>
      <c r="Q18" s="9"/>
      <c r="R18" s="9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7">
        <v>46241.0</v>
      </c>
      <c r="B19" s="8"/>
      <c r="C19" s="9" t="s">
        <v>87</v>
      </c>
      <c r="D19" s="10">
        <v>150.0</v>
      </c>
      <c r="E19" s="9" t="s">
        <v>23</v>
      </c>
      <c r="F19" s="9" t="s">
        <v>88</v>
      </c>
      <c r="G19" s="11">
        <v>50.84745</v>
      </c>
      <c r="H19" s="12">
        <f t="shared" si="1"/>
        <v>7627.1175</v>
      </c>
      <c r="I19" s="12">
        <f t="shared" si="2"/>
        <v>8999.99865</v>
      </c>
      <c r="J19" s="16" t="s">
        <v>80</v>
      </c>
      <c r="K19" s="9" t="s">
        <v>81</v>
      </c>
      <c r="L19" s="9"/>
      <c r="M19" s="17" t="s">
        <v>89</v>
      </c>
      <c r="N19" s="9" t="s">
        <v>28</v>
      </c>
      <c r="O19" s="9" t="s">
        <v>29</v>
      </c>
      <c r="P19" s="14">
        <v>46239.0</v>
      </c>
      <c r="Q19" s="9" t="s">
        <v>30</v>
      </c>
      <c r="R19" s="9" t="s">
        <v>31</v>
      </c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7">
        <v>46241.0</v>
      </c>
      <c r="B20" s="8"/>
      <c r="C20" s="9" t="s">
        <v>87</v>
      </c>
      <c r="D20" s="10">
        <v>50.0</v>
      </c>
      <c r="E20" s="9" t="s">
        <v>23</v>
      </c>
      <c r="F20" s="9" t="s">
        <v>90</v>
      </c>
      <c r="G20" s="11">
        <v>47.4576</v>
      </c>
      <c r="H20" s="12">
        <f t="shared" si="1"/>
        <v>2372.88</v>
      </c>
      <c r="I20" s="12">
        <f t="shared" si="2"/>
        <v>2799.9984</v>
      </c>
      <c r="J20" s="16" t="s">
        <v>80</v>
      </c>
      <c r="K20" s="9" t="s">
        <v>81</v>
      </c>
      <c r="L20" s="9"/>
      <c r="M20" s="17" t="s">
        <v>91</v>
      </c>
      <c r="N20" s="9" t="s">
        <v>28</v>
      </c>
      <c r="O20" s="9" t="s">
        <v>29</v>
      </c>
      <c r="P20" s="14">
        <v>46239.0</v>
      </c>
      <c r="Q20" s="9" t="s">
        <v>30</v>
      </c>
      <c r="R20" s="9" t="s">
        <v>31</v>
      </c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7">
        <v>46241.0</v>
      </c>
      <c r="B21" s="18" t="s">
        <v>92</v>
      </c>
      <c r="C21" s="9" t="s">
        <v>93</v>
      </c>
      <c r="D21" s="10">
        <v>20.0</v>
      </c>
      <c r="E21" s="9" t="s">
        <v>23</v>
      </c>
      <c r="F21" s="2" t="s">
        <v>94</v>
      </c>
      <c r="G21" s="11">
        <v>72.0338</v>
      </c>
      <c r="H21" s="12">
        <f t="shared" si="1"/>
        <v>1440.676</v>
      </c>
      <c r="I21" s="12">
        <f t="shared" si="2"/>
        <v>1699.99768</v>
      </c>
      <c r="J21" s="13" t="s">
        <v>25</v>
      </c>
      <c r="K21" s="9" t="s">
        <v>26</v>
      </c>
      <c r="L21" s="9"/>
      <c r="M21" s="17" t="s">
        <v>95</v>
      </c>
      <c r="N21" s="19" t="s">
        <v>28</v>
      </c>
      <c r="O21" s="19" t="s">
        <v>29</v>
      </c>
      <c r="P21" s="20">
        <v>46241.0</v>
      </c>
      <c r="Q21" s="19" t="s">
        <v>30</v>
      </c>
      <c r="R21" s="9" t="s">
        <v>31</v>
      </c>
      <c r="S21" s="19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7">
        <v>46241.0</v>
      </c>
      <c r="B22" s="18" t="s">
        <v>96</v>
      </c>
      <c r="C22" s="9" t="s">
        <v>97</v>
      </c>
      <c r="D22" s="10">
        <v>2.0</v>
      </c>
      <c r="E22" s="9" t="s">
        <v>23</v>
      </c>
      <c r="F22" s="2" t="s">
        <v>98</v>
      </c>
      <c r="G22" s="11">
        <v>63.5593</v>
      </c>
      <c r="H22" s="12">
        <f t="shared" si="1"/>
        <v>127.1186</v>
      </c>
      <c r="I22" s="12">
        <f t="shared" si="2"/>
        <v>149.999948</v>
      </c>
      <c r="J22" s="13" t="s">
        <v>52</v>
      </c>
      <c r="K22" s="9" t="s">
        <v>53</v>
      </c>
      <c r="L22" s="9"/>
      <c r="M22" s="17" t="s">
        <v>99</v>
      </c>
      <c r="N22" s="19" t="s">
        <v>28</v>
      </c>
      <c r="O22" s="19" t="s">
        <v>29</v>
      </c>
      <c r="P22" s="20">
        <v>46241.0</v>
      </c>
      <c r="Q22" s="19" t="s">
        <v>30</v>
      </c>
      <c r="R22" s="9" t="s">
        <v>31</v>
      </c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7">
        <v>46241.0</v>
      </c>
      <c r="B23" s="18" t="s">
        <v>100</v>
      </c>
      <c r="C23" s="9" t="s">
        <v>101</v>
      </c>
      <c r="D23" s="10">
        <v>21.0</v>
      </c>
      <c r="E23" s="9" t="s">
        <v>40</v>
      </c>
      <c r="F23" s="9" t="s">
        <v>102</v>
      </c>
      <c r="G23" s="11">
        <v>52.5423</v>
      </c>
      <c r="H23" s="12">
        <f t="shared" si="1"/>
        <v>1103.3883</v>
      </c>
      <c r="I23" s="12">
        <f t="shared" si="2"/>
        <v>1301.998194</v>
      </c>
      <c r="J23" s="13" t="s">
        <v>103</v>
      </c>
      <c r="K23" s="9" t="s">
        <v>104</v>
      </c>
      <c r="L23" s="9"/>
      <c r="M23" s="17" t="s">
        <v>105</v>
      </c>
      <c r="N23" s="19" t="s">
        <v>28</v>
      </c>
      <c r="O23" s="19" t="s">
        <v>29</v>
      </c>
      <c r="P23" s="20">
        <v>46238.0</v>
      </c>
      <c r="Q23" s="19" t="s">
        <v>30</v>
      </c>
      <c r="R23" s="9" t="s">
        <v>31</v>
      </c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7">
        <v>46241.0</v>
      </c>
      <c r="B24" s="8"/>
      <c r="C24" s="9" t="s">
        <v>106</v>
      </c>
      <c r="D24" s="10">
        <v>50.0</v>
      </c>
      <c r="E24" s="9" t="s">
        <v>23</v>
      </c>
      <c r="F24" s="2" t="s">
        <v>107</v>
      </c>
      <c r="G24" s="11">
        <v>39.8305</v>
      </c>
      <c r="H24" s="12">
        <f t="shared" si="1"/>
        <v>1991.525</v>
      </c>
      <c r="I24" s="12">
        <f t="shared" si="2"/>
        <v>2349.9995</v>
      </c>
      <c r="J24" s="13" t="s">
        <v>108</v>
      </c>
      <c r="K24" s="9" t="s">
        <v>109</v>
      </c>
      <c r="L24" s="9"/>
      <c r="M24" s="17" t="s">
        <v>110</v>
      </c>
      <c r="N24" s="19" t="s">
        <v>28</v>
      </c>
      <c r="O24" s="19" t="s">
        <v>29</v>
      </c>
      <c r="P24" s="20">
        <v>46239.0</v>
      </c>
      <c r="Q24" s="19" t="s">
        <v>30</v>
      </c>
      <c r="R24" s="9" t="s">
        <v>31</v>
      </c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7">
        <v>46242.0</v>
      </c>
      <c r="B25" s="18" t="s">
        <v>111</v>
      </c>
      <c r="C25" s="9" t="s">
        <v>112</v>
      </c>
      <c r="D25" s="10">
        <v>18.0</v>
      </c>
      <c r="E25" s="9" t="s">
        <v>23</v>
      </c>
      <c r="F25" s="9" t="s">
        <v>113</v>
      </c>
      <c r="G25" s="11">
        <v>63.5593</v>
      </c>
      <c r="H25" s="12">
        <f t="shared" si="1"/>
        <v>1144.0674</v>
      </c>
      <c r="I25" s="12">
        <f t="shared" si="2"/>
        <v>1349.999532</v>
      </c>
      <c r="J25" s="13" t="s">
        <v>25</v>
      </c>
      <c r="K25" s="9" t="s">
        <v>26</v>
      </c>
      <c r="L25" s="9"/>
      <c r="M25" s="18" t="s">
        <v>111</v>
      </c>
      <c r="N25" s="9" t="s">
        <v>28</v>
      </c>
      <c r="O25" s="9" t="s">
        <v>29</v>
      </c>
      <c r="P25" s="20">
        <v>46241.0</v>
      </c>
      <c r="Q25" s="9" t="s">
        <v>30</v>
      </c>
      <c r="R25" s="9" t="s">
        <v>31</v>
      </c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7">
        <v>46244.0</v>
      </c>
      <c r="B26" s="8" t="s">
        <v>114</v>
      </c>
      <c r="C26" s="9" t="s">
        <v>115</v>
      </c>
      <c r="D26" s="10">
        <v>100.0</v>
      </c>
      <c r="E26" s="9" t="s">
        <v>23</v>
      </c>
      <c r="F26" s="9" t="s">
        <v>116</v>
      </c>
      <c r="G26" s="11">
        <v>13.98305</v>
      </c>
      <c r="H26" s="12">
        <f t="shared" si="1"/>
        <v>1398.305</v>
      </c>
      <c r="I26" s="12">
        <f t="shared" si="2"/>
        <v>1649.9999</v>
      </c>
      <c r="J26" s="13" t="s">
        <v>25</v>
      </c>
      <c r="K26" s="9" t="s">
        <v>26</v>
      </c>
      <c r="L26" s="9"/>
      <c r="M26" s="17" t="s">
        <v>117</v>
      </c>
      <c r="N26" s="19" t="s">
        <v>28</v>
      </c>
      <c r="O26" s="19" t="s">
        <v>29</v>
      </c>
      <c r="P26" s="20">
        <v>46244.0</v>
      </c>
      <c r="Q26" s="9" t="s">
        <v>30</v>
      </c>
      <c r="R26" s="9" t="s">
        <v>31</v>
      </c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7">
        <v>46244.0</v>
      </c>
      <c r="B27" s="8" t="s">
        <v>118</v>
      </c>
      <c r="C27" s="9" t="s">
        <v>119</v>
      </c>
      <c r="D27" s="10">
        <v>26.0</v>
      </c>
      <c r="E27" s="9" t="s">
        <v>23</v>
      </c>
      <c r="F27" s="9" t="s">
        <v>70</v>
      </c>
      <c r="G27" s="11">
        <v>38.1356</v>
      </c>
      <c r="H27" s="12">
        <f t="shared" si="1"/>
        <v>991.5256</v>
      </c>
      <c r="I27" s="12">
        <f t="shared" si="2"/>
        <v>1170.000208</v>
      </c>
      <c r="J27" s="13" t="s">
        <v>25</v>
      </c>
      <c r="K27" s="9" t="s">
        <v>26</v>
      </c>
      <c r="L27" s="9"/>
      <c r="M27" s="17" t="s">
        <v>120</v>
      </c>
      <c r="N27" s="9" t="s">
        <v>28</v>
      </c>
      <c r="O27" s="19" t="s">
        <v>29</v>
      </c>
      <c r="P27" s="20">
        <v>46244.0</v>
      </c>
      <c r="Q27" s="9" t="s">
        <v>30</v>
      </c>
      <c r="R27" s="9" t="s">
        <v>31</v>
      </c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7">
        <v>46244.0</v>
      </c>
      <c r="B28" s="8" t="s">
        <v>121</v>
      </c>
      <c r="C28" s="9" t="s">
        <v>122</v>
      </c>
      <c r="D28" s="10">
        <v>26.0</v>
      </c>
      <c r="E28" s="9" t="s">
        <v>40</v>
      </c>
      <c r="F28" s="9" t="s">
        <v>102</v>
      </c>
      <c r="G28" s="11">
        <v>52.5423</v>
      </c>
      <c r="H28" s="12">
        <f t="shared" si="1"/>
        <v>1366.0998</v>
      </c>
      <c r="I28" s="12">
        <f t="shared" si="2"/>
        <v>1611.997764</v>
      </c>
      <c r="J28" s="13" t="s">
        <v>103</v>
      </c>
      <c r="K28" s="9" t="s">
        <v>104</v>
      </c>
      <c r="L28" s="9"/>
      <c r="M28" s="17" t="s">
        <v>123</v>
      </c>
      <c r="N28" s="9" t="s">
        <v>28</v>
      </c>
      <c r="O28" s="19" t="s">
        <v>29</v>
      </c>
      <c r="P28" s="20">
        <v>46244.0</v>
      </c>
      <c r="Q28" s="9" t="s">
        <v>30</v>
      </c>
      <c r="R28" s="9" t="s">
        <v>31</v>
      </c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7">
        <v>46244.0</v>
      </c>
      <c r="B29" s="8" t="s">
        <v>121</v>
      </c>
      <c r="C29" s="9" t="s">
        <v>122</v>
      </c>
      <c r="D29" s="10">
        <v>7.0</v>
      </c>
      <c r="E29" s="9" t="s">
        <v>40</v>
      </c>
      <c r="F29" s="9" t="s">
        <v>70</v>
      </c>
      <c r="G29" s="11">
        <v>38.983</v>
      </c>
      <c r="H29" s="12">
        <f t="shared" si="1"/>
        <v>272.881</v>
      </c>
      <c r="I29" s="12">
        <f t="shared" si="2"/>
        <v>321.99958</v>
      </c>
      <c r="J29" s="13" t="s">
        <v>103</v>
      </c>
      <c r="K29" s="9" t="s">
        <v>104</v>
      </c>
      <c r="L29" s="9"/>
      <c r="M29" s="17" t="s">
        <v>124</v>
      </c>
      <c r="N29" s="19" t="s">
        <v>28</v>
      </c>
      <c r="O29" s="19" t="s">
        <v>29</v>
      </c>
      <c r="P29" s="20">
        <v>46244.0</v>
      </c>
      <c r="Q29" s="9" t="s">
        <v>30</v>
      </c>
      <c r="R29" s="9" t="s">
        <v>31</v>
      </c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7">
        <v>46244.0</v>
      </c>
      <c r="B30" s="18" t="s">
        <v>125</v>
      </c>
      <c r="C30" s="9" t="s">
        <v>126</v>
      </c>
      <c r="D30" s="10">
        <v>75.0</v>
      </c>
      <c r="E30" s="9" t="s">
        <v>127</v>
      </c>
      <c r="F30" s="2" t="s">
        <v>128</v>
      </c>
      <c r="G30" s="11">
        <v>21.1864</v>
      </c>
      <c r="H30" s="12">
        <f t="shared" si="1"/>
        <v>1588.98</v>
      </c>
      <c r="I30" s="12">
        <f t="shared" si="2"/>
        <v>1874.9964</v>
      </c>
      <c r="J30" s="13" t="s">
        <v>42</v>
      </c>
      <c r="K30" s="9" t="s">
        <v>43</v>
      </c>
      <c r="L30" s="9"/>
      <c r="M30" s="17" t="s">
        <v>129</v>
      </c>
      <c r="N30" s="9" t="s">
        <v>28</v>
      </c>
      <c r="O30" s="19" t="s">
        <v>29</v>
      </c>
      <c r="P30" s="20">
        <v>46244.0</v>
      </c>
      <c r="Q30" s="9" t="s">
        <v>30</v>
      </c>
      <c r="R30" s="9" t="s">
        <v>31</v>
      </c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7">
        <v>46245.0</v>
      </c>
      <c r="B31" s="18" t="s">
        <v>130</v>
      </c>
      <c r="C31" s="9" t="s">
        <v>131</v>
      </c>
      <c r="D31" s="10">
        <v>5.0</v>
      </c>
      <c r="E31" s="9" t="s">
        <v>23</v>
      </c>
      <c r="F31" s="9" t="s">
        <v>132</v>
      </c>
      <c r="G31" s="11">
        <v>59.322</v>
      </c>
      <c r="H31" s="12">
        <f t="shared" si="1"/>
        <v>296.61</v>
      </c>
      <c r="I31" s="12">
        <f t="shared" si="2"/>
        <v>349.9998</v>
      </c>
      <c r="J31" s="16" t="s">
        <v>133</v>
      </c>
      <c r="K31" s="9" t="s">
        <v>134</v>
      </c>
      <c r="L31" s="9"/>
      <c r="M31" s="17" t="s">
        <v>135</v>
      </c>
      <c r="N31" s="19" t="s">
        <v>28</v>
      </c>
      <c r="O31" s="19" t="s">
        <v>29</v>
      </c>
      <c r="P31" s="20">
        <v>46245.0</v>
      </c>
      <c r="Q31" s="9" t="s">
        <v>30</v>
      </c>
      <c r="R31" s="9" t="s">
        <v>31</v>
      </c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7">
        <v>46245.0</v>
      </c>
      <c r="B32" s="18" t="s">
        <v>130</v>
      </c>
      <c r="C32" s="9" t="s">
        <v>131</v>
      </c>
      <c r="D32" s="10">
        <v>1.0</v>
      </c>
      <c r="E32" s="9" t="s">
        <v>127</v>
      </c>
      <c r="F32" s="9" t="s">
        <v>136</v>
      </c>
      <c r="G32" s="11">
        <v>20.3389</v>
      </c>
      <c r="H32" s="12">
        <f t="shared" si="1"/>
        <v>20.3389</v>
      </c>
      <c r="I32" s="12">
        <f t="shared" si="2"/>
        <v>23.999902</v>
      </c>
      <c r="J32" s="16" t="s">
        <v>133</v>
      </c>
      <c r="K32" s="9" t="s">
        <v>134</v>
      </c>
      <c r="L32" s="9"/>
      <c r="M32" s="9"/>
      <c r="N32" s="9" t="s">
        <v>28</v>
      </c>
      <c r="O32" s="19" t="s">
        <v>29</v>
      </c>
      <c r="P32" s="20">
        <v>46245.0</v>
      </c>
      <c r="Q32" s="9" t="s">
        <v>30</v>
      </c>
      <c r="R32" s="9" t="s">
        <v>31</v>
      </c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7">
        <v>46245.0</v>
      </c>
      <c r="B33" s="18" t="s">
        <v>137</v>
      </c>
      <c r="C33" s="9" t="s">
        <v>138</v>
      </c>
      <c r="D33" s="10">
        <v>50.0</v>
      </c>
      <c r="E33" s="9" t="s">
        <v>23</v>
      </c>
      <c r="F33" s="9" t="s">
        <v>79</v>
      </c>
      <c r="G33" s="11">
        <v>50.8474</v>
      </c>
      <c r="H33" s="12">
        <f t="shared" si="1"/>
        <v>2542.37</v>
      </c>
      <c r="I33" s="12">
        <f t="shared" si="2"/>
        <v>2999.9966</v>
      </c>
      <c r="J33" s="16" t="s">
        <v>80</v>
      </c>
      <c r="K33" s="9" t="s">
        <v>81</v>
      </c>
      <c r="L33" s="9"/>
      <c r="M33" s="17" t="s">
        <v>139</v>
      </c>
      <c r="N33" s="9" t="s">
        <v>28</v>
      </c>
      <c r="O33" s="9" t="s">
        <v>29</v>
      </c>
      <c r="P33" s="20">
        <v>46245.0</v>
      </c>
      <c r="Q33" s="9" t="s">
        <v>30</v>
      </c>
      <c r="R33" s="9" t="s">
        <v>31</v>
      </c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7">
        <v>46245.0</v>
      </c>
      <c r="B34" s="18" t="s">
        <v>140</v>
      </c>
      <c r="C34" s="9" t="s">
        <v>141</v>
      </c>
      <c r="D34" s="10">
        <v>4.0</v>
      </c>
      <c r="E34" s="9" t="s">
        <v>40</v>
      </c>
      <c r="F34" s="9" t="s">
        <v>70</v>
      </c>
      <c r="G34" s="11">
        <v>38.983</v>
      </c>
      <c r="H34" s="12">
        <f t="shared" si="1"/>
        <v>155.932</v>
      </c>
      <c r="I34" s="12">
        <f t="shared" si="2"/>
        <v>183.99976</v>
      </c>
      <c r="J34" s="13" t="s">
        <v>103</v>
      </c>
      <c r="K34" s="9" t="s">
        <v>104</v>
      </c>
      <c r="L34" s="9"/>
      <c r="M34" s="17" t="s">
        <v>142</v>
      </c>
      <c r="N34" s="9" t="s">
        <v>28</v>
      </c>
      <c r="O34" s="9" t="s">
        <v>29</v>
      </c>
      <c r="P34" s="20">
        <v>46245.0</v>
      </c>
      <c r="Q34" s="9" t="s">
        <v>30</v>
      </c>
      <c r="R34" s="9" t="s">
        <v>31</v>
      </c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7">
        <v>46245.0</v>
      </c>
      <c r="B35" s="18" t="s">
        <v>143</v>
      </c>
      <c r="C35" s="9" t="s">
        <v>144</v>
      </c>
      <c r="D35" s="10">
        <v>8.0</v>
      </c>
      <c r="E35" s="9" t="s">
        <v>23</v>
      </c>
      <c r="F35" s="2" t="s">
        <v>145</v>
      </c>
      <c r="G35" s="11">
        <v>38.13559</v>
      </c>
      <c r="H35" s="12">
        <f t="shared" si="1"/>
        <v>305.08472</v>
      </c>
      <c r="I35" s="12">
        <f t="shared" si="2"/>
        <v>359.9999696</v>
      </c>
      <c r="J35" s="13" t="s">
        <v>25</v>
      </c>
      <c r="K35" s="9" t="s">
        <v>26</v>
      </c>
      <c r="L35" s="9"/>
      <c r="M35" s="17" t="s">
        <v>146</v>
      </c>
      <c r="N35" s="9" t="s">
        <v>28</v>
      </c>
      <c r="O35" s="9" t="s">
        <v>29</v>
      </c>
      <c r="P35" s="20">
        <v>46245.0</v>
      </c>
      <c r="Q35" s="9" t="s">
        <v>30</v>
      </c>
      <c r="R35" s="9" t="s">
        <v>31</v>
      </c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7">
        <v>46245.0</v>
      </c>
      <c r="B36" s="18" t="s">
        <v>143</v>
      </c>
      <c r="C36" s="9" t="s">
        <v>144</v>
      </c>
      <c r="D36" s="10">
        <v>1.0</v>
      </c>
      <c r="E36" s="9" t="s">
        <v>127</v>
      </c>
      <c r="F36" s="9" t="s">
        <v>136</v>
      </c>
      <c r="G36" s="11">
        <v>20.3389</v>
      </c>
      <c r="H36" s="12">
        <f t="shared" si="1"/>
        <v>20.3389</v>
      </c>
      <c r="I36" s="12">
        <f t="shared" si="2"/>
        <v>23.999902</v>
      </c>
      <c r="J36" s="13" t="s">
        <v>25</v>
      </c>
      <c r="K36" s="9" t="s">
        <v>26</v>
      </c>
      <c r="L36" s="9"/>
      <c r="M36" s="9"/>
      <c r="N36" s="9" t="s">
        <v>28</v>
      </c>
      <c r="O36" s="9" t="s">
        <v>29</v>
      </c>
      <c r="P36" s="20">
        <v>46245.0</v>
      </c>
      <c r="Q36" s="9" t="s">
        <v>30</v>
      </c>
      <c r="R36" s="9" t="s">
        <v>31</v>
      </c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7">
        <v>46245.0</v>
      </c>
      <c r="B37" s="18" t="s">
        <v>147</v>
      </c>
      <c r="C37" s="9" t="s">
        <v>148</v>
      </c>
      <c r="D37" s="10">
        <v>20.0</v>
      </c>
      <c r="E37" s="9" t="s">
        <v>23</v>
      </c>
      <c r="F37" s="2" t="s">
        <v>149</v>
      </c>
      <c r="G37" s="11">
        <v>69.4915</v>
      </c>
      <c r="H37" s="12">
        <f t="shared" si="1"/>
        <v>1389.83</v>
      </c>
      <c r="I37" s="12">
        <f t="shared" si="2"/>
        <v>1639.9994</v>
      </c>
      <c r="J37" s="13" t="s">
        <v>25</v>
      </c>
      <c r="K37" s="9" t="s">
        <v>26</v>
      </c>
      <c r="L37" s="9"/>
      <c r="M37" s="17" t="s">
        <v>150</v>
      </c>
      <c r="N37" s="9" t="s">
        <v>28</v>
      </c>
      <c r="O37" s="9" t="s">
        <v>29</v>
      </c>
      <c r="P37" s="20">
        <v>46245.0</v>
      </c>
      <c r="Q37" s="9" t="s">
        <v>30</v>
      </c>
      <c r="R37" s="9" t="s">
        <v>31</v>
      </c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7">
        <v>46246.0</v>
      </c>
      <c r="B38" s="8" t="s">
        <v>151</v>
      </c>
      <c r="C38" s="9" t="s">
        <v>152</v>
      </c>
      <c r="D38" s="10">
        <v>40.0</v>
      </c>
      <c r="E38" s="9" t="s">
        <v>23</v>
      </c>
      <c r="F38" s="9" t="s">
        <v>153</v>
      </c>
      <c r="G38" s="11">
        <v>139.8305</v>
      </c>
      <c r="H38" s="12">
        <f t="shared" si="1"/>
        <v>5593.22</v>
      </c>
      <c r="I38" s="12">
        <f t="shared" si="2"/>
        <v>6599.9996</v>
      </c>
      <c r="J38" s="13" t="s">
        <v>74</v>
      </c>
      <c r="K38" s="9" t="s">
        <v>75</v>
      </c>
      <c r="L38" s="9"/>
      <c r="M38" s="9" t="s">
        <v>154</v>
      </c>
      <c r="N38" s="9" t="s">
        <v>68</v>
      </c>
      <c r="O38" s="9"/>
      <c r="P38" s="20"/>
      <c r="Q38" s="9"/>
      <c r="R38" s="9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7">
        <v>46246.0</v>
      </c>
      <c r="B39" s="18" t="s">
        <v>155</v>
      </c>
      <c r="C39" s="9" t="s">
        <v>156</v>
      </c>
      <c r="D39" s="10">
        <v>100.0</v>
      </c>
      <c r="E39" s="9" t="s">
        <v>23</v>
      </c>
      <c r="F39" s="9" t="s">
        <v>157</v>
      </c>
      <c r="G39" s="11">
        <v>48.3051</v>
      </c>
      <c r="H39" s="12">
        <f t="shared" si="1"/>
        <v>4830.51</v>
      </c>
      <c r="I39" s="12">
        <f t="shared" si="2"/>
        <v>5700.0018</v>
      </c>
      <c r="J39" s="13" t="s">
        <v>158</v>
      </c>
      <c r="K39" s="9" t="s">
        <v>66</v>
      </c>
      <c r="L39" s="9"/>
      <c r="M39" s="9" t="s">
        <v>159</v>
      </c>
      <c r="N39" s="9" t="s">
        <v>68</v>
      </c>
      <c r="O39" s="9"/>
      <c r="P39" s="20"/>
      <c r="Q39" s="9"/>
      <c r="R39" s="9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7">
        <v>46246.0</v>
      </c>
      <c r="B40" s="8" t="s">
        <v>160</v>
      </c>
      <c r="C40" s="9" t="s">
        <v>161</v>
      </c>
      <c r="D40" s="10">
        <v>200.0</v>
      </c>
      <c r="E40" s="9" t="s">
        <v>23</v>
      </c>
      <c r="F40" s="9" t="s">
        <v>162</v>
      </c>
      <c r="G40" s="11">
        <v>47.45763</v>
      </c>
      <c r="H40" s="12">
        <f t="shared" si="1"/>
        <v>9491.526</v>
      </c>
      <c r="I40" s="12">
        <f t="shared" si="2"/>
        <v>11200.00068</v>
      </c>
      <c r="J40" s="13" t="s">
        <v>80</v>
      </c>
      <c r="K40" s="9" t="s">
        <v>81</v>
      </c>
      <c r="L40" s="9"/>
      <c r="M40" s="9" t="s">
        <v>163</v>
      </c>
      <c r="N40" s="9" t="s">
        <v>28</v>
      </c>
      <c r="O40" s="9" t="s">
        <v>29</v>
      </c>
      <c r="P40" s="20"/>
      <c r="Q40" s="9" t="s">
        <v>30</v>
      </c>
      <c r="R40" s="9" t="s">
        <v>31</v>
      </c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7">
        <v>46246.0</v>
      </c>
      <c r="B41" s="8" t="s">
        <v>164</v>
      </c>
      <c r="C41" s="9" t="s">
        <v>165</v>
      </c>
      <c r="D41" s="10">
        <v>50.0</v>
      </c>
      <c r="E41" s="9" t="s">
        <v>23</v>
      </c>
      <c r="F41" s="9" t="s">
        <v>79</v>
      </c>
      <c r="G41" s="11">
        <v>50.8474</v>
      </c>
      <c r="H41" s="12">
        <f t="shared" si="1"/>
        <v>2542.37</v>
      </c>
      <c r="I41" s="12">
        <f t="shared" si="2"/>
        <v>2999.9966</v>
      </c>
      <c r="J41" s="13" t="s">
        <v>80</v>
      </c>
      <c r="K41" s="9" t="s">
        <v>81</v>
      </c>
      <c r="L41" s="9"/>
      <c r="M41" s="9" t="s">
        <v>166</v>
      </c>
      <c r="N41" s="9" t="s">
        <v>28</v>
      </c>
      <c r="O41" s="9" t="s">
        <v>29</v>
      </c>
      <c r="P41" s="20"/>
      <c r="Q41" s="9" t="s">
        <v>30</v>
      </c>
      <c r="R41" s="9" t="s">
        <v>31</v>
      </c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7">
        <v>46246.0</v>
      </c>
      <c r="B42" s="18" t="s">
        <v>167</v>
      </c>
      <c r="C42" s="9" t="s">
        <v>168</v>
      </c>
      <c r="D42" s="10">
        <v>120.0</v>
      </c>
      <c r="E42" s="9" t="s">
        <v>40</v>
      </c>
      <c r="F42" s="9" t="s">
        <v>51</v>
      </c>
      <c r="G42" s="11">
        <v>59.322</v>
      </c>
      <c r="H42" s="12">
        <f t="shared" si="1"/>
        <v>7118.64</v>
      </c>
      <c r="I42" s="12">
        <f t="shared" si="2"/>
        <v>8399.9952</v>
      </c>
      <c r="J42" s="13" t="s">
        <v>52</v>
      </c>
      <c r="K42" s="9" t="s">
        <v>53</v>
      </c>
      <c r="L42" s="9"/>
      <c r="M42" s="9" t="s">
        <v>169</v>
      </c>
      <c r="N42" s="9" t="s">
        <v>28</v>
      </c>
      <c r="O42" s="9" t="s">
        <v>29</v>
      </c>
      <c r="P42" s="20"/>
      <c r="Q42" s="9" t="s">
        <v>30</v>
      </c>
      <c r="R42" s="9" t="s">
        <v>31</v>
      </c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7">
        <v>46246.0</v>
      </c>
      <c r="B43" s="21" t="s">
        <v>170</v>
      </c>
      <c r="C43" s="9" t="s">
        <v>171</v>
      </c>
      <c r="D43" s="10">
        <v>55.0</v>
      </c>
      <c r="E43" s="9" t="s">
        <v>23</v>
      </c>
      <c r="F43" s="9" t="s">
        <v>172</v>
      </c>
      <c r="G43" s="11">
        <v>48.30508</v>
      </c>
      <c r="H43" s="12">
        <f t="shared" si="1"/>
        <v>2656.7794</v>
      </c>
      <c r="I43" s="12">
        <f t="shared" si="2"/>
        <v>3134.999692</v>
      </c>
      <c r="J43" s="13" t="s">
        <v>173</v>
      </c>
      <c r="K43" s="9" t="s">
        <v>174</v>
      </c>
      <c r="L43" s="9"/>
      <c r="M43" s="9" t="s">
        <v>175</v>
      </c>
      <c r="N43" s="9" t="s">
        <v>176</v>
      </c>
      <c r="O43" s="9"/>
      <c r="P43" s="20"/>
      <c r="Q43" s="9"/>
      <c r="R43" s="9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7">
        <v>46246.0</v>
      </c>
      <c r="B44" s="21" t="s">
        <v>170</v>
      </c>
      <c r="C44" s="9" t="s">
        <v>171</v>
      </c>
      <c r="D44" s="10">
        <v>55.0</v>
      </c>
      <c r="E44" s="9" t="s">
        <v>23</v>
      </c>
      <c r="F44" s="9" t="s">
        <v>177</v>
      </c>
      <c r="G44" s="11">
        <v>52.5424</v>
      </c>
      <c r="H44" s="12">
        <f t="shared" si="1"/>
        <v>2889.832</v>
      </c>
      <c r="I44" s="12">
        <f t="shared" si="2"/>
        <v>3410.00176</v>
      </c>
      <c r="J44" s="13" t="s">
        <v>173</v>
      </c>
      <c r="K44" s="9" t="s">
        <v>174</v>
      </c>
      <c r="L44" s="9"/>
      <c r="M44" s="9" t="s">
        <v>178</v>
      </c>
      <c r="N44" s="9" t="s">
        <v>176</v>
      </c>
      <c r="O44" s="9"/>
      <c r="P44" s="20"/>
      <c r="Q44" s="9"/>
      <c r="R44" s="9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7">
        <v>46246.0</v>
      </c>
      <c r="B45" s="21" t="s">
        <v>170</v>
      </c>
      <c r="C45" s="9" t="s">
        <v>171</v>
      </c>
      <c r="D45" s="10">
        <v>22.0</v>
      </c>
      <c r="E45" s="9" t="s">
        <v>40</v>
      </c>
      <c r="F45" s="9" t="s">
        <v>179</v>
      </c>
      <c r="G45" s="11">
        <v>48.305</v>
      </c>
      <c r="H45" s="12">
        <f t="shared" si="1"/>
        <v>1062.71</v>
      </c>
      <c r="I45" s="12">
        <f t="shared" si="2"/>
        <v>1253.9978</v>
      </c>
      <c r="J45" s="13" t="s">
        <v>173</v>
      </c>
      <c r="K45" s="9" t="s">
        <v>174</v>
      </c>
      <c r="L45" s="9"/>
      <c r="M45" s="9" t="s">
        <v>180</v>
      </c>
      <c r="N45" s="9" t="s">
        <v>176</v>
      </c>
      <c r="O45" s="9"/>
      <c r="P45" s="20"/>
      <c r="Q45" s="9"/>
      <c r="R45" s="9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7">
        <v>46247.0</v>
      </c>
      <c r="B46" s="18" t="s">
        <v>181</v>
      </c>
      <c r="C46" s="9" t="s">
        <v>182</v>
      </c>
      <c r="D46" s="10">
        <v>10.0</v>
      </c>
      <c r="E46" s="9" t="s">
        <v>40</v>
      </c>
      <c r="F46" s="9" t="s">
        <v>56</v>
      </c>
      <c r="G46" s="11">
        <v>67.7966</v>
      </c>
      <c r="H46" s="12">
        <f t="shared" si="1"/>
        <v>677.966</v>
      </c>
      <c r="I46" s="12">
        <f t="shared" si="2"/>
        <v>799.99988</v>
      </c>
      <c r="J46" s="13" t="s">
        <v>52</v>
      </c>
      <c r="K46" s="9" t="s">
        <v>53</v>
      </c>
      <c r="L46" s="9"/>
      <c r="M46" s="9" t="s">
        <v>183</v>
      </c>
      <c r="N46" s="9" t="s">
        <v>28</v>
      </c>
      <c r="O46" s="9" t="s">
        <v>29</v>
      </c>
      <c r="P46" s="20"/>
      <c r="Q46" s="9" t="s">
        <v>30</v>
      </c>
      <c r="R46" s="9" t="s">
        <v>31</v>
      </c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7">
        <v>46247.0</v>
      </c>
      <c r="B47" s="18" t="s">
        <v>184</v>
      </c>
      <c r="C47" s="9" t="s">
        <v>185</v>
      </c>
      <c r="D47" s="10">
        <v>11.0</v>
      </c>
      <c r="E47" s="9" t="s">
        <v>40</v>
      </c>
      <c r="F47" s="9" t="s">
        <v>41</v>
      </c>
      <c r="G47" s="11">
        <v>84.7457</v>
      </c>
      <c r="H47" s="12">
        <f t="shared" si="1"/>
        <v>932.2027</v>
      </c>
      <c r="I47" s="12">
        <f t="shared" si="2"/>
        <v>1099.999186</v>
      </c>
      <c r="J47" s="13" t="s">
        <v>25</v>
      </c>
      <c r="K47" s="9" t="s">
        <v>26</v>
      </c>
      <c r="L47" s="9"/>
      <c r="M47" s="9" t="s">
        <v>186</v>
      </c>
      <c r="N47" s="9" t="s">
        <v>28</v>
      </c>
      <c r="O47" s="9" t="s">
        <v>29</v>
      </c>
      <c r="P47" s="20"/>
      <c r="Q47" s="9" t="s">
        <v>30</v>
      </c>
      <c r="R47" s="9" t="s">
        <v>31</v>
      </c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7">
        <v>46248.0</v>
      </c>
      <c r="B48" s="18" t="s">
        <v>187</v>
      </c>
      <c r="C48" s="9" t="s">
        <v>188</v>
      </c>
      <c r="D48" s="10">
        <v>150.0</v>
      </c>
      <c r="E48" s="9" t="s">
        <v>23</v>
      </c>
      <c r="F48" s="9" t="s">
        <v>73</v>
      </c>
      <c r="G48" s="11">
        <v>50.84745</v>
      </c>
      <c r="H48" s="12">
        <f t="shared" si="1"/>
        <v>7627.1175</v>
      </c>
      <c r="I48" s="12">
        <f t="shared" si="2"/>
        <v>8999.99865</v>
      </c>
      <c r="J48" s="13" t="s">
        <v>74</v>
      </c>
      <c r="K48" s="9" t="s">
        <v>75</v>
      </c>
      <c r="L48" s="9"/>
      <c r="M48" s="9" t="s">
        <v>189</v>
      </c>
      <c r="N48" s="9" t="s">
        <v>68</v>
      </c>
      <c r="O48" s="9"/>
      <c r="P48" s="20"/>
      <c r="Q48" s="9"/>
      <c r="R48" s="9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7">
        <v>46248.0</v>
      </c>
      <c r="B49" s="18" t="s">
        <v>190</v>
      </c>
      <c r="C49" s="9" t="s">
        <v>191</v>
      </c>
      <c r="D49" s="10">
        <v>18.0</v>
      </c>
      <c r="E49" s="9" t="s">
        <v>40</v>
      </c>
      <c r="F49" s="9" t="s">
        <v>192</v>
      </c>
      <c r="G49" s="11">
        <v>88.983</v>
      </c>
      <c r="H49" s="12">
        <f t="shared" si="1"/>
        <v>1601.694</v>
      </c>
      <c r="I49" s="12">
        <f t="shared" si="2"/>
        <v>1889.99892</v>
      </c>
      <c r="J49" s="13" t="s">
        <v>25</v>
      </c>
      <c r="K49" s="9" t="s">
        <v>26</v>
      </c>
      <c r="L49" s="9"/>
      <c r="M49" s="9" t="s">
        <v>193</v>
      </c>
      <c r="N49" s="9" t="s">
        <v>28</v>
      </c>
      <c r="O49" s="9" t="s">
        <v>29</v>
      </c>
      <c r="P49" s="20"/>
      <c r="Q49" s="9" t="s">
        <v>30</v>
      </c>
      <c r="R49" s="9" t="s">
        <v>31</v>
      </c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7">
        <v>46248.0</v>
      </c>
      <c r="B50" s="18" t="s">
        <v>194</v>
      </c>
      <c r="C50" s="9" t="s">
        <v>195</v>
      </c>
      <c r="D50" s="10">
        <v>35.0</v>
      </c>
      <c r="E50" s="9" t="s">
        <v>23</v>
      </c>
      <c r="F50" s="9" t="s">
        <v>196</v>
      </c>
      <c r="G50" s="11">
        <v>56.7796</v>
      </c>
      <c r="H50" s="12">
        <f t="shared" si="1"/>
        <v>1987.286</v>
      </c>
      <c r="I50" s="12">
        <f t="shared" si="2"/>
        <v>2344.99748</v>
      </c>
      <c r="J50" s="13" t="s">
        <v>25</v>
      </c>
      <c r="K50" s="9" t="s">
        <v>26</v>
      </c>
      <c r="L50" s="9"/>
      <c r="M50" s="9" t="s">
        <v>197</v>
      </c>
      <c r="N50" s="9" t="s">
        <v>28</v>
      </c>
      <c r="O50" s="9" t="s">
        <v>29</v>
      </c>
      <c r="P50" s="20"/>
      <c r="Q50" s="9" t="s">
        <v>30</v>
      </c>
      <c r="R50" s="9" t="s">
        <v>31</v>
      </c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7">
        <v>46249.0</v>
      </c>
      <c r="B51" s="18" t="s">
        <v>198</v>
      </c>
      <c r="C51" s="9" t="s">
        <v>199</v>
      </c>
      <c r="D51" s="10">
        <v>6.0</v>
      </c>
      <c r="E51" s="9" t="s">
        <v>23</v>
      </c>
      <c r="F51" s="9" t="s">
        <v>34</v>
      </c>
      <c r="G51" s="11">
        <v>35.0</v>
      </c>
      <c r="H51" s="12">
        <f t="shared" si="1"/>
        <v>210</v>
      </c>
      <c r="I51" s="12">
        <f t="shared" si="2"/>
        <v>247.8</v>
      </c>
      <c r="J51" s="13" t="s">
        <v>35</v>
      </c>
      <c r="K51" s="9" t="s">
        <v>36</v>
      </c>
      <c r="L51" s="9"/>
      <c r="M51" s="9" t="s">
        <v>200</v>
      </c>
      <c r="N51" s="9" t="s">
        <v>28</v>
      </c>
      <c r="O51" s="9" t="s">
        <v>29</v>
      </c>
      <c r="P51" s="20"/>
      <c r="Q51" s="9" t="s">
        <v>30</v>
      </c>
      <c r="R51" s="9" t="s">
        <v>31</v>
      </c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7">
        <v>46249.0</v>
      </c>
      <c r="B52" s="18" t="s">
        <v>201</v>
      </c>
      <c r="C52" s="9" t="s">
        <v>202</v>
      </c>
      <c r="D52" s="10">
        <v>35.0</v>
      </c>
      <c r="E52" s="9" t="s">
        <v>23</v>
      </c>
      <c r="F52" s="9" t="s">
        <v>203</v>
      </c>
      <c r="G52" s="11">
        <v>50.8474</v>
      </c>
      <c r="H52" s="12">
        <f t="shared" si="1"/>
        <v>1779.659</v>
      </c>
      <c r="I52" s="12">
        <f t="shared" si="2"/>
        <v>2099.99762</v>
      </c>
      <c r="J52" s="13" t="s">
        <v>173</v>
      </c>
      <c r="K52" s="9" t="s">
        <v>174</v>
      </c>
      <c r="L52" s="9"/>
      <c r="M52" s="9" t="s">
        <v>204</v>
      </c>
      <c r="N52" s="9" t="s">
        <v>176</v>
      </c>
      <c r="O52" s="9"/>
      <c r="P52" s="20"/>
      <c r="Q52" s="9"/>
      <c r="R52" s="9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22">
        <v>46251.0</v>
      </c>
      <c r="B53" s="18" t="s">
        <v>121</v>
      </c>
      <c r="C53" s="9" t="s">
        <v>205</v>
      </c>
      <c r="D53" s="23">
        <v>2.0</v>
      </c>
      <c r="E53" s="24" t="s">
        <v>40</v>
      </c>
      <c r="F53" s="9" t="s">
        <v>41</v>
      </c>
      <c r="G53" s="25">
        <v>101.6949</v>
      </c>
      <c r="H53" s="12">
        <f t="shared" si="1"/>
        <v>203.3898</v>
      </c>
      <c r="I53" s="12">
        <f t="shared" si="2"/>
        <v>239.999964</v>
      </c>
      <c r="J53" s="26" t="s">
        <v>206</v>
      </c>
      <c r="K53" s="24" t="s">
        <v>207</v>
      </c>
      <c r="L53" s="9"/>
      <c r="M53" s="17" t="s">
        <v>208</v>
      </c>
      <c r="N53" s="9" t="s">
        <v>28</v>
      </c>
      <c r="O53" s="9" t="s">
        <v>29</v>
      </c>
      <c r="P53" s="20"/>
      <c r="Q53" s="9" t="s">
        <v>30</v>
      </c>
      <c r="R53" s="9" t="s">
        <v>31</v>
      </c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22">
        <v>46252.0</v>
      </c>
      <c r="B54" s="18" t="s">
        <v>209</v>
      </c>
      <c r="C54" s="24" t="s">
        <v>210</v>
      </c>
      <c r="D54" s="23">
        <v>14.0</v>
      </c>
      <c r="E54" s="24" t="s">
        <v>23</v>
      </c>
      <c r="F54" s="9" t="s">
        <v>211</v>
      </c>
      <c r="G54" s="25">
        <v>65.2542</v>
      </c>
      <c r="H54" s="12">
        <f t="shared" si="1"/>
        <v>913.5588</v>
      </c>
      <c r="I54" s="12">
        <f t="shared" si="2"/>
        <v>1077.999384</v>
      </c>
      <c r="J54" s="13" t="s">
        <v>25</v>
      </c>
      <c r="K54" s="9" t="s">
        <v>26</v>
      </c>
      <c r="L54" s="9"/>
      <c r="M54" s="17" t="s">
        <v>212</v>
      </c>
      <c r="N54" s="9" t="s">
        <v>28</v>
      </c>
      <c r="O54" s="9" t="s">
        <v>29</v>
      </c>
      <c r="P54" s="20"/>
      <c r="Q54" s="9" t="s">
        <v>30</v>
      </c>
      <c r="R54" s="9" t="s">
        <v>31</v>
      </c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22">
        <v>46252.0</v>
      </c>
      <c r="B55" s="18" t="s">
        <v>213</v>
      </c>
      <c r="C55" s="24" t="s">
        <v>214</v>
      </c>
      <c r="D55" s="23">
        <v>100.0</v>
      </c>
      <c r="E55" s="24" t="s">
        <v>23</v>
      </c>
      <c r="F55" s="9" t="s">
        <v>116</v>
      </c>
      <c r="G55" s="25">
        <v>13.98305</v>
      </c>
      <c r="H55" s="12">
        <f t="shared" si="1"/>
        <v>1398.305</v>
      </c>
      <c r="I55" s="12">
        <f t="shared" si="2"/>
        <v>1649.9999</v>
      </c>
      <c r="J55" s="13" t="s">
        <v>25</v>
      </c>
      <c r="K55" s="9" t="s">
        <v>26</v>
      </c>
      <c r="L55" s="9"/>
      <c r="M55" s="9"/>
      <c r="N55" s="9" t="s">
        <v>28</v>
      </c>
      <c r="O55" s="9" t="s">
        <v>29</v>
      </c>
      <c r="P55" s="20"/>
      <c r="Q55" s="9" t="s">
        <v>30</v>
      </c>
      <c r="R55" s="9" t="s">
        <v>31</v>
      </c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22">
        <v>46252.0</v>
      </c>
      <c r="B56" s="18" t="s">
        <v>215</v>
      </c>
      <c r="C56" s="24" t="s">
        <v>216</v>
      </c>
      <c r="D56" s="23">
        <v>4.0</v>
      </c>
      <c r="E56" s="24" t="s">
        <v>40</v>
      </c>
      <c r="F56" s="9" t="s">
        <v>217</v>
      </c>
      <c r="G56" s="25">
        <v>82.20338</v>
      </c>
      <c r="H56" s="12">
        <f t="shared" si="1"/>
        <v>328.81352</v>
      </c>
      <c r="I56" s="12">
        <f t="shared" si="2"/>
        <v>387.9999536</v>
      </c>
      <c r="J56" s="13" t="s">
        <v>25</v>
      </c>
      <c r="K56" s="9" t="s">
        <v>26</v>
      </c>
      <c r="L56" s="9"/>
      <c r="M56" s="27" t="s">
        <v>218</v>
      </c>
      <c r="N56" s="9" t="s">
        <v>28</v>
      </c>
      <c r="O56" s="9" t="s">
        <v>29</v>
      </c>
      <c r="P56" s="20"/>
      <c r="Q56" s="9" t="s">
        <v>30</v>
      </c>
      <c r="R56" s="9" t="s">
        <v>31</v>
      </c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22">
        <v>46252.0</v>
      </c>
      <c r="B57" s="18" t="s">
        <v>219</v>
      </c>
      <c r="C57" s="24" t="s">
        <v>220</v>
      </c>
      <c r="D57" s="23">
        <v>10.0</v>
      </c>
      <c r="E57" s="24" t="s">
        <v>23</v>
      </c>
      <c r="F57" s="9" t="s">
        <v>221</v>
      </c>
      <c r="G57" s="25">
        <v>50.8474</v>
      </c>
      <c r="H57" s="12">
        <f t="shared" si="1"/>
        <v>508.474</v>
      </c>
      <c r="I57" s="12">
        <f t="shared" si="2"/>
        <v>599.99932</v>
      </c>
      <c r="J57" s="26" t="s">
        <v>158</v>
      </c>
      <c r="K57" s="9" t="s">
        <v>66</v>
      </c>
      <c r="L57" s="9"/>
      <c r="M57" s="17" t="s">
        <v>222</v>
      </c>
      <c r="N57" s="9" t="s">
        <v>68</v>
      </c>
      <c r="O57" s="9"/>
      <c r="P57" s="20"/>
      <c r="Q57" s="9"/>
      <c r="R57" s="9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22">
        <v>46252.0</v>
      </c>
      <c r="B58" s="18" t="s">
        <v>223</v>
      </c>
      <c r="C58" s="24" t="s">
        <v>224</v>
      </c>
      <c r="D58" s="23">
        <v>12.0</v>
      </c>
      <c r="E58" s="24" t="s">
        <v>23</v>
      </c>
      <c r="F58" s="9" t="s">
        <v>225</v>
      </c>
      <c r="G58" s="25">
        <v>46.61</v>
      </c>
      <c r="H58" s="12">
        <f t="shared" si="1"/>
        <v>559.32</v>
      </c>
      <c r="I58" s="12">
        <f t="shared" si="2"/>
        <v>659.9976</v>
      </c>
      <c r="J58" s="13"/>
      <c r="K58" s="9"/>
      <c r="L58" s="9"/>
      <c r="M58" s="17" t="s">
        <v>226</v>
      </c>
      <c r="N58" s="9" t="s">
        <v>28</v>
      </c>
      <c r="O58" s="9" t="s">
        <v>29</v>
      </c>
      <c r="P58" s="20"/>
      <c r="Q58" s="9" t="s">
        <v>30</v>
      </c>
      <c r="R58" s="9" t="s">
        <v>31</v>
      </c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22">
        <v>46252.0</v>
      </c>
      <c r="B59" s="18" t="s">
        <v>223</v>
      </c>
      <c r="C59" s="24" t="s">
        <v>227</v>
      </c>
      <c r="D59" s="23">
        <v>11.0</v>
      </c>
      <c r="E59" s="24" t="s">
        <v>23</v>
      </c>
      <c r="F59" s="9" t="s">
        <v>225</v>
      </c>
      <c r="G59" s="25">
        <v>46.61</v>
      </c>
      <c r="H59" s="12">
        <f t="shared" si="1"/>
        <v>512.71</v>
      </c>
      <c r="I59" s="12">
        <f t="shared" si="2"/>
        <v>604.9978</v>
      </c>
      <c r="J59" s="13"/>
      <c r="K59" s="9"/>
      <c r="L59" s="9"/>
      <c r="M59" s="17" t="s">
        <v>226</v>
      </c>
      <c r="N59" s="9" t="s">
        <v>28</v>
      </c>
      <c r="O59" s="9" t="s">
        <v>29</v>
      </c>
      <c r="P59" s="20"/>
      <c r="Q59" s="9" t="s">
        <v>30</v>
      </c>
      <c r="R59" s="9" t="s">
        <v>31</v>
      </c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22">
        <v>46252.0</v>
      </c>
      <c r="B60" s="18" t="s">
        <v>223</v>
      </c>
      <c r="C60" s="24" t="s">
        <v>228</v>
      </c>
      <c r="D60" s="23">
        <v>12.0</v>
      </c>
      <c r="E60" s="24" t="s">
        <v>23</v>
      </c>
      <c r="F60" s="9" t="s">
        <v>225</v>
      </c>
      <c r="G60" s="25">
        <v>46.61</v>
      </c>
      <c r="H60" s="12">
        <f t="shared" si="1"/>
        <v>559.32</v>
      </c>
      <c r="I60" s="12">
        <f t="shared" si="2"/>
        <v>659.9976</v>
      </c>
      <c r="J60" s="13"/>
      <c r="K60" s="9"/>
      <c r="L60" s="9"/>
      <c r="M60" s="17" t="s">
        <v>226</v>
      </c>
      <c r="N60" s="9" t="s">
        <v>28</v>
      </c>
      <c r="O60" s="9" t="s">
        <v>29</v>
      </c>
      <c r="P60" s="20"/>
      <c r="Q60" s="9" t="s">
        <v>30</v>
      </c>
      <c r="R60" s="9" t="s">
        <v>31</v>
      </c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22">
        <v>46252.0</v>
      </c>
      <c r="B61" s="18" t="s">
        <v>223</v>
      </c>
      <c r="C61" s="24" t="s">
        <v>229</v>
      </c>
      <c r="D61" s="23">
        <v>12.0</v>
      </c>
      <c r="E61" s="24" t="s">
        <v>23</v>
      </c>
      <c r="F61" s="9" t="s">
        <v>225</v>
      </c>
      <c r="G61" s="25">
        <v>46.61</v>
      </c>
      <c r="H61" s="12">
        <f t="shared" si="1"/>
        <v>559.32</v>
      </c>
      <c r="I61" s="12">
        <f t="shared" si="2"/>
        <v>659.9976</v>
      </c>
      <c r="J61" s="13"/>
      <c r="K61" s="9"/>
      <c r="L61" s="9"/>
      <c r="M61" s="17" t="s">
        <v>226</v>
      </c>
      <c r="N61" s="9" t="s">
        <v>28</v>
      </c>
      <c r="O61" s="9" t="s">
        <v>29</v>
      </c>
      <c r="P61" s="20"/>
      <c r="Q61" s="9" t="s">
        <v>30</v>
      </c>
      <c r="R61" s="9" t="s">
        <v>31</v>
      </c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22">
        <v>46252.0</v>
      </c>
      <c r="B62" s="18" t="s">
        <v>223</v>
      </c>
      <c r="C62" s="24" t="s">
        <v>230</v>
      </c>
      <c r="D62" s="23">
        <v>11.0</v>
      </c>
      <c r="E62" s="24" t="s">
        <v>23</v>
      </c>
      <c r="F62" s="9" t="s">
        <v>225</v>
      </c>
      <c r="G62" s="25">
        <v>46.61</v>
      </c>
      <c r="H62" s="12">
        <f t="shared" si="1"/>
        <v>512.71</v>
      </c>
      <c r="I62" s="12">
        <f t="shared" si="2"/>
        <v>604.9978</v>
      </c>
      <c r="J62" s="13"/>
      <c r="K62" s="9"/>
      <c r="L62" s="9"/>
      <c r="M62" s="17" t="s">
        <v>226</v>
      </c>
      <c r="N62" s="9" t="s">
        <v>28</v>
      </c>
      <c r="O62" s="9" t="s">
        <v>29</v>
      </c>
      <c r="P62" s="20"/>
      <c r="Q62" s="9" t="s">
        <v>30</v>
      </c>
      <c r="R62" s="9" t="s">
        <v>31</v>
      </c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22">
        <v>46252.0</v>
      </c>
      <c r="B63" s="18" t="s">
        <v>223</v>
      </c>
      <c r="C63" s="24" t="s">
        <v>231</v>
      </c>
      <c r="D63" s="23">
        <v>12.0</v>
      </c>
      <c r="E63" s="24" t="s">
        <v>23</v>
      </c>
      <c r="F63" s="9" t="s">
        <v>225</v>
      </c>
      <c r="G63" s="25">
        <v>46.61</v>
      </c>
      <c r="H63" s="12">
        <f t="shared" si="1"/>
        <v>559.32</v>
      </c>
      <c r="I63" s="12">
        <f t="shared" si="2"/>
        <v>659.9976</v>
      </c>
      <c r="J63" s="13"/>
      <c r="K63" s="9"/>
      <c r="L63" s="9"/>
      <c r="M63" s="17" t="s">
        <v>226</v>
      </c>
      <c r="N63" s="9" t="s">
        <v>28</v>
      </c>
      <c r="O63" s="9" t="s">
        <v>29</v>
      </c>
      <c r="P63" s="20"/>
      <c r="Q63" s="9" t="s">
        <v>30</v>
      </c>
      <c r="R63" s="9" t="s">
        <v>31</v>
      </c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22">
        <v>46252.0</v>
      </c>
      <c r="B64" s="18" t="s">
        <v>223</v>
      </c>
      <c r="C64" s="24" t="s">
        <v>232</v>
      </c>
      <c r="D64" s="23">
        <v>12.0</v>
      </c>
      <c r="E64" s="24" t="s">
        <v>23</v>
      </c>
      <c r="F64" s="9" t="s">
        <v>225</v>
      </c>
      <c r="G64" s="25">
        <v>46.61</v>
      </c>
      <c r="H64" s="12">
        <f t="shared" si="1"/>
        <v>559.32</v>
      </c>
      <c r="I64" s="12">
        <f t="shared" si="2"/>
        <v>659.9976</v>
      </c>
      <c r="J64" s="13"/>
      <c r="K64" s="9"/>
      <c r="L64" s="9"/>
      <c r="M64" s="17" t="s">
        <v>226</v>
      </c>
      <c r="N64" s="9" t="s">
        <v>28</v>
      </c>
      <c r="O64" s="9" t="s">
        <v>29</v>
      </c>
      <c r="P64" s="20"/>
      <c r="Q64" s="9" t="s">
        <v>30</v>
      </c>
      <c r="R64" s="9" t="s">
        <v>31</v>
      </c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22">
        <v>46252.0</v>
      </c>
      <c r="B65" s="18" t="s">
        <v>223</v>
      </c>
      <c r="C65" s="24" t="s">
        <v>233</v>
      </c>
      <c r="D65" s="23">
        <v>12.0</v>
      </c>
      <c r="E65" s="24" t="s">
        <v>23</v>
      </c>
      <c r="F65" s="9" t="s">
        <v>225</v>
      </c>
      <c r="G65" s="25">
        <v>46.61</v>
      </c>
      <c r="H65" s="12">
        <f t="shared" si="1"/>
        <v>559.32</v>
      </c>
      <c r="I65" s="12">
        <f t="shared" si="2"/>
        <v>659.9976</v>
      </c>
      <c r="J65" s="13"/>
      <c r="K65" s="9"/>
      <c r="L65" s="9"/>
      <c r="M65" s="17" t="s">
        <v>226</v>
      </c>
      <c r="N65" s="9" t="s">
        <v>28</v>
      </c>
      <c r="O65" s="9" t="s">
        <v>29</v>
      </c>
      <c r="P65" s="20"/>
      <c r="Q65" s="9" t="s">
        <v>30</v>
      </c>
      <c r="R65" s="9" t="s">
        <v>31</v>
      </c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22">
        <v>46252.0</v>
      </c>
      <c r="B66" s="18" t="s">
        <v>223</v>
      </c>
      <c r="C66" s="24" t="s">
        <v>234</v>
      </c>
      <c r="D66" s="23">
        <v>6.0</v>
      </c>
      <c r="E66" s="24" t="s">
        <v>23</v>
      </c>
      <c r="F66" s="9" t="s">
        <v>225</v>
      </c>
      <c r="G66" s="25">
        <v>46.61</v>
      </c>
      <c r="H66" s="12">
        <f t="shared" si="1"/>
        <v>279.66</v>
      </c>
      <c r="I66" s="12">
        <f t="shared" si="2"/>
        <v>329.9988</v>
      </c>
      <c r="J66" s="13"/>
      <c r="K66" s="9"/>
      <c r="L66" s="9"/>
      <c r="M66" s="17" t="s">
        <v>226</v>
      </c>
      <c r="N66" s="9" t="s">
        <v>28</v>
      </c>
      <c r="O66" s="9" t="s">
        <v>29</v>
      </c>
      <c r="P66" s="20"/>
      <c r="Q66" s="9" t="s">
        <v>30</v>
      </c>
      <c r="R66" s="9" t="s">
        <v>31</v>
      </c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22">
        <v>46252.0</v>
      </c>
      <c r="B67" s="18" t="s">
        <v>235</v>
      </c>
      <c r="C67" s="24" t="s">
        <v>236</v>
      </c>
      <c r="D67" s="23">
        <v>2.0</v>
      </c>
      <c r="E67" s="24" t="s">
        <v>23</v>
      </c>
      <c r="F67" s="9" t="s">
        <v>237</v>
      </c>
      <c r="G67" s="25">
        <v>73.7288</v>
      </c>
      <c r="H67" s="12">
        <f t="shared" si="1"/>
        <v>147.4576</v>
      </c>
      <c r="I67" s="12">
        <f t="shared" si="2"/>
        <v>173.999968</v>
      </c>
      <c r="J67" s="26" t="s">
        <v>238</v>
      </c>
      <c r="K67" s="24" t="s">
        <v>239</v>
      </c>
      <c r="L67" s="9"/>
      <c r="M67" s="27" t="s">
        <v>240</v>
      </c>
      <c r="N67" s="9" t="s">
        <v>28</v>
      </c>
      <c r="O67" s="9" t="s">
        <v>29</v>
      </c>
      <c r="P67" s="20"/>
      <c r="Q67" s="9" t="s">
        <v>30</v>
      </c>
      <c r="R67" s="9" t="s">
        <v>31</v>
      </c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22">
        <v>46253.0</v>
      </c>
      <c r="B68" s="18" t="s">
        <v>241</v>
      </c>
      <c r="C68" s="24" t="s">
        <v>242</v>
      </c>
      <c r="D68" s="23">
        <v>12.0</v>
      </c>
      <c r="E68" s="24" t="s">
        <v>40</v>
      </c>
      <c r="F68" s="9" t="s">
        <v>243</v>
      </c>
      <c r="G68" s="25">
        <v>52.5423</v>
      </c>
      <c r="H68" s="12">
        <f t="shared" si="1"/>
        <v>630.5076</v>
      </c>
      <c r="I68" s="12">
        <f t="shared" si="2"/>
        <v>743.998968</v>
      </c>
      <c r="J68" s="13" t="s">
        <v>25</v>
      </c>
      <c r="K68" s="9" t="s">
        <v>26</v>
      </c>
      <c r="L68" s="9"/>
      <c r="M68" s="28" t="s">
        <v>244</v>
      </c>
      <c r="N68" s="9" t="s">
        <v>28</v>
      </c>
      <c r="O68" s="9" t="s">
        <v>29</v>
      </c>
      <c r="P68" s="20"/>
      <c r="Q68" s="9" t="s">
        <v>30</v>
      </c>
      <c r="R68" s="9" t="s">
        <v>31</v>
      </c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22">
        <v>46253.0</v>
      </c>
      <c r="B69" s="18" t="s">
        <v>245</v>
      </c>
      <c r="C69" s="24" t="s">
        <v>242</v>
      </c>
      <c r="D69" s="23">
        <v>26.0</v>
      </c>
      <c r="E69" s="24" t="s">
        <v>40</v>
      </c>
      <c r="F69" s="9" t="s">
        <v>246</v>
      </c>
      <c r="G69" s="25">
        <v>38.1355</v>
      </c>
      <c r="H69" s="12">
        <f t="shared" si="1"/>
        <v>991.523</v>
      </c>
      <c r="I69" s="12">
        <f t="shared" si="2"/>
        <v>1169.99714</v>
      </c>
      <c r="J69" s="13" t="s">
        <v>247</v>
      </c>
      <c r="K69" s="9" t="s">
        <v>26</v>
      </c>
      <c r="L69" s="9"/>
      <c r="M69" s="28" t="s">
        <v>248</v>
      </c>
      <c r="N69" s="9" t="s">
        <v>28</v>
      </c>
      <c r="O69" s="9" t="s">
        <v>29</v>
      </c>
      <c r="P69" s="20"/>
      <c r="Q69" s="9" t="s">
        <v>30</v>
      </c>
      <c r="R69" s="9" t="s">
        <v>31</v>
      </c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22">
        <v>46253.0</v>
      </c>
      <c r="B70" s="18" t="s">
        <v>249</v>
      </c>
      <c r="C70" s="24" t="s">
        <v>250</v>
      </c>
      <c r="D70" s="23">
        <v>220.0</v>
      </c>
      <c r="E70" s="24" t="s">
        <v>40</v>
      </c>
      <c r="F70" s="9" t="s">
        <v>251</v>
      </c>
      <c r="G70" s="25">
        <v>9.74576</v>
      </c>
      <c r="H70" s="12">
        <f t="shared" si="1"/>
        <v>2144.0672</v>
      </c>
      <c r="I70" s="12">
        <f t="shared" si="2"/>
        <v>2529.999296</v>
      </c>
      <c r="J70" s="26" t="s">
        <v>252</v>
      </c>
      <c r="K70" s="24" t="s">
        <v>253</v>
      </c>
      <c r="L70" s="9"/>
      <c r="M70" s="27" t="s">
        <v>254</v>
      </c>
      <c r="N70" s="24" t="s">
        <v>255</v>
      </c>
      <c r="O70" s="9"/>
      <c r="P70" s="20"/>
      <c r="Q70" s="9"/>
      <c r="R70" s="9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22">
        <v>46253.0</v>
      </c>
      <c r="B71" s="18" t="s">
        <v>256</v>
      </c>
      <c r="C71" s="24" t="s">
        <v>257</v>
      </c>
      <c r="D71" s="23">
        <v>8.0</v>
      </c>
      <c r="E71" s="24" t="s">
        <v>23</v>
      </c>
      <c r="F71" s="9" t="s">
        <v>258</v>
      </c>
      <c r="G71" s="25">
        <v>38.1355</v>
      </c>
      <c r="H71" s="12">
        <f t="shared" si="1"/>
        <v>305.084</v>
      </c>
      <c r="I71" s="12">
        <f t="shared" si="2"/>
        <v>359.99912</v>
      </c>
      <c r="J71" s="26" t="s">
        <v>42</v>
      </c>
      <c r="K71" s="9" t="s">
        <v>259</v>
      </c>
      <c r="L71" s="9"/>
      <c r="M71" s="27" t="s">
        <v>260</v>
      </c>
      <c r="N71" s="9" t="s">
        <v>28</v>
      </c>
      <c r="O71" s="9" t="s">
        <v>29</v>
      </c>
      <c r="P71" s="20"/>
      <c r="Q71" s="9" t="s">
        <v>30</v>
      </c>
      <c r="R71" s="9" t="s">
        <v>31</v>
      </c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22">
        <v>46253.0</v>
      </c>
      <c r="B72" s="18" t="s">
        <v>256</v>
      </c>
      <c r="C72" s="24" t="s">
        <v>257</v>
      </c>
      <c r="D72" s="23">
        <v>1.0</v>
      </c>
      <c r="E72" s="9" t="s">
        <v>127</v>
      </c>
      <c r="F72" s="9" t="s">
        <v>136</v>
      </c>
      <c r="G72" s="11">
        <v>20.3389</v>
      </c>
      <c r="H72" s="12">
        <f t="shared" si="1"/>
        <v>20.3389</v>
      </c>
      <c r="I72" s="12">
        <f t="shared" si="2"/>
        <v>23.999902</v>
      </c>
      <c r="J72" s="13" t="s">
        <v>42</v>
      </c>
      <c r="K72" s="9" t="s">
        <v>43</v>
      </c>
      <c r="L72" s="9"/>
      <c r="M72" s="27" t="s">
        <v>260</v>
      </c>
      <c r="N72" s="9" t="s">
        <v>28</v>
      </c>
      <c r="O72" s="9" t="s">
        <v>29</v>
      </c>
      <c r="P72" s="20"/>
      <c r="Q72" s="9" t="s">
        <v>30</v>
      </c>
      <c r="R72" s="9" t="s">
        <v>31</v>
      </c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22">
        <v>46254.0</v>
      </c>
      <c r="B73" s="18" t="s">
        <v>261</v>
      </c>
      <c r="C73" s="24" t="s">
        <v>262</v>
      </c>
      <c r="D73" s="23">
        <v>90.0</v>
      </c>
      <c r="E73" s="24" t="s">
        <v>23</v>
      </c>
      <c r="F73" s="9" t="s">
        <v>221</v>
      </c>
      <c r="G73" s="25">
        <v>46.6102</v>
      </c>
      <c r="H73" s="12">
        <f t="shared" si="1"/>
        <v>4194.918</v>
      </c>
      <c r="I73" s="12">
        <f t="shared" si="2"/>
        <v>4950.00324</v>
      </c>
      <c r="J73" s="26" t="s">
        <v>158</v>
      </c>
      <c r="K73" s="9" t="s">
        <v>66</v>
      </c>
      <c r="L73" s="9"/>
      <c r="M73" s="27" t="s">
        <v>263</v>
      </c>
      <c r="N73" s="9" t="s">
        <v>68</v>
      </c>
      <c r="O73" s="9"/>
      <c r="P73" s="20"/>
      <c r="Q73" s="9"/>
      <c r="R73" s="9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22">
        <v>46254.0</v>
      </c>
      <c r="B74" s="18"/>
      <c r="C74" s="24" t="s">
        <v>264</v>
      </c>
      <c r="D74" s="23">
        <v>340.0</v>
      </c>
      <c r="E74" s="24" t="s">
        <v>23</v>
      </c>
      <c r="F74" s="24" t="s">
        <v>265</v>
      </c>
      <c r="G74" s="25">
        <v>19.00304</v>
      </c>
      <c r="H74" s="12">
        <f t="shared" si="1"/>
        <v>6461.0336</v>
      </c>
      <c r="I74" s="12">
        <f t="shared" si="2"/>
        <v>7624.019648</v>
      </c>
      <c r="J74" s="26" t="s">
        <v>266</v>
      </c>
      <c r="K74" s="24" t="s">
        <v>267</v>
      </c>
      <c r="L74" s="9"/>
      <c r="M74" s="27"/>
      <c r="N74" s="24" t="s">
        <v>268</v>
      </c>
      <c r="O74" s="24" t="s">
        <v>29</v>
      </c>
      <c r="P74" s="20"/>
      <c r="Q74" s="9" t="s">
        <v>30</v>
      </c>
      <c r="R74" s="9" t="s">
        <v>31</v>
      </c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22">
        <v>46254.0</v>
      </c>
      <c r="B75" s="18"/>
      <c r="C75" s="24" t="s">
        <v>264</v>
      </c>
      <c r="D75" s="23">
        <v>29.0</v>
      </c>
      <c r="E75" s="24" t="s">
        <v>23</v>
      </c>
      <c r="F75" s="24" t="s">
        <v>269</v>
      </c>
      <c r="G75" s="25">
        <v>56.7796</v>
      </c>
      <c r="H75" s="12">
        <f t="shared" si="1"/>
        <v>1646.6084</v>
      </c>
      <c r="I75" s="12">
        <f t="shared" si="2"/>
        <v>1942.997912</v>
      </c>
      <c r="J75" s="26" t="s">
        <v>266</v>
      </c>
      <c r="K75" s="24" t="s">
        <v>270</v>
      </c>
      <c r="L75" s="9"/>
      <c r="M75" s="27"/>
      <c r="N75" s="24" t="s">
        <v>268</v>
      </c>
      <c r="O75" s="24" t="s">
        <v>29</v>
      </c>
      <c r="P75" s="20"/>
      <c r="Q75" s="9" t="s">
        <v>30</v>
      </c>
      <c r="R75" s="9" t="s">
        <v>31</v>
      </c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22">
        <v>46255.0</v>
      </c>
      <c r="B76" s="18" t="s">
        <v>271</v>
      </c>
      <c r="C76" s="24" t="s">
        <v>272</v>
      </c>
      <c r="D76" s="23">
        <v>4.0</v>
      </c>
      <c r="E76" s="24" t="s">
        <v>23</v>
      </c>
      <c r="F76" s="9"/>
      <c r="G76" s="25">
        <v>63.5593</v>
      </c>
      <c r="H76" s="12">
        <f t="shared" si="1"/>
        <v>254.2372</v>
      </c>
      <c r="I76" s="12">
        <f t="shared" si="2"/>
        <v>299.999896</v>
      </c>
      <c r="J76" s="13" t="s">
        <v>25</v>
      </c>
      <c r="K76" s="9" t="s">
        <v>26</v>
      </c>
      <c r="L76" s="9"/>
      <c r="M76" s="27" t="s">
        <v>273</v>
      </c>
      <c r="N76" s="9" t="s">
        <v>28</v>
      </c>
      <c r="O76" s="9" t="s">
        <v>29</v>
      </c>
      <c r="P76" s="20"/>
      <c r="Q76" s="9" t="s">
        <v>30</v>
      </c>
      <c r="R76" s="9" t="s">
        <v>31</v>
      </c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22">
        <v>46255.0</v>
      </c>
      <c r="B77" s="18" t="s">
        <v>271</v>
      </c>
      <c r="C77" s="24" t="s">
        <v>272</v>
      </c>
      <c r="D77" s="23">
        <v>1.0</v>
      </c>
      <c r="E77" s="24" t="s">
        <v>127</v>
      </c>
      <c r="F77" s="9"/>
      <c r="G77" s="25">
        <v>20.3389</v>
      </c>
      <c r="H77" s="12">
        <f t="shared" si="1"/>
        <v>20.3389</v>
      </c>
      <c r="I77" s="12">
        <f t="shared" si="2"/>
        <v>23.999902</v>
      </c>
      <c r="J77" s="13" t="s">
        <v>25</v>
      </c>
      <c r="K77" s="9" t="s">
        <v>26</v>
      </c>
      <c r="L77" s="9"/>
      <c r="M77" s="9"/>
      <c r="N77" s="9" t="s">
        <v>28</v>
      </c>
      <c r="O77" s="9" t="s">
        <v>29</v>
      </c>
      <c r="P77" s="20"/>
      <c r="Q77" s="9" t="s">
        <v>30</v>
      </c>
      <c r="R77" s="9" t="s">
        <v>31</v>
      </c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22">
        <v>46256.0</v>
      </c>
      <c r="B78" s="18" t="s">
        <v>274</v>
      </c>
      <c r="C78" s="24" t="s">
        <v>275</v>
      </c>
      <c r="D78" s="23">
        <v>18.0</v>
      </c>
      <c r="E78" s="24" t="s">
        <v>23</v>
      </c>
      <c r="F78" s="9"/>
      <c r="G78" s="25">
        <v>59.322</v>
      </c>
      <c r="H78" s="12">
        <f t="shared" si="1"/>
        <v>1067.796</v>
      </c>
      <c r="I78" s="12">
        <f t="shared" si="2"/>
        <v>1259.99928</v>
      </c>
      <c r="J78" s="13" t="s">
        <v>25</v>
      </c>
      <c r="K78" s="9" t="s">
        <v>26</v>
      </c>
      <c r="L78" s="9"/>
      <c r="M78" s="28" t="s">
        <v>276</v>
      </c>
      <c r="N78" s="9" t="s">
        <v>28</v>
      </c>
      <c r="O78" s="9" t="s">
        <v>29</v>
      </c>
      <c r="P78" s="20"/>
      <c r="Q78" s="9" t="s">
        <v>30</v>
      </c>
      <c r="R78" s="9" t="s">
        <v>31</v>
      </c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22">
        <v>46256.0</v>
      </c>
      <c r="B79" s="18" t="s">
        <v>277</v>
      </c>
      <c r="C79" s="24" t="s">
        <v>278</v>
      </c>
      <c r="D79" s="23">
        <v>4.0</v>
      </c>
      <c r="E79" s="24" t="s">
        <v>23</v>
      </c>
      <c r="F79" s="9"/>
      <c r="G79" s="25">
        <v>38.1355</v>
      </c>
      <c r="H79" s="12">
        <f t="shared" si="1"/>
        <v>152.542</v>
      </c>
      <c r="I79" s="12">
        <f t="shared" si="2"/>
        <v>179.99956</v>
      </c>
      <c r="J79" s="13" t="s">
        <v>25</v>
      </c>
      <c r="K79" s="9" t="s">
        <v>26</v>
      </c>
      <c r="L79" s="9"/>
      <c r="M79" s="28" t="s">
        <v>279</v>
      </c>
      <c r="N79" s="9" t="s">
        <v>28</v>
      </c>
      <c r="O79" s="9" t="s">
        <v>29</v>
      </c>
      <c r="P79" s="20"/>
      <c r="Q79" s="9" t="s">
        <v>30</v>
      </c>
      <c r="R79" s="9" t="s">
        <v>31</v>
      </c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22">
        <v>46256.0</v>
      </c>
      <c r="B80" s="29" t="s">
        <v>277</v>
      </c>
      <c r="C80" s="24" t="s">
        <v>278</v>
      </c>
      <c r="D80" s="23">
        <v>1.0</v>
      </c>
      <c r="E80" s="24" t="s">
        <v>127</v>
      </c>
      <c r="F80" s="9"/>
      <c r="G80" s="25">
        <v>20.3389</v>
      </c>
      <c r="H80" s="12">
        <f t="shared" si="1"/>
        <v>20.3389</v>
      </c>
      <c r="I80" s="12">
        <f t="shared" si="2"/>
        <v>23.999902</v>
      </c>
      <c r="J80" s="13" t="s">
        <v>25</v>
      </c>
      <c r="K80" s="9" t="s">
        <v>26</v>
      </c>
      <c r="L80" s="9"/>
      <c r="M80" s="9"/>
      <c r="N80" s="9" t="s">
        <v>28</v>
      </c>
      <c r="O80" s="9" t="s">
        <v>29</v>
      </c>
      <c r="P80" s="20"/>
      <c r="Q80" s="9" t="s">
        <v>30</v>
      </c>
      <c r="R80" s="9" t="s">
        <v>31</v>
      </c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7"/>
      <c r="B81" s="8"/>
      <c r="C81" s="9"/>
      <c r="D81" s="10"/>
      <c r="E81" s="9"/>
      <c r="F81" s="9"/>
      <c r="G81" s="11"/>
      <c r="H81" s="12">
        <f t="shared" si="1"/>
        <v>0</v>
      </c>
      <c r="I81" s="12">
        <f t="shared" si="2"/>
        <v>0</v>
      </c>
      <c r="J81" s="30"/>
      <c r="K81" s="9"/>
      <c r="L81" s="9"/>
      <c r="M81" s="9"/>
      <c r="N81" s="9"/>
      <c r="O81" s="9"/>
      <c r="P81" s="20"/>
      <c r="Q81" s="9"/>
      <c r="R81" s="9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31"/>
      <c r="B82" s="32"/>
      <c r="C82" s="31"/>
      <c r="D82" s="33"/>
      <c r="E82" s="31"/>
      <c r="F82" s="31"/>
      <c r="G82" s="34"/>
      <c r="H82" s="12">
        <f t="shared" si="1"/>
        <v>0</v>
      </c>
      <c r="I82" s="12">
        <f t="shared" si="2"/>
        <v>0</v>
      </c>
      <c r="J82" s="30"/>
      <c r="K82" s="9"/>
      <c r="L82" s="9"/>
      <c r="M82" s="9"/>
      <c r="N82" s="9"/>
      <c r="O82" s="9"/>
      <c r="P82" s="20"/>
      <c r="Q82" s="9"/>
      <c r="R82" s="9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35" t="s">
        <v>280</v>
      </c>
      <c r="B83" s="36"/>
      <c r="C83" s="36"/>
      <c r="D83" s="36"/>
      <c r="E83" s="36"/>
      <c r="F83" s="36"/>
      <c r="G83" s="36"/>
      <c r="H83" s="37">
        <f t="shared" ref="H83:I83" si="3">SUM(H7:H82)</f>
        <v>131070.3811</v>
      </c>
      <c r="I83" s="37">
        <f t="shared" si="3"/>
        <v>154663.0497</v>
      </c>
      <c r="J83" s="3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39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</row>
    <row r="85" ht="14.25" customHeight="1">
      <c r="A85" s="1"/>
      <c r="B85" s="3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</row>
    <row r="86" ht="14.25" customHeight="1">
      <c r="A86" s="1"/>
      <c r="B86" s="3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</row>
    <row r="87" ht="14.25" customHeight="1">
      <c r="A87" s="1"/>
      <c r="B87" s="3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</row>
    <row r="88" ht="14.25" customHeight="1">
      <c r="A88" s="1"/>
      <c r="B88" s="3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</row>
    <row r="89" ht="14.25" customHeight="1">
      <c r="A89" s="1"/>
      <c r="B89" s="3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</row>
    <row r="90" ht="14.25" customHeight="1">
      <c r="A90" s="1"/>
      <c r="B90" s="3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</row>
    <row r="91" ht="14.25" customHeight="1">
      <c r="A91" s="1"/>
      <c r="B91" s="39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</row>
    <row r="92" ht="14.25" customHeight="1">
      <c r="A92" s="1"/>
      <c r="B92" s="39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</row>
    <row r="93" ht="14.25" customHeight="1">
      <c r="A93" s="1"/>
      <c r="B93" s="39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</row>
    <row r="94" ht="14.25" customHeight="1">
      <c r="A94" s="1"/>
      <c r="B94" s="3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</row>
    <row r="95" ht="14.25" customHeight="1">
      <c r="A95" s="1"/>
      <c r="B95" s="3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</row>
    <row r="96" ht="14.25" customHeight="1">
      <c r="A96" s="1"/>
      <c r="B96" s="3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</row>
    <row r="97" ht="14.25" customHeight="1">
      <c r="A97" s="1"/>
      <c r="B97" s="3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</row>
    <row r="98" ht="14.25" customHeight="1">
      <c r="A98" s="1"/>
      <c r="B98" s="3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</row>
    <row r="99" ht="14.25" customHeight="1">
      <c r="A99" s="1"/>
      <c r="B99" s="3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</row>
    <row r="100" ht="14.25" customHeight="1">
      <c r="A100" s="1"/>
      <c r="B100" s="3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</row>
    <row r="101" ht="14.25" customHeight="1">
      <c r="A101" s="1"/>
      <c r="B101" s="39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</row>
    <row r="102" ht="14.25" customHeight="1">
      <c r="A102" s="1"/>
      <c r="B102" s="39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</row>
    <row r="103" ht="14.25" customHeight="1">
      <c r="A103" s="1"/>
      <c r="B103" s="39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</row>
    <row r="104" ht="14.25" customHeight="1">
      <c r="A104" s="1"/>
      <c r="B104" s="39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</row>
    <row r="105" ht="14.25" customHeight="1">
      <c r="A105" s="1"/>
      <c r="B105" s="39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</row>
    <row r="106" ht="14.25" customHeight="1">
      <c r="A106" s="1"/>
      <c r="B106" s="39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</row>
    <row r="107" ht="14.25" customHeight="1">
      <c r="A107" s="1"/>
      <c r="B107" s="39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</row>
    <row r="108" ht="14.25" customHeight="1">
      <c r="A108" s="1"/>
      <c r="B108" s="39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</row>
    <row r="109" ht="14.25" customHeight="1">
      <c r="A109" s="1"/>
      <c r="B109" s="39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</row>
    <row r="110" ht="14.25" customHeight="1">
      <c r="A110" s="1"/>
      <c r="B110" s="39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</row>
    <row r="111" ht="14.25" customHeight="1">
      <c r="A111" s="1"/>
      <c r="B111" s="39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</row>
    <row r="112" ht="14.25" customHeight="1">
      <c r="A112" s="1"/>
      <c r="B112" s="39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</row>
    <row r="113" ht="14.25" customHeight="1">
      <c r="A113" s="1"/>
      <c r="B113" s="39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</row>
    <row r="114" ht="14.25" customHeight="1">
      <c r="A114" s="1"/>
      <c r="B114" s="39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</row>
    <row r="115" ht="14.25" customHeight="1">
      <c r="A115" s="1"/>
      <c r="B115" s="39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</row>
    <row r="116" ht="14.25" customHeight="1">
      <c r="A116" s="1"/>
      <c r="B116" s="39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</row>
    <row r="117" ht="14.25" customHeight="1">
      <c r="A117" s="1"/>
      <c r="B117" s="39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</row>
    <row r="118" ht="14.25" customHeight="1">
      <c r="A118" s="1"/>
      <c r="B118" s="39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</row>
    <row r="119" ht="14.25" customHeight="1">
      <c r="A119" s="1"/>
      <c r="B119" s="39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</row>
    <row r="120" ht="14.25" customHeight="1">
      <c r="A120" s="1"/>
      <c r="B120" s="39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</row>
    <row r="121" ht="14.25" customHeight="1">
      <c r="A121" s="1"/>
      <c r="B121" s="39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</row>
    <row r="122" ht="14.25" customHeight="1">
      <c r="A122" s="1"/>
      <c r="B122" s="39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</row>
    <row r="123" ht="14.25" customHeight="1">
      <c r="A123" s="1"/>
      <c r="B123" s="39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</row>
    <row r="124" ht="14.25" customHeight="1">
      <c r="A124" s="1"/>
      <c r="B124" s="39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</row>
    <row r="125" ht="14.25" customHeight="1">
      <c r="A125" s="1"/>
      <c r="B125" s="3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</row>
    <row r="126" ht="14.25" customHeight="1">
      <c r="A126" s="1"/>
      <c r="B126" s="39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</row>
    <row r="127" ht="14.25" customHeight="1">
      <c r="A127" s="1"/>
      <c r="B127" s="3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</row>
    <row r="128" ht="14.25" customHeight="1">
      <c r="A128" s="1"/>
      <c r="B128" s="3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</row>
    <row r="129" ht="14.25" customHeight="1">
      <c r="A129" s="1"/>
      <c r="B129" s="3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</row>
    <row r="130" ht="14.25" customHeight="1">
      <c r="A130" s="1"/>
      <c r="B130" s="39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</row>
    <row r="131" ht="14.25" customHeight="1">
      <c r="A131" s="1"/>
      <c r="B131" s="3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</row>
    <row r="132" ht="14.25" customHeight="1">
      <c r="A132" s="1"/>
      <c r="B132" s="3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</row>
    <row r="133" ht="14.25" customHeight="1">
      <c r="A133" s="1"/>
      <c r="B133" s="39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</row>
    <row r="134" ht="14.25" customHeight="1">
      <c r="A134" s="1"/>
      <c r="B134" s="39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</row>
    <row r="135" ht="14.25" customHeight="1">
      <c r="A135" s="1"/>
      <c r="B135" s="39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</row>
    <row r="136" ht="14.25" customHeight="1">
      <c r="A136" s="1"/>
      <c r="B136" s="39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</row>
    <row r="137" ht="14.25" customHeight="1">
      <c r="A137" s="1"/>
      <c r="B137" s="39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</row>
    <row r="138" ht="14.25" customHeight="1">
      <c r="A138" s="1"/>
      <c r="B138" s="3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</row>
    <row r="139" ht="14.25" customHeight="1">
      <c r="A139" s="1"/>
      <c r="B139" s="39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</row>
    <row r="140" ht="14.25" customHeight="1">
      <c r="A140" s="1"/>
      <c r="B140" s="39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</row>
    <row r="141" ht="14.25" customHeight="1">
      <c r="A141" s="1"/>
      <c r="B141" s="3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</row>
    <row r="142" ht="14.25" customHeight="1">
      <c r="A142" s="1"/>
      <c r="B142" s="39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</row>
    <row r="143" ht="14.25" customHeight="1">
      <c r="A143" s="1"/>
      <c r="B143" s="39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</row>
    <row r="144" ht="14.25" customHeight="1">
      <c r="A144" s="1"/>
      <c r="B144" s="39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</row>
    <row r="145" ht="14.25" customHeight="1">
      <c r="A145" s="1"/>
      <c r="B145" s="39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</row>
    <row r="146" ht="14.25" customHeight="1">
      <c r="A146" s="1"/>
      <c r="B146" s="39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</row>
    <row r="147" ht="14.25" customHeight="1">
      <c r="A147" s="1"/>
      <c r="B147" s="39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</row>
    <row r="148" ht="14.25" customHeight="1">
      <c r="A148" s="1"/>
      <c r="B148" s="39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</row>
    <row r="149" ht="14.25" customHeight="1">
      <c r="A149" s="1"/>
      <c r="B149" s="39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</row>
    <row r="150" ht="14.25" customHeight="1">
      <c r="A150" s="1"/>
      <c r="B150" s="39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</row>
    <row r="151" ht="14.25" customHeight="1">
      <c r="A151" s="1"/>
      <c r="B151" s="39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</row>
    <row r="152" ht="14.25" customHeight="1">
      <c r="A152" s="1"/>
      <c r="B152" s="39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</row>
    <row r="153" ht="14.25" customHeight="1">
      <c r="A153" s="1"/>
      <c r="B153" s="39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</row>
    <row r="154" ht="14.25" customHeight="1">
      <c r="A154" s="1"/>
      <c r="B154" s="39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</row>
    <row r="155" ht="14.25" customHeight="1">
      <c r="A155" s="1"/>
      <c r="B155" s="39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</row>
    <row r="156" ht="14.25" customHeight="1">
      <c r="A156" s="1"/>
      <c r="B156" s="39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</row>
    <row r="157" ht="14.25" customHeight="1">
      <c r="A157" s="1"/>
      <c r="B157" s="39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</row>
    <row r="158" ht="14.25" customHeight="1">
      <c r="A158" s="1"/>
      <c r="B158" s="39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</row>
    <row r="159" ht="14.25" customHeight="1">
      <c r="A159" s="1"/>
      <c r="B159" s="39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</row>
    <row r="160" ht="14.25" customHeight="1">
      <c r="A160" s="1"/>
      <c r="B160" s="39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</row>
    <row r="161" ht="14.25" customHeight="1">
      <c r="A161" s="1"/>
      <c r="B161" s="39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</row>
    <row r="162" ht="14.25" customHeight="1">
      <c r="A162" s="1"/>
      <c r="B162" s="39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</row>
    <row r="163" ht="14.25" customHeight="1">
      <c r="A163" s="1"/>
      <c r="B163" s="39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</row>
    <row r="164" ht="14.25" customHeight="1">
      <c r="A164" s="1"/>
      <c r="B164" s="39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</row>
    <row r="165" ht="14.25" customHeight="1">
      <c r="A165" s="1"/>
      <c r="B165" s="39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</row>
    <row r="166" ht="14.25" customHeight="1">
      <c r="A166" s="1"/>
      <c r="B166" s="39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</row>
    <row r="167" ht="14.25" customHeight="1">
      <c r="A167" s="1"/>
      <c r="B167" s="39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</row>
    <row r="168" ht="14.25" customHeight="1">
      <c r="A168" s="1"/>
      <c r="B168" s="39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</row>
    <row r="169" ht="14.25" customHeight="1">
      <c r="A169" s="1"/>
      <c r="B169" s="39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</row>
    <row r="170" ht="14.25" customHeight="1">
      <c r="A170" s="1"/>
      <c r="B170" s="39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</row>
    <row r="171" ht="14.25" customHeight="1">
      <c r="A171" s="1"/>
      <c r="B171" s="39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</row>
    <row r="172" ht="14.25" customHeight="1">
      <c r="A172" s="1"/>
      <c r="B172" s="39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</row>
    <row r="173" ht="14.25" customHeight="1">
      <c r="A173" s="1"/>
      <c r="B173" s="39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</row>
    <row r="174" ht="14.25" customHeight="1">
      <c r="A174" s="1"/>
      <c r="B174" s="39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</row>
    <row r="175" ht="14.25" customHeight="1">
      <c r="A175" s="1"/>
      <c r="B175" s="39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</row>
    <row r="176" ht="14.25" customHeight="1">
      <c r="A176" s="1"/>
      <c r="B176" s="39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</row>
    <row r="177" ht="14.25" customHeight="1">
      <c r="A177" s="1"/>
      <c r="B177" s="39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</row>
    <row r="178" ht="14.25" customHeight="1">
      <c r="A178" s="1"/>
      <c r="B178" s="39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</row>
    <row r="179" ht="14.25" customHeight="1">
      <c r="A179" s="1"/>
      <c r="B179" s="39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</row>
    <row r="180" ht="14.25" customHeight="1">
      <c r="A180" s="1"/>
      <c r="B180" s="39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</row>
    <row r="181" ht="14.25" customHeight="1">
      <c r="A181" s="1"/>
      <c r="B181" s="39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</row>
    <row r="182" ht="14.25" customHeight="1">
      <c r="A182" s="1"/>
      <c r="B182" s="39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</row>
    <row r="183" ht="14.25" customHeight="1">
      <c r="A183" s="1"/>
      <c r="B183" s="39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</row>
    <row r="184" ht="14.25" customHeight="1">
      <c r="A184" s="1"/>
      <c r="B184" s="39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</row>
    <row r="185" ht="14.25" customHeight="1">
      <c r="A185" s="1"/>
      <c r="B185" s="39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</row>
    <row r="186" ht="14.25" customHeight="1">
      <c r="A186" s="1"/>
      <c r="B186" s="3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</row>
    <row r="187" ht="14.25" customHeight="1">
      <c r="A187" s="1"/>
      <c r="B187" s="39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</row>
    <row r="188" ht="14.25" customHeight="1">
      <c r="A188" s="1"/>
      <c r="B188" s="39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</row>
    <row r="189" ht="14.25" customHeight="1">
      <c r="A189" s="1"/>
      <c r="B189" s="39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</row>
    <row r="190" ht="14.25" customHeight="1">
      <c r="A190" s="1"/>
      <c r="B190" s="39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</row>
    <row r="191" ht="14.25" customHeight="1">
      <c r="A191" s="1"/>
      <c r="B191" s="39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</row>
    <row r="192" ht="14.25" customHeight="1">
      <c r="A192" s="1"/>
      <c r="B192" s="39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</row>
    <row r="193" ht="14.25" customHeight="1">
      <c r="A193" s="1"/>
      <c r="B193" s="39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</row>
    <row r="194" ht="14.25" customHeight="1">
      <c r="A194" s="1"/>
      <c r="B194" s="39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</row>
    <row r="195" ht="14.25" customHeight="1">
      <c r="A195" s="1"/>
      <c r="B195" s="3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</row>
    <row r="196" ht="14.25" customHeight="1">
      <c r="A196" s="1"/>
      <c r="B196" s="3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</row>
    <row r="197" ht="14.25" customHeight="1">
      <c r="A197" s="1"/>
      <c r="B197" s="39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</row>
    <row r="198" ht="14.25" customHeight="1">
      <c r="A198" s="1"/>
      <c r="B198" s="39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</row>
    <row r="199" ht="14.25" customHeight="1">
      <c r="A199" s="1"/>
      <c r="B199" s="39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</row>
    <row r="200" ht="14.25" customHeight="1">
      <c r="A200" s="1"/>
      <c r="B200" s="39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</row>
    <row r="201" ht="14.25" customHeight="1">
      <c r="A201" s="1"/>
      <c r="B201" s="3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</row>
    <row r="202" ht="14.25" customHeight="1">
      <c r="A202" s="1"/>
      <c r="B202" s="39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</row>
    <row r="203" ht="14.25" customHeight="1">
      <c r="A203" s="1"/>
      <c r="B203" s="39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</row>
    <row r="204" ht="14.25" customHeight="1">
      <c r="A204" s="1"/>
      <c r="B204" s="3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</row>
    <row r="205" ht="14.25" customHeight="1">
      <c r="A205" s="1"/>
      <c r="B205" s="39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</row>
    <row r="206" ht="14.25" customHeight="1">
      <c r="A206" s="1"/>
      <c r="B206" s="39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</row>
    <row r="207" ht="14.25" customHeight="1">
      <c r="A207" s="1"/>
      <c r="B207" s="3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</row>
    <row r="208" ht="14.25" customHeight="1">
      <c r="A208" s="1"/>
      <c r="B208" s="39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</row>
    <row r="209" ht="14.25" customHeight="1">
      <c r="A209" s="1"/>
      <c r="B209" s="39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</row>
    <row r="210" ht="14.25" customHeight="1">
      <c r="A210" s="1"/>
      <c r="B210" s="39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</row>
    <row r="211" ht="14.25" customHeight="1">
      <c r="A211" s="1"/>
      <c r="B211" s="39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</row>
    <row r="212" ht="14.25" customHeight="1">
      <c r="A212" s="1"/>
      <c r="B212" s="39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</row>
    <row r="213" ht="14.25" customHeight="1">
      <c r="A213" s="1"/>
      <c r="B213" s="3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</row>
    <row r="214" ht="14.25" customHeight="1">
      <c r="A214" s="1"/>
      <c r="B214" s="39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</row>
    <row r="215" ht="14.25" customHeight="1">
      <c r="A215" s="1"/>
      <c r="B215" s="39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</row>
    <row r="216" ht="14.25" customHeight="1">
      <c r="A216" s="1"/>
      <c r="B216" s="3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</row>
    <row r="217" ht="14.25" customHeight="1">
      <c r="A217" s="1"/>
      <c r="B217" s="39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</row>
    <row r="218" ht="14.25" customHeight="1">
      <c r="A218" s="1"/>
      <c r="B218" s="39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</row>
    <row r="219" ht="14.25" customHeight="1">
      <c r="A219" s="1"/>
      <c r="B219" s="39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</row>
    <row r="220" ht="14.25" customHeight="1">
      <c r="A220" s="1"/>
      <c r="B220" s="39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</row>
    <row r="221" ht="14.25" customHeight="1">
      <c r="A221" s="1"/>
      <c r="B221" s="39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"/>
    </row>
    <row r="222" ht="14.25" customHeight="1">
      <c r="A222" s="1"/>
      <c r="B222" s="3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</row>
    <row r="223" ht="14.25" customHeight="1">
      <c r="A223" s="1"/>
      <c r="B223" s="39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</row>
    <row r="224" ht="14.25" customHeight="1">
      <c r="A224" s="1"/>
      <c r="B224" s="39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</row>
    <row r="225" ht="14.25" customHeight="1">
      <c r="A225" s="1"/>
      <c r="B225" s="39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</row>
    <row r="226" ht="14.25" customHeight="1">
      <c r="A226" s="1"/>
      <c r="B226" s="39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</row>
    <row r="227" ht="14.25" customHeight="1">
      <c r="A227" s="1"/>
      <c r="B227" s="3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</row>
    <row r="228" ht="14.25" customHeight="1">
      <c r="A228" s="1"/>
      <c r="B228" s="3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</row>
    <row r="229" ht="14.25" customHeight="1">
      <c r="A229" s="1"/>
      <c r="B229" s="3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</row>
    <row r="230" ht="14.25" customHeight="1">
      <c r="A230" s="1"/>
      <c r="B230" s="3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</row>
    <row r="231" ht="14.25" customHeight="1">
      <c r="A231" s="1"/>
      <c r="B231" s="3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</row>
    <row r="232" ht="14.25" customHeight="1">
      <c r="A232" s="1"/>
      <c r="B232" s="3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</row>
    <row r="233" ht="14.25" customHeight="1">
      <c r="A233" s="1"/>
      <c r="B233" s="3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</row>
    <row r="234" ht="14.25" customHeight="1">
      <c r="A234" s="1"/>
      <c r="B234" s="3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</row>
    <row r="235" ht="14.25" customHeight="1">
      <c r="A235" s="1"/>
      <c r="B235" s="3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</row>
    <row r="236" ht="14.25" customHeight="1">
      <c r="A236" s="1"/>
      <c r="B236" s="3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</row>
    <row r="237" ht="14.25" customHeight="1">
      <c r="A237" s="1"/>
      <c r="B237" s="3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</row>
    <row r="238" ht="14.25" customHeight="1">
      <c r="A238" s="1"/>
      <c r="B238" s="3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</row>
    <row r="239" ht="14.25" customHeight="1">
      <c r="A239" s="1"/>
      <c r="B239" s="3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</row>
    <row r="240" ht="14.25" customHeight="1">
      <c r="A240" s="1"/>
      <c r="B240" s="3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</row>
    <row r="241" ht="14.25" customHeight="1">
      <c r="A241" s="1"/>
      <c r="B241" s="39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</row>
    <row r="242" ht="14.25" customHeight="1">
      <c r="A242" s="1"/>
      <c r="B242" s="39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</row>
    <row r="243" ht="14.25" customHeight="1">
      <c r="A243" s="1"/>
      <c r="B243" s="3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</row>
    <row r="244" ht="14.25" customHeight="1">
      <c r="A244" s="1"/>
      <c r="B244" s="39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</row>
    <row r="245" ht="14.25" customHeight="1">
      <c r="A245" s="1"/>
      <c r="B245" s="39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</row>
    <row r="246" ht="14.25" customHeight="1">
      <c r="A246" s="1"/>
      <c r="B246" s="39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</row>
    <row r="247" ht="14.25" customHeight="1">
      <c r="A247" s="1"/>
      <c r="B247" s="39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</row>
    <row r="248" ht="14.25" customHeight="1">
      <c r="A248" s="1"/>
      <c r="B248" s="39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</row>
    <row r="249" ht="14.25" customHeight="1">
      <c r="A249" s="1"/>
      <c r="B249" s="39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</row>
    <row r="250" ht="14.25" customHeight="1">
      <c r="A250" s="1"/>
      <c r="B250" s="39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</row>
    <row r="251" ht="14.25" customHeight="1">
      <c r="A251" s="1"/>
      <c r="B251" s="39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</row>
    <row r="252" ht="14.25" customHeight="1">
      <c r="A252" s="1"/>
      <c r="B252" s="39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</row>
    <row r="253" ht="14.25" customHeight="1">
      <c r="A253" s="1"/>
      <c r="B253" s="39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</row>
    <row r="254" ht="14.25" customHeight="1">
      <c r="A254" s="1"/>
      <c r="B254" s="39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</row>
    <row r="255" ht="14.25" customHeight="1">
      <c r="A255" s="1"/>
      <c r="B255" s="39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</row>
    <row r="256" ht="14.25" customHeight="1">
      <c r="A256" s="1"/>
      <c r="B256" s="39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</row>
    <row r="257" ht="14.25" customHeight="1">
      <c r="A257" s="1"/>
      <c r="B257" s="39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</row>
    <row r="258" ht="14.25" customHeight="1">
      <c r="A258" s="1"/>
      <c r="B258" s="39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</row>
    <row r="259" ht="14.25" customHeight="1">
      <c r="A259" s="1"/>
      <c r="B259" s="39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</row>
    <row r="260" ht="14.25" customHeight="1">
      <c r="A260" s="1"/>
      <c r="B260" s="39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</row>
    <row r="261" ht="14.25" customHeight="1">
      <c r="A261" s="1"/>
      <c r="B261" s="39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</row>
    <row r="262" ht="14.25" customHeight="1">
      <c r="A262" s="1"/>
      <c r="B262" s="39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</row>
    <row r="263" ht="14.25" customHeight="1">
      <c r="A263" s="1"/>
      <c r="B263" s="39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</row>
    <row r="264" ht="14.25" customHeight="1">
      <c r="A264" s="1"/>
      <c r="B264" s="39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</row>
    <row r="265" ht="14.25" customHeight="1">
      <c r="A265" s="1"/>
      <c r="B265" s="39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</row>
    <row r="266" ht="14.25" customHeight="1">
      <c r="A266" s="1"/>
      <c r="B266" s="39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</row>
    <row r="267" ht="14.25" customHeight="1">
      <c r="A267" s="1"/>
      <c r="B267" s="39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</row>
    <row r="268" ht="14.25" customHeight="1">
      <c r="A268" s="1"/>
      <c r="B268" s="39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</row>
    <row r="269" ht="14.25" customHeight="1">
      <c r="A269" s="1"/>
      <c r="B269" s="39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</row>
    <row r="270" ht="14.25" customHeight="1">
      <c r="A270" s="1"/>
      <c r="B270" s="39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</row>
    <row r="271" ht="14.25" customHeight="1">
      <c r="A271" s="1"/>
      <c r="B271" s="39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</row>
    <row r="272" ht="14.25" customHeight="1">
      <c r="A272" s="1"/>
      <c r="B272" s="39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</row>
    <row r="273" ht="14.25" customHeight="1">
      <c r="A273" s="1"/>
      <c r="B273" s="39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</row>
    <row r="274" ht="14.25" customHeight="1">
      <c r="A274" s="1"/>
      <c r="B274" s="39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"/>
    </row>
    <row r="275" ht="14.25" customHeight="1">
      <c r="A275" s="1"/>
      <c r="B275" s="39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</row>
    <row r="276" ht="14.25" customHeight="1">
      <c r="A276" s="1"/>
      <c r="B276" s="3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</row>
    <row r="277" ht="14.25" customHeight="1">
      <c r="A277" s="1"/>
      <c r="B277" s="39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"/>
    </row>
    <row r="278" ht="14.25" customHeight="1">
      <c r="A278" s="1"/>
      <c r="B278" s="39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</row>
    <row r="279" ht="14.25" customHeight="1">
      <c r="A279" s="1"/>
      <c r="B279" s="39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"/>
    </row>
    <row r="280" ht="14.25" customHeight="1">
      <c r="A280" s="1"/>
      <c r="B280" s="39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"/>
    </row>
    <row r="281" ht="14.25" customHeight="1">
      <c r="A281" s="1"/>
      <c r="B281" s="3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</row>
    <row r="282" ht="14.25" customHeight="1">
      <c r="A282" s="1"/>
      <c r="B282" s="39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"/>
    </row>
    <row r="283" ht="14.25" customHeight="1">
      <c r="A283" s="1"/>
      <c r="B283" s="39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"/>
    </row>
    <row r="284" ht="14.25" customHeight="1">
      <c r="A284" s="1"/>
      <c r="B284" s="39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"/>
    </row>
    <row r="285" ht="14.25" customHeight="1">
      <c r="A285" s="1"/>
      <c r="B285" s="39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</row>
    <row r="286" ht="14.25" customHeight="1">
      <c r="A286" s="1"/>
      <c r="B286" s="39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"/>
    </row>
    <row r="287" ht="14.25" customHeight="1">
      <c r="A287" s="1"/>
      <c r="B287" s="39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</row>
    <row r="288" ht="14.25" customHeight="1">
      <c r="A288" s="1"/>
      <c r="B288" s="39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</row>
    <row r="289" ht="14.25" customHeight="1">
      <c r="A289" s="1"/>
      <c r="B289" s="39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</row>
    <row r="290" ht="14.25" customHeight="1">
      <c r="A290" s="1"/>
      <c r="B290" s="39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"/>
    </row>
    <row r="291" ht="14.25" customHeight="1">
      <c r="A291" s="1"/>
      <c r="B291" s="3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</row>
    <row r="292" ht="14.25" customHeight="1">
      <c r="A292" s="1"/>
      <c r="B292" s="39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/>
    </row>
    <row r="293" ht="14.25" customHeight="1">
      <c r="A293" s="1"/>
      <c r="B293" s="39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/>
    </row>
    <row r="294" ht="14.25" customHeight="1">
      <c r="A294" s="1"/>
      <c r="B294" s="39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</row>
    <row r="295" ht="14.25" customHeight="1">
      <c r="A295" s="1"/>
      <c r="B295" s="39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"/>
    </row>
    <row r="296" ht="14.25" customHeight="1">
      <c r="A296" s="1"/>
      <c r="B296" s="3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"/>
    </row>
    <row r="297" ht="14.25" customHeight="1">
      <c r="A297" s="1"/>
      <c r="B297" s="39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"/>
    </row>
    <row r="298" ht="14.25" customHeight="1">
      <c r="A298" s="1"/>
      <c r="B298" s="39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/>
    </row>
    <row r="299" ht="14.25" customHeight="1">
      <c r="A299" s="1"/>
      <c r="B299" s="39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</row>
    <row r="300" ht="14.25" customHeight="1">
      <c r="A300" s="1"/>
      <c r="B300" s="3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</row>
    <row r="301" ht="14.25" customHeight="1">
      <c r="A301" s="1"/>
      <c r="B301" s="3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</row>
    <row r="302" ht="14.25" customHeight="1">
      <c r="A302" s="1"/>
      <c r="B302" s="39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"/>
    </row>
    <row r="303" ht="14.25" customHeight="1">
      <c r="A303" s="1"/>
      <c r="B303" s="39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"/>
    </row>
    <row r="304" ht="14.25" customHeight="1">
      <c r="A304" s="1"/>
      <c r="B304" s="39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"/>
    </row>
    <row r="305" ht="14.25" customHeight="1">
      <c r="A305" s="1"/>
      <c r="B305" s="39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</row>
    <row r="306" ht="14.25" customHeight="1">
      <c r="A306" s="1"/>
      <c r="B306" s="39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</row>
    <row r="307" ht="14.25" customHeight="1">
      <c r="A307" s="1"/>
      <c r="B307" s="39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</row>
    <row r="308" ht="14.25" customHeight="1">
      <c r="A308" s="1"/>
      <c r="B308" s="3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</row>
    <row r="309" ht="14.25" customHeight="1">
      <c r="A309" s="1"/>
      <c r="B309" s="39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</row>
    <row r="310" ht="14.25" customHeight="1">
      <c r="A310" s="1"/>
      <c r="B310" s="39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"/>
    </row>
    <row r="311" ht="14.25" customHeight="1">
      <c r="A311" s="1"/>
      <c r="B311" s="3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</row>
    <row r="312" ht="14.25" customHeight="1">
      <c r="A312" s="1"/>
      <c r="B312" s="3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</row>
    <row r="313" ht="14.25" customHeight="1">
      <c r="A313" s="1"/>
      <c r="B313" s="39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/>
    </row>
    <row r="314" ht="14.25" customHeight="1">
      <c r="A314" s="1"/>
      <c r="B314" s="39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</row>
    <row r="315" ht="14.25" customHeight="1">
      <c r="A315" s="1"/>
      <c r="B315" s="39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/>
    </row>
    <row r="316" ht="14.25" customHeight="1">
      <c r="A316" s="1"/>
      <c r="B316" s="39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/>
    </row>
    <row r="317" ht="14.25" customHeight="1">
      <c r="A317" s="1"/>
      <c r="B317" s="39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"/>
    </row>
    <row r="318" ht="14.25" customHeight="1">
      <c r="A318" s="1"/>
      <c r="B318" s="39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"/>
    </row>
    <row r="319" ht="14.25" customHeight="1">
      <c r="A319" s="1"/>
      <c r="B319" s="3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"/>
    </row>
    <row r="320" ht="14.25" customHeight="1">
      <c r="A320" s="1"/>
      <c r="B320" s="39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"/>
    </row>
    <row r="321" ht="14.25" customHeight="1">
      <c r="A321" s="1"/>
      <c r="B321" s="39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"/>
    </row>
    <row r="322" ht="14.25" customHeight="1">
      <c r="A322" s="1"/>
      <c r="B322" s="39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/>
    </row>
    <row r="323" ht="14.25" customHeight="1">
      <c r="A323" s="1"/>
      <c r="B323" s="39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"/>
    </row>
    <row r="324" ht="14.25" customHeight="1">
      <c r="A324" s="1"/>
      <c r="B324" s="3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/>
    </row>
    <row r="325" ht="14.25" customHeight="1">
      <c r="A325" s="1"/>
      <c r="B325" s="39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"/>
    </row>
    <row r="326" ht="14.25" customHeight="1">
      <c r="A326" s="1"/>
      <c r="B326" s="3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"/>
    </row>
    <row r="327" ht="14.25" customHeight="1">
      <c r="A327" s="1"/>
      <c r="B327" s="39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"/>
    </row>
    <row r="328" ht="14.25" customHeight="1">
      <c r="A328" s="1"/>
      <c r="B328" s="39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"/>
    </row>
    <row r="329" ht="14.25" customHeight="1">
      <c r="A329" s="1"/>
      <c r="B329" s="39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"/>
    </row>
    <row r="330" ht="14.25" customHeight="1">
      <c r="A330" s="1"/>
      <c r="B330" s="39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"/>
    </row>
    <row r="331" ht="14.25" customHeight="1">
      <c r="A331" s="1"/>
      <c r="B331" s="3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"/>
    </row>
    <row r="332" ht="14.25" customHeight="1">
      <c r="A332" s="1"/>
      <c r="B332" s="39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/>
    </row>
    <row r="333" ht="14.25" customHeight="1">
      <c r="A333" s="1"/>
      <c r="B333" s="39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"/>
    </row>
    <row r="334" ht="14.25" customHeight="1">
      <c r="A334" s="1"/>
      <c r="B334" s="39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/>
    </row>
    <row r="335" ht="14.25" customHeight="1">
      <c r="A335" s="1"/>
      <c r="B335" s="39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/>
    </row>
    <row r="336" ht="14.25" customHeight="1">
      <c r="A336" s="1"/>
      <c r="B336" s="39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/>
    </row>
    <row r="337" ht="14.25" customHeight="1">
      <c r="A337" s="1"/>
      <c r="B337" s="39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"/>
    </row>
    <row r="338" ht="14.25" customHeight="1">
      <c r="A338" s="1"/>
      <c r="B338" s="39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"/>
    </row>
    <row r="339" ht="14.25" customHeight="1">
      <c r="A339" s="1"/>
      <c r="B339" s="3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"/>
    </row>
    <row r="340" ht="14.25" customHeight="1">
      <c r="A340" s="1"/>
      <c r="B340" s="39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"/>
    </row>
    <row r="341" ht="14.25" customHeight="1">
      <c r="A341" s="1"/>
      <c r="B341" s="39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"/>
    </row>
    <row r="342" ht="14.25" customHeight="1">
      <c r="A342" s="1"/>
      <c r="B342" s="39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"/>
    </row>
    <row r="343" ht="14.25" customHeight="1">
      <c r="A343" s="1"/>
      <c r="B343" s="39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"/>
    </row>
    <row r="344" ht="14.25" customHeight="1">
      <c r="A344" s="1"/>
      <c r="B344" s="39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"/>
    </row>
    <row r="345" ht="14.25" customHeight="1">
      <c r="A345" s="1"/>
      <c r="B345" s="39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"/>
    </row>
    <row r="346" ht="14.25" customHeight="1">
      <c r="A346" s="1"/>
      <c r="B346" s="39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"/>
    </row>
    <row r="347" ht="14.25" customHeight="1">
      <c r="A347" s="1"/>
      <c r="B347" s="39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"/>
    </row>
    <row r="348" ht="14.25" customHeight="1">
      <c r="A348" s="1"/>
      <c r="B348" s="39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"/>
    </row>
    <row r="349" ht="14.25" customHeight="1">
      <c r="A349" s="1"/>
      <c r="B349" s="3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"/>
    </row>
    <row r="350" ht="14.25" customHeight="1">
      <c r="A350" s="1"/>
      <c r="B350" s="39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"/>
    </row>
    <row r="351" ht="14.25" customHeight="1">
      <c r="A351" s="1"/>
      <c r="B351" s="39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"/>
    </row>
    <row r="352" ht="14.25" customHeight="1">
      <c r="A352" s="1"/>
      <c r="B352" s="39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"/>
    </row>
    <row r="353" ht="14.25" customHeight="1">
      <c r="A353" s="1"/>
      <c r="B353" s="39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"/>
    </row>
    <row r="354" ht="14.25" customHeight="1">
      <c r="A354" s="1"/>
      <c r="B354" s="39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"/>
    </row>
    <row r="355" ht="14.25" customHeight="1">
      <c r="A355" s="1"/>
      <c r="B355" s="39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"/>
    </row>
    <row r="356" ht="14.25" customHeight="1">
      <c r="A356" s="1"/>
      <c r="B356" s="3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"/>
    </row>
    <row r="357" ht="14.25" customHeight="1">
      <c r="A357" s="1"/>
      <c r="B357" s="39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"/>
    </row>
    <row r="358" ht="14.25" customHeight="1">
      <c r="A358" s="1"/>
      <c r="B358" s="39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"/>
    </row>
    <row r="359" ht="14.25" customHeight="1">
      <c r="A359" s="1"/>
      <c r="B359" s="3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"/>
    </row>
    <row r="360" ht="14.25" customHeight="1">
      <c r="A360" s="1"/>
      <c r="B360" s="39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"/>
    </row>
    <row r="361" ht="14.25" customHeight="1">
      <c r="A361" s="1"/>
      <c r="B361" s="39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"/>
    </row>
    <row r="362" ht="14.25" customHeight="1">
      <c r="A362" s="1"/>
      <c r="B362" s="39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"/>
    </row>
    <row r="363" ht="14.25" customHeight="1">
      <c r="A363" s="1"/>
      <c r="B363" s="39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"/>
    </row>
    <row r="364" ht="14.25" customHeight="1">
      <c r="A364" s="1"/>
      <c r="B364" s="39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"/>
    </row>
    <row r="365" ht="14.25" customHeight="1">
      <c r="A365" s="1"/>
      <c r="B365" s="39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"/>
    </row>
    <row r="366" ht="14.25" customHeight="1">
      <c r="A366" s="1"/>
      <c r="B366" s="39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"/>
    </row>
    <row r="367" ht="14.25" customHeight="1">
      <c r="A367" s="1"/>
      <c r="B367" s="3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"/>
    </row>
    <row r="368" ht="14.25" customHeight="1">
      <c r="A368" s="1"/>
      <c r="B368" s="39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"/>
    </row>
    <row r="369" ht="14.25" customHeight="1">
      <c r="A369" s="1"/>
      <c r="B369" s="39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"/>
    </row>
    <row r="370" ht="14.25" customHeight="1">
      <c r="A370" s="1"/>
      <c r="B370" s="39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"/>
    </row>
    <row r="371" ht="14.25" customHeight="1">
      <c r="A371" s="1"/>
      <c r="B371" s="3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"/>
    </row>
    <row r="372" ht="14.25" customHeight="1">
      <c r="A372" s="1"/>
      <c r="B372" s="3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"/>
    </row>
    <row r="373" ht="14.25" customHeight="1">
      <c r="A373" s="1"/>
      <c r="B373" s="3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"/>
    </row>
    <row r="374" ht="14.25" customHeight="1">
      <c r="A374" s="1"/>
      <c r="B374" s="3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"/>
    </row>
    <row r="375" ht="14.25" customHeight="1">
      <c r="A375" s="1"/>
      <c r="B375" s="3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"/>
    </row>
    <row r="376" ht="14.25" customHeight="1">
      <c r="A376" s="1"/>
      <c r="B376" s="3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"/>
    </row>
    <row r="377" ht="14.25" customHeight="1">
      <c r="A377" s="1"/>
      <c r="B377" s="3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"/>
    </row>
    <row r="378" ht="14.25" customHeight="1">
      <c r="A378" s="1"/>
      <c r="B378" s="3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"/>
    </row>
    <row r="379" ht="14.25" customHeight="1">
      <c r="A379" s="1"/>
      <c r="B379" s="3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"/>
    </row>
    <row r="380" ht="14.25" customHeight="1">
      <c r="A380" s="1"/>
      <c r="B380" s="3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"/>
    </row>
    <row r="381" ht="14.25" customHeight="1">
      <c r="A381" s="1"/>
      <c r="B381" s="3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"/>
    </row>
    <row r="382" ht="14.25" customHeight="1">
      <c r="A382" s="1"/>
      <c r="B382" s="3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"/>
    </row>
    <row r="383" ht="14.25" customHeight="1">
      <c r="A383" s="1"/>
      <c r="B383" s="3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"/>
    </row>
    <row r="384" ht="14.25" customHeight="1">
      <c r="A384" s="1"/>
      <c r="B384" s="3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"/>
    </row>
    <row r="385" ht="14.25" customHeight="1">
      <c r="A385" s="1"/>
      <c r="B385" s="3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"/>
    </row>
    <row r="386" ht="14.25" customHeight="1">
      <c r="A386" s="1"/>
      <c r="B386" s="3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"/>
    </row>
    <row r="387" ht="14.25" customHeight="1">
      <c r="A387" s="1"/>
      <c r="B387" s="3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"/>
    </row>
    <row r="388" ht="14.25" customHeight="1">
      <c r="A388" s="1"/>
      <c r="B388" s="3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"/>
    </row>
    <row r="389" ht="14.25" customHeight="1">
      <c r="A389" s="1"/>
      <c r="B389" s="3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"/>
    </row>
    <row r="390" ht="14.25" customHeight="1">
      <c r="A390" s="1"/>
      <c r="B390" s="3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"/>
    </row>
    <row r="391" ht="14.25" customHeight="1">
      <c r="A391" s="1"/>
      <c r="B391" s="3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"/>
    </row>
    <row r="392" ht="14.25" customHeight="1">
      <c r="A392" s="1"/>
      <c r="B392" s="3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"/>
    </row>
    <row r="393" ht="14.25" customHeight="1">
      <c r="A393" s="1"/>
      <c r="B393" s="3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"/>
    </row>
    <row r="394" ht="14.25" customHeight="1">
      <c r="A394" s="1"/>
      <c r="B394" s="3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"/>
    </row>
    <row r="395" ht="14.25" customHeight="1">
      <c r="A395" s="1"/>
      <c r="B395" s="3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"/>
    </row>
    <row r="396" ht="14.25" customHeight="1">
      <c r="A396" s="1"/>
      <c r="B396" s="3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"/>
    </row>
    <row r="397" ht="14.25" customHeight="1">
      <c r="A397" s="1"/>
      <c r="B397" s="3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"/>
    </row>
    <row r="398" ht="14.25" customHeight="1">
      <c r="A398" s="1"/>
      <c r="B398" s="3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"/>
    </row>
    <row r="399" ht="14.25" customHeight="1">
      <c r="A399" s="1"/>
      <c r="B399" s="3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"/>
    </row>
    <row r="400" ht="14.25" customHeight="1">
      <c r="A400" s="1"/>
      <c r="B400" s="3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"/>
    </row>
    <row r="401" ht="14.25" customHeight="1">
      <c r="A401" s="1"/>
      <c r="B401" s="3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"/>
    </row>
    <row r="402" ht="14.25" customHeight="1">
      <c r="A402" s="1"/>
      <c r="B402" s="3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"/>
    </row>
    <row r="403" ht="14.25" customHeight="1">
      <c r="A403" s="1"/>
      <c r="B403" s="3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"/>
    </row>
    <row r="404" ht="14.25" customHeight="1">
      <c r="A404" s="1"/>
      <c r="B404" s="3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"/>
    </row>
    <row r="405" ht="14.25" customHeight="1">
      <c r="A405" s="1"/>
      <c r="B405" s="3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"/>
    </row>
    <row r="406" ht="14.25" customHeight="1">
      <c r="A406" s="1"/>
      <c r="B406" s="3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"/>
    </row>
    <row r="407" ht="14.25" customHeight="1">
      <c r="A407" s="1"/>
      <c r="B407" s="3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"/>
    </row>
    <row r="408" ht="14.25" customHeight="1">
      <c r="A408" s="1"/>
      <c r="B408" s="3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"/>
    </row>
    <row r="409" ht="14.25" customHeight="1">
      <c r="A409" s="1"/>
      <c r="B409" s="3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"/>
    </row>
    <row r="410" ht="14.25" customHeight="1">
      <c r="A410" s="1"/>
      <c r="B410" s="3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"/>
    </row>
    <row r="411" ht="14.25" customHeight="1">
      <c r="A411" s="1"/>
      <c r="B411" s="3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"/>
    </row>
    <row r="412" ht="14.25" customHeight="1">
      <c r="A412" s="1"/>
      <c r="B412" s="3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"/>
    </row>
    <row r="413" ht="14.25" customHeight="1">
      <c r="A413" s="1"/>
      <c r="B413" s="3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"/>
    </row>
    <row r="414" ht="14.25" customHeight="1">
      <c r="A414" s="1"/>
      <c r="B414" s="3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"/>
    </row>
    <row r="415" ht="14.25" customHeight="1">
      <c r="A415" s="1"/>
      <c r="B415" s="3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"/>
    </row>
    <row r="416" ht="14.25" customHeight="1">
      <c r="A416" s="1"/>
      <c r="B416" s="3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"/>
    </row>
    <row r="417" ht="14.25" customHeight="1">
      <c r="A417" s="1"/>
      <c r="B417" s="3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"/>
    </row>
    <row r="418" ht="14.25" customHeight="1">
      <c r="A418" s="1"/>
      <c r="B418" s="3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"/>
    </row>
    <row r="419" ht="14.25" customHeight="1">
      <c r="A419" s="1"/>
      <c r="B419" s="3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"/>
    </row>
    <row r="420" ht="14.25" customHeight="1">
      <c r="A420" s="1"/>
      <c r="B420" s="3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"/>
    </row>
    <row r="421" ht="14.25" customHeight="1">
      <c r="A421" s="1"/>
      <c r="B421" s="3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"/>
    </row>
    <row r="422" ht="14.25" customHeight="1">
      <c r="A422" s="1"/>
      <c r="B422" s="3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"/>
    </row>
    <row r="423" ht="14.25" customHeight="1">
      <c r="A423" s="1"/>
      <c r="B423" s="3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"/>
    </row>
    <row r="424" ht="14.25" customHeight="1">
      <c r="A424" s="1"/>
      <c r="B424" s="3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"/>
    </row>
    <row r="425" ht="14.25" customHeight="1">
      <c r="A425" s="1"/>
      <c r="B425" s="3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"/>
    </row>
    <row r="426" ht="14.25" customHeight="1">
      <c r="A426" s="1"/>
      <c r="B426" s="3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"/>
    </row>
    <row r="427" ht="14.25" customHeight="1">
      <c r="A427" s="1"/>
      <c r="B427" s="3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"/>
    </row>
    <row r="428" ht="14.25" customHeight="1">
      <c r="A428" s="1"/>
      <c r="B428" s="3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"/>
    </row>
    <row r="429" ht="14.25" customHeight="1">
      <c r="A429" s="1"/>
      <c r="B429" s="3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"/>
    </row>
    <row r="430" ht="14.25" customHeight="1">
      <c r="A430" s="1"/>
      <c r="B430" s="3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"/>
    </row>
    <row r="431" ht="14.25" customHeight="1">
      <c r="A431" s="1"/>
      <c r="B431" s="3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"/>
    </row>
    <row r="432" ht="14.25" customHeight="1">
      <c r="A432" s="1"/>
      <c r="B432" s="3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"/>
    </row>
    <row r="433" ht="14.25" customHeight="1">
      <c r="A433" s="1"/>
      <c r="B433" s="3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"/>
    </row>
    <row r="434" ht="14.25" customHeight="1">
      <c r="A434" s="1"/>
      <c r="B434" s="3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"/>
    </row>
    <row r="435" ht="14.25" customHeight="1">
      <c r="A435" s="1"/>
      <c r="B435" s="3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"/>
    </row>
    <row r="436" ht="14.25" customHeight="1">
      <c r="A436" s="1"/>
      <c r="B436" s="3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"/>
    </row>
    <row r="437" ht="14.25" customHeight="1">
      <c r="A437" s="1"/>
      <c r="B437" s="3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"/>
    </row>
    <row r="438" ht="14.25" customHeight="1">
      <c r="A438" s="1"/>
      <c r="B438" s="3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"/>
    </row>
    <row r="439" ht="14.25" customHeight="1">
      <c r="A439" s="1"/>
      <c r="B439" s="3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"/>
    </row>
    <row r="440" ht="14.25" customHeight="1">
      <c r="A440" s="1"/>
      <c r="B440" s="3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"/>
    </row>
    <row r="441" ht="14.25" customHeight="1">
      <c r="A441" s="1"/>
      <c r="B441" s="3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"/>
    </row>
    <row r="442" ht="14.25" customHeight="1">
      <c r="A442" s="1"/>
      <c r="B442" s="3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"/>
    </row>
    <row r="443" ht="14.25" customHeight="1">
      <c r="A443" s="1"/>
      <c r="B443" s="3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"/>
    </row>
    <row r="444" ht="14.25" customHeight="1">
      <c r="A444" s="1"/>
      <c r="B444" s="3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"/>
    </row>
    <row r="445" ht="14.25" customHeight="1">
      <c r="A445" s="1"/>
      <c r="B445" s="3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"/>
    </row>
    <row r="446" ht="14.25" customHeight="1">
      <c r="A446" s="1"/>
      <c r="B446" s="3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"/>
    </row>
    <row r="447" ht="14.25" customHeight="1">
      <c r="A447" s="1"/>
      <c r="B447" s="3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"/>
    </row>
    <row r="448" ht="14.25" customHeight="1">
      <c r="A448" s="1"/>
      <c r="B448" s="3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"/>
    </row>
    <row r="449" ht="14.25" customHeight="1">
      <c r="A449" s="1"/>
      <c r="B449" s="3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"/>
    </row>
    <row r="450" ht="14.25" customHeight="1">
      <c r="A450" s="1"/>
      <c r="B450" s="3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"/>
    </row>
    <row r="451" ht="14.25" customHeight="1">
      <c r="A451" s="1"/>
      <c r="B451" s="3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"/>
    </row>
    <row r="452" ht="14.25" customHeight="1">
      <c r="A452" s="1"/>
      <c r="B452" s="3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"/>
    </row>
    <row r="453" ht="14.25" customHeight="1">
      <c r="A453" s="1"/>
      <c r="B453" s="3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"/>
    </row>
    <row r="454" ht="14.25" customHeight="1">
      <c r="A454" s="1"/>
      <c r="B454" s="3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"/>
    </row>
    <row r="455" ht="14.25" customHeight="1">
      <c r="A455" s="1"/>
      <c r="B455" s="3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"/>
    </row>
    <row r="456" ht="14.25" customHeight="1">
      <c r="A456" s="1"/>
      <c r="B456" s="3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"/>
    </row>
    <row r="457" ht="14.25" customHeight="1">
      <c r="A457" s="1"/>
      <c r="B457" s="3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"/>
    </row>
    <row r="458" ht="14.25" customHeight="1">
      <c r="A458" s="1"/>
      <c r="B458" s="3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"/>
    </row>
    <row r="459" ht="14.25" customHeight="1">
      <c r="A459" s="1"/>
      <c r="B459" s="3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"/>
    </row>
    <row r="460" ht="14.25" customHeight="1">
      <c r="A460" s="1"/>
      <c r="B460" s="3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"/>
    </row>
    <row r="461" ht="14.25" customHeight="1">
      <c r="A461" s="1"/>
      <c r="B461" s="3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"/>
    </row>
    <row r="462" ht="14.25" customHeight="1">
      <c r="A462" s="1"/>
      <c r="B462" s="3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"/>
    </row>
    <row r="463" ht="14.25" customHeight="1">
      <c r="A463" s="1"/>
      <c r="B463" s="3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"/>
    </row>
    <row r="464" ht="14.25" customHeight="1">
      <c r="A464" s="1"/>
      <c r="B464" s="3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"/>
    </row>
    <row r="465" ht="14.25" customHeight="1">
      <c r="A465" s="1"/>
      <c r="B465" s="3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"/>
    </row>
    <row r="466" ht="14.25" customHeight="1">
      <c r="A466" s="1"/>
      <c r="B466" s="3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"/>
    </row>
    <row r="467" ht="14.25" customHeight="1">
      <c r="A467" s="1"/>
      <c r="B467" s="3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"/>
    </row>
    <row r="468" ht="14.25" customHeight="1">
      <c r="A468" s="1"/>
      <c r="B468" s="3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"/>
    </row>
    <row r="469" ht="14.25" customHeight="1">
      <c r="A469" s="1"/>
      <c r="B469" s="3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"/>
    </row>
    <row r="470" ht="14.25" customHeight="1">
      <c r="A470" s="1"/>
      <c r="B470" s="3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"/>
    </row>
    <row r="471" ht="14.25" customHeight="1">
      <c r="A471" s="1"/>
      <c r="B471" s="3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"/>
    </row>
    <row r="472" ht="14.25" customHeight="1">
      <c r="A472" s="1"/>
      <c r="B472" s="3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"/>
    </row>
    <row r="473" ht="14.25" customHeight="1">
      <c r="A473" s="1"/>
      <c r="B473" s="3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"/>
    </row>
    <row r="474" ht="14.25" customHeight="1">
      <c r="A474" s="1"/>
      <c r="B474" s="3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"/>
    </row>
    <row r="475" ht="14.25" customHeight="1">
      <c r="A475" s="1"/>
      <c r="B475" s="3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"/>
    </row>
    <row r="476" ht="14.25" customHeight="1">
      <c r="A476" s="1"/>
      <c r="B476" s="3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"/>
    </row>
    <row r="477" ht="14.25" customHeight="1">
      <c r="A477" s="1"/>
      <c r="B477" s="3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"/>
    </row>
    <row r="478" ht="14.25" customHeight="1">
      <c r="A478" s="1"/>
      <c r="B478" s="3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"/>
    </row>
    <row r="479" ht="14.25" customHeight="1">
      <c r="A479" s="1"/>
      <c r="B479" s="3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"/>
    </row>
    <row r="480" ht="14.25" customHeight="1">
      <c r="A480" s="1"/>
      <c r="B480" s="3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"/>
    </row>
    <row r="481" ht="14.25" customHeight="1">
      <c r="A481" s="1"/>
      <c r="B481" s="3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"/>
    </row>
    <row r="482" ht="14.25" customHeight="1">
      <c r="A482" s="1"/>
      <c r="B482" s="3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"/>
    </row>
    <row r="483" ht="14.25" customHeight="1">
      <c r="A483" s="1"/>
      <c r="B483" s="3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"/>
    </row>
    <row r="484" ht="14.25" customHeight="1">
      <c r="A484" s="1"/>
      <c r="B484" s="3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"/>
    </row>
    <row r="485" ht="14.25" customHeight="1">
      <c r="A485" s="1"/>
      <c r="B485" s="3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"/>
    </row>
    <row r="486" ht="14.25" customHeight="1">
      <c r="A486" s="1"/>
      <c r="B486" s="3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"/>
    </row>
    <row r="487" ht="14.25" customHeight="1">
      <c r="A487" s="1"/>
      <c r="B487" s="3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"/>
    </row>
    <row r="488" ht="14.25" customHeight="1">
      <c r="A488" s="1"/>
      <c r="B488" s="3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"/>
    </row>
    <row r="489" ht="14.25" customHeight="1">
      <c r="A489" s="1"/>
      <c r="B489" s="3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"/>
    </row>
    <row r="490" ht="14.25" customHeight="1">
      <c r="A490" s="1"/>
      <c r="B490" s="3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"/>
    </row>
    <row r="491" ht="14.25" customHeight="1">
      <c r="A491" s="1"/>
      <c r="B491" s="3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"/>
    </row>
    <row r="492" ht="14.25" customHeight="1">
      <c r="A492" s="1"/>
      <c r="B492" s="3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"/>
    </row>
    <row r="493" ht="14.25" customHeight="1">
      <c r="A493" s="1"/>
      <c r="B493" s="3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"/>
    </row>
    <row r="494" ht="14.25" customHeight="1">
      <c r="A494" s="1"/>
      <c r="B494" s="3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"/>
    </row>
    <row r="495" ht="14.25" customHeight="1">
      <c r="A495" s="1"/>
      <c r="B495" s="3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"/>
    </row>
    <row r="496" ht="14.25" customHeight="1">
      <c r="A496" s="1"/>
      <c r="B496" s="3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"/>
    </row>
    <row r="497" ht="14.25" customHeight="1">
      <c r="A497" s="1"/>
      <c r="B497" s="3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"/>
    </row>
    <row r="498" ht="14.25" customHeight="1">
      <c r="A498" s="1"/>
      <c r="B498" s="3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"/>
    </row>
    <row r="499" ht="14.25" customHeight="1">
      <c r="A499" s="1"/>
      <c r="B499" s="3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"/>
    </row>
    <row r="500" ht="14.25" customHeight="1">
      <c r="A500" s="1"/>
      <c r="B500" s="3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"/>
    </row>
    <row r="501" ht="14.25" customHeight="1">
      <c r="A501" s="1"/>
      <c r="B501" s="3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2"/>
    </row>
    <row r="502" ht="14.25" customHeight="1">
      <c r="A502" s="1"/>
      <c r="B502" s="3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2"/>
    </row>
    <row r="503" ht="14.25" customHeight="1">
      <c r="A503" s="1"/>
      <c r="B503" s="3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2"/>
    </row>
    <row r="504" ht="14.25" customHeight="1">
      <c r="A504" s="1"/>
      <c r="B504" s="3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2"/>
    </row>
    <row r="505" ht="14.25" customHeight="1">
      <c r="A505" s="1"/>
      <c r="B505" s="3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2"/>
    </row>
    <row r="506" ht="14.25" customHeight="1">
      <c r="A506" s="1"/>
      <c r="B506" s="3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2"/>
    </row>
    <row r="507" ht="14.25" customHeight="1">
      <c r="A507" s="1"/>
      <c r="B507" s="3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2"/>
    </row>
    <row r="508" ht="14.25" customHeight="1">
      <c r="A508" s="1"/>
      <c r="B508" s="3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2"/>
    </row>
    <row r="509" ht="14.25" customHeight="1">
      <c r="A509" s="1"/>
      <c r="B509" s="3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2"/>
    </row>
    <row r="510" ht="14.25" customHeight="1">
      <c r="A510" s="1"/>
      <c r="B510" s="3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2"/>
    </row>
    <row r="511" ht="14.25" customHeight="1">
      <c r="A511" s="1"/>
      <c r="B511" s="3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2"/>
    </row>
    <row r="512" ht="14.25" customHeight="1">
      <c r="A512" s="1"/>
      <c r="B512" s="3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2"/>
    </row>
    <row r="513" ht="14.25" customHeight="1">
      <c r="A513" s="1"/>
      <c r="B513" s="3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2"/>
    </row>
    <row r="514" ht="14.25" customHeight="1">
      <c r="A514" s="1"/>
      <c r="B514" s="3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2"/>
    </row>
    <row r="515" ht="14.25" customHeight="1">
      <c r="A515" s="1"/>
      <c r="B515" s="3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2"/>
    </row>
    <row r="516" ht="14.25" customHeight="1">
      <c r="A516" s="1"/>
      <c r="B516" s="3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2"/>
    </row>
    <row r="517" ht="14.25" customHeight="1">
      <c r="A517" s="1"/>
      <c r="B517" s="3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2"/>
    </row>
    <row r="518" ht="14.25" customHeight="1">
      <c r="A518" s="1"/>
      <c r="B518" s="3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2"/>
    </row>
    <row r="519" ht="14.25" customHeight="1">
      <c r="A519" s="1"/>
      <c r="B519" s="3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2"/>
    </row>
    <row r="520" ht="14.25" customHeight="1">
      <c r="A520" s="1"/>
      <c r="B520" s="3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2"/>
    </row>
    <row r="521" ht="14.25" customHeight="1">
      <c r="A521" s="1"/>
      <c r="B521" s="3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2"/>
    </row>
    <row r="522" ht="14.25" customHeight="1">
      <c r="A522" s="1"/>
      <c r="B522" s="3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2"/>
    </row>
    <row r="523" ht="14.25" customHeight="1">
      <c r="A523" s="1"/>
      <c r="B523" s="3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2"/>
    </row>
    <row r="524" ht="14.25" customHeight="1">
      <c r="A524" s="1"/>
      <c r="B524" s="3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2"/>
    </row>
    <row r="525" ht="14.25" customHeight="1">
      <c r="A525" s="1"/>
      <c r="B525" s="3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2"/>
    </row>
    <row r="526" ht="14.25" customHeight="1">
      <c r="A526" s="1"/>
      <c r="B526" s="3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2"/>
    </row>
    <row r="527" ht="14.25" customHeight="1">
      <c r="A527" s="1"/>
      <c r="B527" s="3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2"/>
    </row>
    <row r="528" ht="14.25" customHeight="1">
      <c r="A528" s="1"/>
      <c r="B528" s="3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2"/>
    </row>
    <row r="529" ht="14.25" customHeight="1">
      <c r="A529" s="1"/>
      <c r="B529" s="3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2"/>
    </row>
    <row r="530" ht="14.25" customHeight="1">
      <c r="A530" s="1"/>
      <c r="B530" s="3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2"/>
    </row>
    <row r="531" ht="14.25" customHeight="1">
      <c r="A531" s="1"/>
      <c r="B531" s="3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2"/>
    </row>
    <row r="532" ht="14.25" customHeight="1">
      <c r="A532" s="1"/>
      <c r="B532" s="3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2"/>
    </row>
    <row r="533" ht="14.25" customHeight="1">
      <c r="A533" s="1"/>
      <c r="B533" s="3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"/>
    </row>
    <row r="534" ht="14.25" customHeight="1">
      <c r="A534" s="1"/>
      <c r="B534" s="3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2"/>
    </row>
    <row r="535" ht="14.25" customHeight="1">
      <c r="A535" s="1"/>
      <c r="B535" s="3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2"/>
    </row>
    <row r="536" ht="14.25" customHeight="1">
      <c r="A536" s="1"/>
      <c r="B536" s="3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2"/>
    </row>
    <row r="537" ht="14.25" customHeight="1">
      <c r="A537" s="1"/>
      <c r="B537" s="3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2"/>
    </row>
    <row r="538" ht="14.25" customHeight="1">
      <c r="A538" s="1"/>
      <c r="B538" s="3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"/>
    </row>
    <row r="539" ht="14.25" customHeight="1">
      <c r="A539" s="1"/>
      <c r="B539" s="3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2"/>
    </row>
    <row r="540" ht="14.25" customHeight="1">
      <c r="A540" s="1"/>
      <c r="B540" s="3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2"/>
    </row>
    <row r="541" ht="14.25" customHeight="1">
      <c r="A541" s="1"/>
      <c r="B541" s="3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2"/>
    </row>
    <row r="542" ht="14.25" customHeight="1">
      <c r="A542" s="1"/>
      <c r="B542" s="3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2"/>
    </row>
    <row r="543" ht="14.25" customHeight="1">
      <c r="A543" s="1"/>
      <c r="B543" s="3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2"/>
    </row>
    <row r="544" ht="14.25" customHeight="1">
      <c r="A544" s="1"/>
      <c r="B544" s="3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2"/>
    </row>
    <row r="545" ht="14.25" customHeight="1">
      <c r="A545" s="1"/>
      <c r="B545" s="3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2"/>
    </row>
    <row r="546" ht="14.25" customHeight="1">
      <c r="A546" s="1"/>
      <c r="B546" s="3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2"/>
    </row>
    <row r="547" ht="14.25" customHeight="1">
      <c r="A547" s="1"/>
      <c r="B547" s="3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2"/>
    </row>
    <row r="548" ht="14.25" customHeight="1">
      <c r="A548" s="1"/>
      <c r="B548" s="3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2"/>
    </row>
    <row r="549" ht="14.25" customHeight="1">
      <c r="A549" s="1"/>
      <c r="B549" s="3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2"/>
    </row>
    <row r="550" ht="14.25" customHeight="1">
      <c r="A550" s="1"/>
      <c r="B550" s="3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2"/>
    </row>
    <row r="551" ht="14.25" customHeight="1">
      <c r="A551" s="1"/>
      <c r="B551" s="3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2"/>
    </row>
    <row r="552" ht="14.25" customHeight="1">
      <c r="A552" s="1"/>
      <c r="B552" s="3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2"/>
    </row>
    <row r="553" ht="14.25" customHeight="1">
      <c r="A553" s="1"/>
      <c r="B553" s="3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2"/>
    </row>
    <row r="554" ht="14.25" customHeight="1">
      <c r="A554" s="1"/>
      <c r="B554" s="3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2"/>
    </row>
    <row r="555" ht="14.25" customHeight="1">
      <c r="A555" s="1"/>
      <c r="B555" s="3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2"/>
    </row>
    <row r="556" ht="14.25" customHeight="1">
      <c r="A556" s="1"/>
      <c r="B556" s="3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2"/>
    </row>
    <row r="557" ht="14.25" customHeight="1">
      <c r="A557" s="1"/>
      <c r="B557" s="3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2"/>
    </row>
    <row r="558" ht="14.25" customHeight="1">
      <c r="A558" s="1"/>
      <c r="B558" s="3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2"/>
    </row>
    <row r="559" ht="14.25" customHeight="1">
      <c r="A559" s="1"/>
      <c r="B559" s="3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2"/>
    </row>
    <row r="560" ht="14.25" customHeight="1">
      <c r="A560" s="1"/>
      <c r="B560" s="3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2"/>
    </row>
    <row r="561" ht="14.25" customHeight="1">
      <c r="A561" s="1"/>
      <c r="B561" s="3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2"/>
    </row>
    <row r="562" ht="14.25" customHeight="1">
      <c r="A562" s="1"/>
      <c r="B562" s="3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2"/>
    </row>
    <row r="563" ht="14.25" customHeight="1">
      <c r="A563" s="1"/>
      <c r="B563" s="3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"/>
    </row>
    <row r="564" ht="14.25" customHeight="1">
      <c r="A564" s="1"/>
      <c r="B564" s="3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2"/>
    </row>
    <row r="565" ht="14.25" customHeight="1">
      <c r="A565" s="1"/>
      <c r="B565" s="3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2"/>
    </row>
    <row r="566" ht="14.25" customHeight="1">
      <c r="A566" s="1"/>
      <c r="B566" s="3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2"/>
    </row>
    <row r="567" ht="14.25" customHeight="1">
      <c r="A567" s="1"/>
      <c r="B567" s="3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"/>
    </row>
    <row r="568" ht="14.25" customHeight="1">
      <c r="A568" s="1"/>
      <c r="B568" s="3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2"/>
    </row>
    <row r="569" ht="14.25" customHeight="1">
      <c r="A569" s="1"/>
      <c r="B569" s="3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2"/>
    </row>
    <row r="570" ht="14.25" customHeight="1">
      <c r="A570" s="1"/>
      <c r="B570" s="3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2"/>
    </row>
    <row r="571" ht="14.25" customHeight="1">
      <c r="A571" s="1"/>
      <c r="B571" s="3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"/>
    </row>
    <row r="572" ht="14.25" customHeight="1">
      <c r="A572" s="1"/>
      <c r="B572" s="3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2"/>
    </row>
    <row r="573" ht="14.25" customHeight="1">
      <c r="A573" s="1"/>
      <c r="B573" s="3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2"/>
    </row>
    <row r="574" ht="14.25" customHeight="1">
      <c r="A574" s="1"/>
      <c r="B574" s="3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2"/>
    </row>
    <row r="575" ht="14.25" customHeight="1">
      <c r="A575" s="1"/>
      <c r="B575" s="3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2"/>
    </row>
    <row r="576" ht="14.25" customHeight="1">
      <c r="A576" s="1"/>
      <c r="B576" s="3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"/>
    </row>
    <row r="577" ht="14.25" customHeight="1">
      <c r="A577" s="1"/>
      <c r="B577" s="3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2"/>
    </row>
    <row r="578" ht="14.25" customHeight="1">
      <c r="A578" s="1"/>
      <c r="B578" s="3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2"/>
    </row>
    <row r="579" ht="14.25" customHeight="1">
      <c r="A579" s="1"/>
      <c r="B579" s="3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2"/>
    </row>
    <row r="580" ht="14.25" customHeight="1">
      <c r="A580" s="1"/>
      <c r="B580" s="3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2"/>
    </row>
    <row r="581" ht="14.25" customHeight="1">
      <c r="A581" s="1"/>
      <c r="B581" s="3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2"/>
    </row>
    <row r="582" ht="14.25" customHeight="1">
      <c r="A582" s="1"/>
      <c r="B582" s="3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2"/>
    </row>
    <row r="583" ht="14.25" customHeight="1">
      <c r="A583" s="1"/>
      <c r="B583" s="3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2"/>
    </row>
    <row r="584" ht="14.25" customHeight="1">
      <c r="A584" s="1"/>
      <c r="B584" s="3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2"/>
    </row>
    <row r="585" ht="14.25" customHeight="1">
      <c r="A585" s="1"/>
      <c r="B585" s="3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2"/>
    </row>
    <row r="586" ht="14.25" customHeight="1">
      <c r="A586" s="1"/>
      <c r="B586" s="3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2"/>
    </row>
    <row r="587" ht="14.25" customHeight="1">
      <c r="A587" s="1"/>
      <c r="B587" s="3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"/>
    </row>
    <row r="588" ht="14.25" customHeight="1">
      <c r="A588" s="1"/>
      <c r="B588" s="3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"/>
    </row>
    <row r="589" ht="14.25" customHeight="1">
      <c r="A589" s="1"/>
      <c r="B589" s="3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2"/>
    </row>
    <row r="590" ht="14.25" customHeight="1">
      <c r="A590" s="1"/>
      <c r="B590" s="3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2"/>
    </row>
    <row r="591" ht="14.25" customHeight="1">
      <c r="A591" s="1"/>
      <c r="B591" s="3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"/>
    </row>
    <row r="592" ht="14.25" customHeight="1">
      <c r="A592" s="1"/>
      <c r="B592" s="3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2"/>
    </row>
    <row r="593" ht="14.25" customHeight="1">
      <c r="A593" s="1"/>
      <c r="B593" s="3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2"/>
    </row>
    <row r="594" ht="14.25" customHeight="1">
      <c r="A594" s="1"/>
      <c r="B594" s="3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2"/>
    </row>
    <row r="595" ht="14.25" customHeight="1">
      <c r="A595" s="1"/>
      <c r="B595" s="3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2"/>
    </row>
    <row r="596" ht="14.25" customHeight="1">
      <c r="A596" s="1"/>
      <c r="B596" s="3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2"/>
    </row>
    <row r="597" ht="14.25" customHeight="1">
      <c r="A597" s="1"/>
      <c r="B597" s="3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2"/>
    </row>
    <row r="598" ht="14.25" customHeight="1">
      <c r="A598" s="1"/>
      <c r="B598" s="3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"/>
    </row>
    <row r="599" ht="14.25" customHeight="1">
      <c r="A599" s="1"/>
      <c r="B599" s="3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2"/>
    </row>
    <row r="600" ht="14.25" customHeight="1">
      <c r="A600" s="1"/>
      <c r="B600" s="3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2"/>
    </row>
    <row r="601" ht="14.25" customHeight="1">
      <c r="A601" s="1"/>
      <c r="B601" s="3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"/>
    </row>
    <row r="602" ht="14.25" customHeight="1">
      <c r="A602" s="1"/>
      <c r="B602" s="3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2"/>
    </row>
    <row r="603" ht="14.25" customHeight="1">
      <c r="A603" s="1"/>
      <c r="B603" s="3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2"/>
    </row>
    <row r="604" ht="14.25" customHeight="1">
      <c r="A604" s="1"/>
      <c r="B604" s="3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2"/>
    </row>
    <row r="605" ht="14.25" customHeight="1">
      <c r="A605" s="1"/>
      <c r="B605" s="3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2"/>
    </row>
    <row r="606" ht="14.25" customHeight="1">
      <c r="A606" s="1"/>
      <c r="B606" s="3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2"/>
    </row>
    <row r="607" ht="14.25" customHeight="1">
      <c r="A607" s="1"/>
      <c r="B607" s="3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2"/>
    </row>
    <row r="608" ht="14.25" customHeight="1">
      <c r="A608" s="1"/>
      <c r="B608" s="3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2"/>
    </row>
    <row r="609" ht="14.25" customHeight="1">
      <c r="A609" s="1"/>
      <c r="B609" s="3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2"/>
    </row>
    <row r="610" ht="14.25" customHeight="1">
      <c r="A610" s="1"/>
      <c r="B610" s="3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2"/>
    </row>
    <row r="611" ht="14.25" customHeight="1">
      <c r="A611" s="1"/>
      <c r="B611" s="3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2"/>
    </row>
    <row r="612" ht="14.25" customHeight="1">
      <c r="A612" s="1"/>
      <c r="B612" s="3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2"/>
    </row>
    <row r="613" ht="14.25" customHeight="1">
      <c r="A613" s="1"/>
      <c r="B613" s="3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2"/>
    </row>
    <row r="614" ht="14.25" customHeight="1">
      <c r="A614" s="1"/>
      <c r="B614" s="3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2"/>
    </row>
    <row r="615" ht="14.25" customHeight="1">
      <c r="A615" s="1"/>
      <c r="B615" s="3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"/>
    </row>
    <row r="616" ht="14.25" customHeight="1">
      <c r="A616" s="1"/>
      <c r="B616" s="3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2"/>
    </row>
    <row r="617" ht="14.25" customHeight="1">
      <c r="A617" s="1"/>
      <c r="B617" s="3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2"/>
    </row>
    <row r="618" ht="14.25" customHeight="1">
      <c r="A618" s="1"/>
      <c r="B618" s="3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"/>
    </row>
    <row r="619" ht="14.25" customHeight="1">
      <c r="A619" s="1"/>
      <c r="B619" s="3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2"/>
    </row>
    <row r="620" ht="14.25" customHeight="1">
      <c r="A620" s="1"/>
      <c r="B620" s="3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2"/>
    </row>
    <row r="621" ht="14.25" customHeight="1">
      <c r="A621" s="1"/>
      <c r="B621" s="3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2"/>
    </row>
    <row r="622" ht="14.25" customHeight="1">
      <c r="A622" s="1"/>
      <c r="B622" s="3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2"/>
    </row>
    <row r="623" ht="14.25" customHeight="1">
      <c r="A623" s="1"/>
      <c r="B623" s="3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"/>
    </row>
    <row r="624" ht="14.25" customHeight="1">
      <c r="A624" s="1"/>
      <c r="B624" s="3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2"/>
    </row>
    <row r="625" ht="14.25" customHeight="1">
      <c r="A625" s="1"/>
      <c r="B625" s="3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2"/>
    </row>
    <row r="626" ht="14.25" customHeight="1">
      <c r="A626" s="1"/>
      <c r="B626" s="3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"/>
    </row>
    <row r="627" ht="14.25" customHeight="1">
      <c r="A627" s="1"/>
      <c r="B627" s="3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2"/>
    </row>
    <row r="628" ht="14.25" customHeight="1">
      <c r="A628" s="1"/>
      <c r="B628" s="3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2"/>
    </row>
    <row r="629" ht="14.25" customHeight="1">
      <c r="A629" s="1"/>
      <c r="B629" s="3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2"/>
    </row>
    <row r="630" ht="14.25" customHeight="1">
      <c r="A630" s="1"/>
      <c r="B630" s="3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2"/>
    </row>
    <row r="631" ht="14.25" customHeight="1">
      <c r="A631" s="1"/>
      <c r="B631" s="3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2"/>
    </row>
    <row r="632" ht="14.25" customHeight="1">
      <c r="A632" s="1"/>
      <c r="B632" s="3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"/>
    </row>
    <row r="633" ht="14.25" customHeight="1">
      <c r="A633" s="1"/>
      <c r="B633" s="3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2"/>
    </row>
    <row r="634" ht="14.25" customHeight="1">
      <c r="A634" s="1"/>
      <c r="B634" s="3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2"/>
    </row>
    <row r="635" ht="14.25" customHeight="1">
      <c r="A635" s="1"/>
      <c r="B635" s="3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2"/>
    </row>
    <row r="636" ht="14.25" customHeight="1">
      <c r="A636" s="1"/>
      <c r="B636" s="3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2"/>
    </row>
    <row r="637" ht="14.25" customHeight="1">
      <c r="A637" s="1"/>
      <c r="B637" s="3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2"/>
    </row>
    <row r="638" ht="14.25" customHeight="1">
      <c r="A638" s="1"/>
      <c r="B638" s="3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2"/>
    </row>
    <row r="639" ht="14.25" customHeight="1">
      <c r="A639" s="1"/>
      <c r="B639" s="3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2"/>
    </row>
    <row r="640" ht="14.25" customHeight="1">
      <c r="A640" s="1"/>
      <c r="B640" s="3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2"/>
    </row>
    <row r="641" ht="14.25" customHeight="1">
      <c r="A641" s="1"/>
      <c r="B641" s="3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"/>
    </row>
    <row r="642" ht="14.25" customHeight="1">
      <c r="A642" s="1"/>
      <c r="B642" s="3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2"/>
    </row>
    <row r="643" ht="14.25" customHeight="1">
      <c r="A643" s="1"/>
      <c r="B643" s="3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2"/>
    </row>
    <row r="644" ht="14.25" customHeight="1">
      <c r="A644" s="1"/>
      <c r="B644" s="3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2"/>
    </row>
    <row r="645" ht="14.25" customHeight="1">
      <c r="A645" s="1"/>
      <c r="B645" s="3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2"/>
    </row>
    <row r="646" ht="14.25" customHeight="1">
      <c r="A646" s="1"/>
      <c r="B646" s="3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2"/>
    </row>
    <row r="647" ht="14.25" customHeight="1">
      <c r="A647" s="1"/>
      <c r="B647" s="3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2"/>
    </row>
    <row r="648" ht="14.25" customHeight="1">
      <c r="A648" s="1"/>
      <c r="B648" s="3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2"/>
    </row>
    <row r="649" ht="14.25" customHeight="1">
      <c r="A649" s="1"/>
      <c r="B649" s="3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2"/>
    </row>
    <row r="650" ht="14.25" customHeight="1">
      <c r="A650" s="1"/>
      <c r="B650" s="3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2"/>
    </row>
    <row r="651" ht="14.25" customHeight="1">
      <c r="A651" s="1"/>
      <c r="B651" s="3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2"/>
    </row>
    <row r="652" ht="14.25" customHeight="1">
      <c r="A652" s="1"/>
      <c r="B652" s="3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2"/>
    </row>
    <row r="653" ht="14.25" customHeight="1">
      <c r="A653" s="1"/>
      <c r="B653" s="3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2"/>
    </row>
    <row r="654" ht="14.25" customHeight="1">
      <c r="A654" s="1"/>
      <c r="B654" s="3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2"/>
    </row>
    <row r="655" ht="14.25" customHeight="1">
      <c r="A655" s="1"/>
      <c r="B655" s="3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2"/>
    </row>
    <row r="656" ht="14.25" customHeight="1">
      <c r="A656" s="1"/>
      <c r="B656" s="3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2"/>
    </row>
    <row r="657" ht="14.25" customHeight="1">
      <c r="A657" s="1"/>
      <c r="B657" s="3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2"/>
    </row>
    <row r="658" ht="14.25" customHeight="1">
      <c r="A658" s="1"/>
      <c r="B658" s="3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"/>
    </row>
    <row r="659" ht="14.25" customHeight="1">
      <c r="A659" s="1"/>
      <c r="B659" s="3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2"/>
    </row>
    <row r="660" ht="14.25" customHeight="1">
      <c r="A660" s="1"/>
      <c r="B660" s="3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"/>
    </row>
    <row r="661" ht="14.25" customHeight="1">
      <c r="A661" s="1"/>
      <c r="B661" s="3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"/>
    </row>
    <row r="662" ht="14.25" customHeight="1">
      <c r="A662" s="1"/>
      <c r="B662" s="3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2"/>
    </row>
    <row r="663" ht="14.25" customHeight="1">
      <c r="A663" s="1"/>
      <c r="B663" s="3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"/>
    </row>
    <row r="664" ht="14.25" customHeight="1">
      <c r="A664" s="1"/>
      <c r="B664" s="3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2"/>
    </row>
    <row r="665" ht="14.25" customHeight="1">
      <c r="A665" s="1"/>
      <c r="B665" s="3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2"/>
    </row>
    <row r="666" ht="14.25" customHeight="1">
      <c r="A666" s="1"/>
      <c r="B666" s="3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2"/>
    </row>
    <row r="667" ht="14.25" customHeight="1">
      <c r="A667" s="1"/>
      <c r="B667" s="3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2"/>
    </row>
    <row r="668" ht="14.25" customHeight="1">
      <c r="A668" s="1"/>
      <c r="B668" s="3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"/>
    </row>
    <row r="669" ht="14.25" customHeight="1">
      <c r="A669" s="1"/>
      <c r="B669" s="3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2"/>
    </row>
    <row r="670" ht="14.25" customHeight="1">
      <c r="A670" s="1"/>
      <c r="B670" s="3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2"/>
    </row>
    <row r="671" ht="14.25" customHeight="1">
      <c r="A671" s="1"/>
      <c r="B671" s="3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2"/>
    </row>
    <row r="672" ht="14.25" customHeight="1">
      <c r="A672" s="1"/>
      <c r="B672" s="3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2"/>
    </row>
    <row r="673" ht="14.25" customHeight="1">
      <c r="A673" s="1"/>
      <c r="B673" s="3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2"/>
    </row>
    <row r="674" ht="14.25" customHeight="1">
      <c r="A674" s="1"/>
      <c r="B674" s="3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2"/>
    </row>
    <row r="675" ht="14.25" customHeight="1">
      <c r="A675" s="1"/>
      <c r="B675" s="3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2"/>
    </row>
    <row r="676" ht="14.25" customHeight="1">
      <c r="A676" s="1"/>
      <c r="B676" s="3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2"/>
    </row>
    <row r="677" ht="14.25" customHeight="1">
      <c r="A677" s="1"/>
      <c r="B677" s="3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2"/>
    </row>
    <row r="678" ht="14.25" customHeight="1">
      <c r="A678" s="1"/>
      <c r="B678" s="3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2"/>
    </row>
    <row r="679" ht="14.25" customHeight="1">
      <c r="A679" s="1"/>
      <c r="B679" s="3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2"/>
    </row>
    <row r="680" ht="14.25" customHeight="1">
      <c r="A680" s="1"/>
      <c r="B680" s="3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2"/>
    </row>
    <row r="681" ht="14.25" customHeight="1">
      <c r="A681" s="1"/>
      <c r="B681" s="3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2"/>
    </row>
    <row r="682" ht="14.25" customHeight="1">
      <c r="A682" s="1"/>
      <c r="B682" s="3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2"/>
    </row>
    <row r="683" ht="14.25" customHeight="1">
      <c r="A683" s="1"/>
      <c r="B683" s="3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2"/>
    </row>
    <row r="684" ht="14.25" customHeight="1">
      <c r="A684" s="1"/>
      <c r="B684" s="3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"/>
    </row>
    <row r="685" ht="14.25" customHeight="1">
      <c r="A685" s="1"/>
      <c r="B685" s="3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2"/>
    </row>
    <row r="686" ht="14.25" customHeight="1">
      <c r="A686" s="1"/>
      <c r="B686" s="3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"/>
    </row>
    <row r="687" ht="14.25" customHeight="1">
      <c r="A687" s="1"/>
      <c r="B687" s="3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"/>
    </row>
    <row r="688" ht="14.25" customHeight="1">
      <c r="A688" s="1"/>
      <c r="B688" s="3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2"/>
    </row>
    <row r="689" ht="14.25" customHeight="1">
      <c r="A689" s="1"/>
      <c r="B689" s="3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2"/>
    </row>
    <row r="690" ht="14.25" customHeight="1">
      <c r="A690" s="1"/>
      <c r="B690" s="3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"/>
    </row>
    <row r="691" ht="14.25" customHeight="1">
      <c r="A691" s="1"/>
      <c r="B691" s="3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"/>
    </row>
    <row r="692" ht="14.25" customHeight="1">
      <c r="A692" s="1"/>
      <c r="B692" s="3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2"/>
    </row>
    <row r="693" ht="14.25" customHeight="1">
      <c r="A693" s="1"/>
      <c r="B693" s="3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"/>
    </row>
    <row r="694" ht="14.25" customHeight="1">
      <c r="A694" s="1"/>
      <c r="B694" s="3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2"/>
    </row>
    <row r="695" ht="14.25" customHeight="1">
      <c r="A695" s="1"/>
      <c r="B695" s="3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2"/>
    </row>
    <row r="696" ht="14.25" customHeight="1">
      <c r="A696" s="1"/>
      <c r="B696" s="3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2"/>
    </row>
    <row r="697" ht="14.25" customHeight="1">
      <c r="A697" s="1"/>
      <c r="B697" s="3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2"/>
    </row>
    <row r="698" ht="14.25" customHeight="1">
      <c r="A698" s="1"/>
      <c r="B698" s="3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2"/>
    </row>
    <row r="699" ht="14.25" customHeight="1">
      <c r="A699" s="1"/>
      <c r="B699" s="3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2"/>
    </row>
    <row r="700" ht="14.25" customHeight="1">
      <c r="A700" s="1"/>
      <c r="B700" s="3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"/>
    </row>
    <row r="701" ht="14.25" customHeight="1">
      <c r="A701" s="1"/>
      <c r="B701" s="3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2"/>
    </row>
    <row r="702" ht="14.25" customHeight="1">
      <c r="A702" s="1"/>
      <c r="B702" s="3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"/>
    </row>
    <row r="703" ht="14.25" customHeight="1">
      <c r="A703" s="1"/>
      <c r="B703" s="3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2"/>
    </row>
    <row r="704" ht="14.25" customHeight="1">
      <c r="A704" s="1"/>
      <c r="B704" s="3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2"/>
    </row>
    <row r="705" ht="14.25" customHeight="1">
      <c r="A705" s="1"/>
      <c r="B705" s="3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2"/>
    </row>
    <row r="706" ht="14.25" customHeight="1">
      <c r="A706" s="1"/>
      <c r="B706" s="3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2"/>
    </row>
    <row r="707" ht="14.25" customHeight="1">
      <c r="A707" s="1"/>
      <c r="B707" s="3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2"/>
    </row>
    <row r="708" ht="14.25" customHeight="1">
      <c r="A708" s="1"/>
      <c r="B708" s="3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2"/>
    </row>
    <row r="709" ht="14.25" customHeight="1">
      <c r="A709" s="1"/>
      <c r="B709" s="3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"/>
    </row>
    <row r="710" ht="14.25" customHeight="1">
      <c r="A710" s="1"/>
      <c r="B710" s="3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2"/>
    </row>
    <row r="711" ht="14.25" customHeight="1">
      <c r="A711" s="1"/>
      <c r="B711" s="3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"/>
    </row>
    <row r="712" ht="14.25" customHeight="1">
      <c r="A712" s="1"/>
      <c r="B712" s="3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2"/>
    </row>
    <row r="713" ht="14.25" customHeight="1">
      <c r="A713" s="1"/>
      <c r="B713" s="3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2"/>
    </row>
    <row r="714" ht="14.25" customHeight="1">
      <c r="A714" s="1"/>
      <c r="B714" s="3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2"/>
    </row>
    <row r="715" ht="14.25" customHeight="1">
      <c r="A715" s="1"/>
      <c r="B715" s="3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2"/>
    </row>
    <row r="716" ht="14.25" customHeight="1">
      <c r="A716" s="1"/>
      <c r="B716" s="3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2"/>
    </row>
    <row r="717" ht="14.25" customHeight="1">
      <c r="A717" s="1"/>
      <c r="B717" s="3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"/>
    </row>
    <row r="718" ht="14.25" customHeight="1">
      <c r="A718" s="1"/>
      <c r="B718" s="3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2"/>
    </row>
    <row r="719" ht="14.25" customHeight="1">
      <c r="A719" s="1"/>
      <c r="B719" s="3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"/>
    </row>
    <row r="720" ht="14.25" customHeight="1">
      <c r="A720" s="1"/>
      <c r="B720" s="3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2"/>
    </row>
    <row r="721" ht="14.25" customHeight="1">
      <c r="A721" s="1"/>
      <c r="B721" s="3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2"/>
    </row>
    <row r="722" ht="14.25" customHeight="1">
      <c r="A722" s="1"/>
      <c r="B722" s="3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2"/>
    </row>
    <row r="723" ht="14.25" customHeight="1">
      <c r="A723" s="1"/>
      <c r="B723" s="3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2"/>
    </row>
    <row r="724" ht="14.25" customHeight="1">
      <c r="A724" s="1"/>
      <c r="B724" s="3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2"/>
    </row>
    <row r="725" ht="14.25" customHeight="1">
      <c r="A725" s="1"/>
      <c r="B725" s="3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2"/>
    </row>
    <row r="726" ht="14.25" customHeight="1">
      <c r="A726" s="1"/>
      <c r="B726" s="3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2"/>
    </row>
    <row r="727" ht="14.25" customHeight="1">
      <c r="A727" s="1"/>
      <c r="B727" s="3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"/>
    </row>
    <row r="728" ht="14.25" customHeight="1">
      <c r="A728" s="1"/>
      <c r="B728" s="3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2"/>
    </row>
    <row r="729" ht="14.25" customHeight="1">
      <c r="A729" s="1"/>
      <c r="B729" s="3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"/>
    </row>
    <row r="730" ht="14.25" customHeight="1">
      <c r="A730" s="1"/>
      <c r="B730" s="3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2"/>
    </row>
    <row r="731" ht="14.25" customHeight="1">
      <c r="A731" s="1"/>
      <c r="B731" s="3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2"/>
    </row>
    <row r="732" ht="14.25" customHeight="1">
      <c r="A732" s="1"/>
      <c r="B732" s="3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2"/>
    </row>
    <row r="733" ht="14.25" customHeight="1">
      <c r="A733" s="1"/>
      <c r="B733" s="3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2"/>
    </row>
    <row r="734" ht="14.25" customHeight="1">
      <c r="A734" s="1"/>
      <c r="B734" s="3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2"/>
    </row>
    <row r="735" ht="14.25" customHeight="1">
      <c r="A735" s="1"/>
      <c r="B735" s="3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2"/>
    </row>
    <row r="736" ht="14.25" customHeight="1">
      <c r="A736" s="1"/>
      <c r="B736" s="3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"/>
    </row>
    <row r="737" ht="14.25" customHeight="1">
      <c r="A737" s="1"/>
      <c r="B737" s="3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2"/>
    </row>
    <row r="738" ht="14.25" customHeight="1">
      <c r="A738" s="1"/>
      <c r="B738" s="3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"/>
    </row>
    <row r="739" ht="14.25" customHeight="1">
      <c r="A739" s="1"/>
      <c r="B739" s="3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"/>
    </row>
    <row r="740" ht="14.25" customHeight="1">
      <c r="A740" s="1"/>
      <c r="B740" s="3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2"/>
    </row>
    <row r="741" ht="14.25" customHeight="1">
      <c r="A741" s="1"/>
      <c r="B741" s="3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2"/>
    </row>
    <row r="742" ht="14.25" customHeight="1">
      <c r="A742" s="1"/>
      <c r="B742" s="3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2"/>
    </row>
    <row r="743" ht="14.25" customHeight="1">
      <c r="A743" s="1"/>
      <c r="B743" s="3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"/>
    </row>
    <row r="744" ht="14.25" customHeight="1">
      <c r="A744" s="1"/>
      <c r="B744" s="3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2"/>
    </row>
    <row r="745" ht="14.25" customHeight="1">
      <c r="A745" s="1"/>
      <c r="B745" s="3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2"/>
    </row>
    <row r="746" ht="14.25" customHeight="1">
      <c r="A746" s="1"/>
      <c r="B746" s="3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"/>
    </row>
    <row r="747" ht="14.25" customHeight="1">
      <c r="A747" s="1"/>
      <c r="B747" s="3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2"/>
    </row>
    <row r="748" ht="14.25" customHeight="1">
      <c r="A748" s="1"/>
      <c r="B748" s="3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2"/>
    </row>
    <row r="749" ht="14.25" customHeight="1">
      <c r="A749" s="1"/>
      <c r="B749" s="3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2"/>
    </row>
    <row r="750" ht="14.25" customHeight="1">
      <c r="A750" s="1"/>
      <c r="B750" s="3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2"/>
    </row>
    <row r="751" ht="14.25" customHeight="1">
      <c r="A751" s="1"/>
      <c r="B751" s="3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2"/>
    </row>
    <row r="752" ht="14.25" customHeight="1">
      <c r="A752" s="1"/>
      <c r="B752" s="3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2"/>
    </row>
    <row r="753" ht="14.25" customHeight="1">
      <c r="A753" s="1"/>
      <c r="B753" s="3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2"/>
    </row>
    <row r="754" ht="14.25" customHeight="1">
      <c r="A754" s="1"/>
      <c r="B754" s="3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2"/>
    </row>
    <row r="755" ht="14.25" customHeight="1">
      <c r="A755" s="1"/>
      <c r="B755" s="3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2"/>
    </row>
    <row r="756" ht="14.25" customHeight="1">
      <c r="A756" s="1"/>
      <c r="B756" s="3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2"/>
    </row>
    <row r="757" ht="14.25" customHeight="1">
      <c r="A757" s="1"/>
      <c r="B757" s="3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2"/>
    </row>
    <row r="758" ht="14.25" customHeight="1">
      <c r="A758" s="1"/>
      <c r="B758" s="3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2"/>
    </row>
    <row r="759" ht="14.25" customHeight="1">
      <c r="A759" s="1"/>
      <c r="B759" s="3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2"/>
    </row>
    <row r="760" ht="14.25" customHeight="1">
      <c r="A760" s="1"/>
      <c r="B760" s="3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2"/>
    </row>
    <row r="761" ht="14.25" customHeight="1">
      <c r="A761" s="1"/>
      <c r="B761" s="3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2"/>
    </row>
    <row r="762" ht="14.25" customHeight="1">
      <c r="A762" s="1"/>
      <c r="B762" s="3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"/>
    </row>
    <row r="763" ht="14.25" customHeight="1">
      <c r="A763" s="1"/>
      <c r="B763" s="3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2"/>
    </row>
    <row r="764" ht="14.25" customHeight="1">
      <c r="A764" s="1"/>
      <c r="B764" s="3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2"/>
    </row>
    <row r="765" ht="14.25" customHeight="1">
      <c r="A765" s="1"/>
      <c r="B765" s="3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2"/>
    </row>
    <row r="766" ht="14.25" customHeight="1">
      <c r="A766" s="1"/>
      <c r="B766" s="3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2"/>
    </row>
    <row r="767" ht="14.25" customHeight="1">
      <c r="A767" s="1"/>
      <c r="B767" s="3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2"/>
    </row>
    <row r="768" ht="14.25" customHeight="1">
      <c r="A768" s="1"/>
      <c r="B768" s="3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2"/>
    </row>
    <row r="769" ht="14.25" customHeight="1">
      <c r="A769" s="1"/>
      <c r="B769" s="3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2"/>
    </row>
    <row r="770" ht="14.25" customHeight="1">
      <c r="A770" s="1"/>
      <c r="B770" s="3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"/>
    </row>
    <row r="771" ht="14.25" customHeight="1">
      <c r="A771" s="1"/>
      <c r="B771" s="3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2"/>
    </row>
    <row r="772" ht="14.25" customHeight="1">
      <c r="A772" s="1"/>
      <c r="B772" s="3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2"/>
    </row>
    <row r="773" ht="14.25" customHeight="1">
      <c r="A773" s="1"/>
      <c r="B773" s="3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2"/>
    </row>
    <row r="774" ht="14.25" customHeight="1">
      <c r="A774" s="1"/>
      <c r="B774" s="3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2"/>
    </row>
    <row r="775" ht="14.25" customHeight="1">
      <c r="A775" s="1"/>
      <c r="B775" s="3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2"/>
    </row>
    <row r="776" ht="14.25" customHeight="1">
      <c r="A776" s="1"/>
      <c r="B776" s="3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"/>
    </row>
    <row r="777" ht="14.25" customHeight="1">
      <c r="A777" s="1"/>
      <c r="B777" s="3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2"/>
    </row>
    <row r="778" ht="14.25" customHeight="1">
      <c r="A778" s="1"/>
      <c r="B778" s="3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"/>
    </row>
    <row r="779" ht="14.25" customHeight="1">
      <c r="A779" s="1"/>
      <c r="B779" s="3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2"/>
    </row>
    <row r="780" ht="14.25" customHeight="1">
      <c r="A780" s="1"/>
      <c r="B780" s="3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2"/>
    </row>
    <row r="781" ht="14.25" customHeight="1">
      <c r="A781" s="1"/>
      <c r="B781" s="3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"/>
    </row>
    <row r="782" ht="14.25" customHeight="1">
      <c r="A782" s="1"/>
      <c r="B782" s="3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2"/>
    </row>
    <row r="783" ht="14.25" customHeight="1">
      <c r="A783" s="1"/>
      <c r="B783" s="3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"/>
    </row>
    <row r="784" ht="14.25" customHeight="1">
      <c r="A784" s="1"/>
      <c r="B784" s="3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2"/>
    </row>
    <row r="785" ht="14.25" customHeight="1">
      <c r="A785" s="1"/>
      <c r="B785" s="3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2"/>
    </row>
    <row r="786" ht="14.25" customHeight="1">
      <c r="A786" s="1"/>
      <c r="B786" s="3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2"/>
    </row>
    <row r="787" ht="14.25" customHeight="1">
      <c r="A787" s="1"/>
      <c r="B787" s="3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2"/>
    </row>
    <row r="788" ht="14.25" customHeight="1">
      <c r="A788" s="1"/>
      <c r="B788" s="3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2"/>
    </row>
    <row r="789" ht="14.25" customHeight="1">
      <c r="A789" s="1"/>
      <c r="B789" s="3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2"/>
    </row>
    <row r="790" ht="14.25" customHeight="1">
      <c r="A790" s="1"/>
      <c r="B790" s="3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"/>
    </row>
    <row r="791" ht="14.25" customHeight="1">
      <c r="A791" s="1"/>
      <c r="B791" s="3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2"/>
    </row>
    <row r="792" ht="14.25" customHeight="1">
      <c r="A792" s="1"/>
      <c r="B792" s="3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2"/>
    </row>
    <row r="793" ht="14.25" customHeight="1">
      <c r="A793" s="1"/>
      <c r="B793" s="3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2"/>
    </row>
    <row r="794" ht="14.25" customHeight="1">
      <c r="A794" s="1"/>
      <c r="B794" s="3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2"/>
    </row>
    <row r="795" ht="14.25" customHeight="1">
      <c r="A795" s="1"/>
      <c r="B795" s="3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2"/>
    </row>
    <row r="796" ht="14.25" customHeight="1">
      <c r="A796" s="1"/>
      <c r="B796" s="3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2"/>
    </row>
    <row r="797" ht="14.25" customHeight="1">
      <c r="A797" s="1"/>
      <c r="B797" s="3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2"/>
    </row>
    <row r="798" ht="14.25" customHeight="1">
      <c r="A798" s="1"/>
      <c r="B798" s="3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2"/>
    </row>
    <row r="799" ht="14.25" customHeight="1">
      <c r="A799" s="1"/>
      <c r="B799" s="3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2"/>
    </row>
    <row r="800" ht="14.25" customHeight="1">
      <c r="A800" s="1"/>
      <c r="B800" s="3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2"/>
    </row>
    <row r="801" ht="14.25" customHeight="1">
      <c r="A801" s="1"/>
      <c r="B801" s="3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2"/>
    </row>
    <row r="802" ht="14.25" customHeight="1">
      <c r="A802" s="1"/>
      <c r="B802" s="3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2"/>
    </row>
    <row r="803" ht="14.25" customHeight="1">
      <c r="A803" s="1"/>
      <c r="B803" s="3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2"/>
    </row>
    <row r="804" ht="14.25" customHeight="1">
      <c r="A804" s="1"/>
      <c r="B804" s="3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"/>
    </row>
    <row r="805" ht="14.25" customHeight="1">
      <c r="A805" s="1"/>
      <c r="B805" s="3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2"/>
    </row>
    <row r="806" ht="14.25" customHeight="1">
      <c r="A806" s="1"/>
      <c r="B806" s="3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2"/>
    </row>
    <row r="807" ht="14.25" customHeight="1">
      <c r="A807" s="1"/>
      <c r="B807" s="3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2"/>
    </row>
    <row r="808" ht="14.25" customHeight="1">
      <c r="A808" s="1"/>
      <c r="B808" s="3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2"/>
    </row>
    <row r="809" ht="14.25" customHeight="1">
      <c r="A809" s="1"/>
      <c r="B809" s="3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2"/>
    </row>
    <row r="810" ht="14.25" customHeight="1">
      <c r="A810" s="1"/>
      <c r="B810" s="3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2"/>
    </row>
    <row r="811" ht="14.25" customHeight="1">
      <c r="A811" s="1"/>
      <c r="B811" s="3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2"/>
    </row>
    <row r="812" ht="14.25" customHeight="1">
      <c r="A812" s="1"/>
      <c r="B812" s="3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2"/>
    </row>
    <row r="813" ht="14.25" customHeight="1">
      <c r="A813" s="1"/>
      <c r="B813" s="3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2"/>
    </row>
    <row r="814" ht="14.25" customHeight="1">
      <c r="A814" s="1"/>
      <c r="B814" s="3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2"/>
    </row>
    <row r="815" ht="14.25" customHeight="1">
      <c r="A815" s="1"/>
      <c r="B815" s="3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2"/>
    </row>
    <row r="816" ht="14.25" customHeight="1">
      <c r="A816" s="1"/>
      <c r="B816" s="3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2"/>
    </row>
    <row r="817" ht="14.25" customHeight="1">
      <c r="A817" s="1"/>
      <c r="B817" s="3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"/>
    </row>
    <row r="818" ht="14.25" customHeight="1">
      <c r="A818" s="1"/>
      <c r="B818" s="3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2"/>
    </row>
    <row r="819" ht="14.25" customHeight="1">
      <c r="A819" s="1"/>
      <c r="B819" s="3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2"/>
    </row>
    <row r="820" ht="14.25" customHeight="1">
      <c r="A820" s="1"/>
      <c r="B820" s="3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"/>
    </row>
    <row r="821" ht="14.25" customHeight="1">
      <c r="A821" s="1"/>
      <c r="B821" s="3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2"/>
    </row>
    <row r="822" ht="14.25" customHeight="1">
      <c r="A822" s="1"/>
      <c r="B822" s="3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2"/>
    </row>
    <row r="823" ht="14.25" customHeight="1">
      <c r="A823" s="1"/>
      <c r="B823" s="3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2"/>
    </row>
    <row r="824" ht="14.25" customHeight="1">
      <c r="A824" s="1"/>
      <c r="B824" s="3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2"/>
    </row>
    <row r="825" ht="14.25" customHeight="1">
      <c r="A825" s="1"/>
      <c r="B825" s="3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2"/>
    </row>
    <row r="826" ht="14.25" customHeight="1">
      <c r="A826" s="1"/>
      <c r="B826" s="3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"/>
    </row>
    <row r="827" ht="14.25" customHeight="1">
      <c r="A827" s="1"/>
      <c r="B827" s="3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2"/>
    </row>
    <row r="828" ht="14.25" customHeight="1">
      <c r="A828" s="1"/>
      <c r="B828" s="3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2"/>
    </row>
    <row r="829" ht="14.25" customHeight="1">
      <c r="A829" s="1"/>
      <c r="B829" s="3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2"/>
    </row>
    <row r="830" ht="14.25" customHeight="1">
      <c r="A830" s="1"/>
      <c r="B830" s="3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2"/>
    </row>
    <row r="831" ht="14.25" customHeight="1">
      <c r="A831" s="1"/>
      <c r="B831" s="3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2"/>
    </row>
    <row r="832" ht="14.25" customHeight="1">
      <c r="A832" s="1"/>
      <c r="B832" s="3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2"/>
    </row>
    <row r="833" ht="14.25" customHeight="1">
      <c r="A833" s="1"/>
      <c r="B833" s="3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2"/>
    </row>
    <row r="834" ht="14.25" customHeight="1">
      <c r="A834" s="1"/>
      <c r="B834" s="3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"/>
    </row>
    <row r="835" ht="14.25" customHeight="1">
      <c r="A835" s="1"/>
      <c r="B835" s="3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2"/>
    </row>
    <row r="836" ht="14.25" customHeight="1">
      <c r="A836" s="1"/>
      <c r="B836" s="3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2"/>
    </row>
    <row r="837" ht="14.25" customHeight="1">
      <c r="A837" s="1"/>
      <c r="B837" s="3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2"/>
    </row>
    <row r="838" ht="14.25" customHeight="1">
      <c r="A838" s="1"/>
      <c r="B838" s="3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2"/>
    </row>
    <row r="839" ht="14.25" customHeight="1">
      <c r="A839" s="1"/>
      <c r="B839" s="3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2"/>
    </row>
    <row r="840" ht="14.25" customHeight="1">
      <c r="A840" s="1"/>
      <c r="B840" s="3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2"/>
    </row>
    <row r="841" ht="14.25" customHeight="1">
      <c r="A841" s="1"/>
      <c r="B841" s="3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2"/>
    </row>
    <row r="842" ht="14.25" customHeight="1">
      <c r="A842" s="1"/>
      <c r="B842" s="3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2"/>
    </row>
    <row r="843" ht="14.25" customHeight="1">
      <c r="A843" s="1"/>
      <c r="B843" s="3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2"/>
    </row>
    <row r="844" ht="14.25" customHeight="1">
      <c r="A844" s="1"/>
      <c r="B844" s="3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2"/>
    </row>
    <row r="845" ht="14.25" customHeight="1">
      <c r="A845" s="1"/>
      <c r="B845" s="3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"/>
    </row>
    <row r="846" ht="14.25" customHeight="1">
      <c r="A846" s="1"/>
      <c r="B846" s="3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2"/>
    </row>
    <row r="847" ht="14.25" customHeight="1">
      <c r="A847" s="1"/>
      <c r="B847" s="3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"/>
    </row>
    <row r="848" ht="14.25" customHeight="1">
      <c r="A848" s="1"/>
      <c r="B848" s="3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2"/>
    </row>
    <row r="849" ht="14.25" customHeight="1">
      <c r="A849" s="1"/>
      <c r="B849" s="3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2"/>
    </row>
    <row r="850" ht="14.25" customHeight="1">
      <c r="A850" s="1"/>
      <c r="B850" s="3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2"/>
    </row>
    <row r="851" ht="14.25" customHeight="1">
      <c r="A851" s="1"/>
      <c r="B851" s="3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2"/>
    </row>
    <row r="852" ht="14.25" customHeight="1">
      <c r="A852" s="1"/>
      <c r="B852" s="3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2"/>
    </row>
    <row r="853" ht="14.25" customHeight="1">
      <c r="A853" s="1"/>
      <c r="B853" s="3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2"/>
    </row>
    <row r="854" ht="14.25" customHeight="1">
      <c r="A854" s="1"/>
      <c r="B854" s="3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2"/>
    </row>
    <row r="855" ht="14.25" customHeight="1">
      <c r="A855" s="1"/>
      <c r="B855" s="3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2"/>
    </row>
    <row r="856" ht="14.25" customHeight="1">
      <c r="A856" s="1"/>
      <c r="B856" s="3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2"/>
    </row>
    <row r="857" ht="14.25" customHeight="1">
      <c r="A857" s="1"/>
      <c r="B857" s="3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2"/>
    </row>
    <row r="858" ht="14.25" customHeight="1">
      <c r="A858" s="1"/>
      <c r="B858" s="3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2"/>
    </row>
    <row r="859" ht="14.25" customHeight="1">
      <c r="A859" s="1"/>
      <c r="B859" s="3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"/>
    </row>
    <row r="860" ht="14.25" customHeight="1">
      <c r="A860" s="1"/>
      <c r="B860" s="3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"/>
    </row>
    <row r="861" ht="14.25" customHeight="1">
      <c r="A861" s="1"/>
      <c r="B861" s="3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2"/>
    </row>
    <row r="862" ht="14.25" customHeight="1">
      <c r="A862" s="1"/>
      <c r="B862" s="3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2"/>
    </row>
    <row r="863" ht="14.25" customHeight="1">
      <c r="A863" s="1"/>
      <c r="B863" s="3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2"/>
    </row>
    <row r="864" ht="14.25" customHeight="1">
      <c r="A864" s="1"/>
      <c r="B864" s="3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2"/>
    </row>
    <row r="865" ht="14.25" customHeight="1">
      <c r="A865" s="1"/>
      <c r="B865" s="3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2"/>
    </row>
    <row r="866" ht="14.25" customHeight="1">
      <c r="A866" s="1"/>
      <c r="B866" s="3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2"/>
    </row>
    <row r="867" ht="14.25" customHeight="1">
      <c r="A867" s="1"/>
      <c r="B867" s="3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2"/>
    </row>
    <row r="868" ht="14.25" customHeight="1">
      <c r="A868" s="1"/>
      <c r="B868" s="3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2"/>
    </row>
    <row r="869" ht="14.25" customHeight="1">
      <c r="A869" s="1"/>
      <c r="B869" s="3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2"/>
    </row>
    <row r="870" ht="14.25" customHeight="1">
      <c r="A870" s="1"/>
      <c r="B870" s="3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2"/>
    </row>
    <row r="871" ht="14.25" customHeight="1">
      <c r="A871" s="1"/>
      <c r="B871" s="3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2"/>
    </row>
    <row r="872" ht="14.25" customHeight="1">
      <c r="A872" s="1"/>
      <c r="B872" s="3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2"/>
    </row>
    <row r="873" ht="14.25" customHeight="1">
      <c r="A873" s="1"/>
      <c r="B873" s="3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2"/>
    </row>
    <row r="874" ht="14.25" customHeight="1">
      <c r="A874" s="1"/>
      <c r="B874" s="3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2"/>
    </row>
    <row r="875" ht="14.25" customHeight="1">
      <c r="A875" s="1"/>
      <c r="B875" s="3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"/>
    </row>
    <row r="876" ht="14.25" customHeight="1">
      <c r="A876" s="1"/>
      <c r="B876" s="3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"/>
    </row>
    <row r="877" ht="14.25" customHeight="1">
      <c r="A877" s="1"/>
      <c r="B877" s="3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2"/>
    </row>
    <row r="878" ht="14.25" customHeight="1">
      <c r="A878" s="1"/>
      <c r="B878" s="3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2"/>
    </row>
    <row r="879" ht="14.25" customHeight="1">
      <c r="A879" s="1"/>
      <c r="B879" s="3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2"/>
    </row>
    <row r="880" ht="14.25" customHeight="1">
      <c r="A880" s="1"/>
      <c r="B880" s="3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2"/>
    </row>
    <row r="881" ht="14.25" customHeight="1">
      <c r="A881" s="1"/>
      <c r="B881" s="3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2"/>
    </row>
    <row r="882" ht="14.25" customHeight="1">
      <c r="A882" s="1"/>
      <c r="B882" s="3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2"/>
    </row>
    <row r="883" ht="14.25" customHeight="1">
      <c r="A883" s="1"/>
      <c r="B883" s="3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2"/>
    </row>
    <row r="884" ht="14.25" customHeight="1">
      <c r="A884" s="1"/>
      <c r="B884" s="3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"/>
    </row>
    <row r="885" ht="14.25" customHeight="1">
      <c r="A885" s="1"/>
      <c r="B885" s="3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2"/>
    </row>
    <row r="886" ht="14.25" customHeight="1">
      <c r="A886" s="1"/>
      <c r="B886" s="3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2"/>
    </row>
    <row r="887" ht="14.25" customHeight="1">
      <c r="A887" s="1"/>
      <c r="B887" s="3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2"/>
    </row>
    <row r="888" ht="14.25" customHeight="1">
      <c r="A888" s="1"/>
      <c r="B888" s="3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"/>
    </row>
    <row r="889" ht="14.25" customHeight="1">
      <c r="A889" s="1"/>
      <c r="B889" s="3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"/>
    </row>
    <row r="890" ht="14.25" customHeight="1">
      <c r="A890" s="1"/>
      <c r="B890" s="3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2"/>
    </row>
    <row r="891" ht="14.25" customHeight="1">
      <c r="A891" s="1"/>
      <c r="B891" s="3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2"/>
    </row>
    <row r="892" ht="14.25" customHeight="1">
      <c r="A892" s="1"/>
      <c r="B892" s="3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2"/>
    </row>
    <row r="893" ht="14.25" customHeight="1">
      <c r="A893" s="1"/>
      <c r="B893" s="3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2"/>
    </row>
    <row r="894" ht="14.25" customHeight="1">
      <c r="A894" s="1"/>
      <c r="B894" s="3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2"/>
    </row>
    <row r="895" ht="14.25" customHeight="1">
      <c r="A895" s="1"/>
      <c r="B895" s="3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2"/>
    </row>
    <row r="896" ht="14.25" customHeight="1">
      <c r="A896" s="1"/>
      <c r="B896" s="3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2"/>
    </row>
    <row r="897" ht="14.25" customHeight="1">
      <c r="A897" s="1"/>
      <c r="B897" s="3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"/>
    </row>
    <row r="898" ht="14.25" customHeight="1">
      <c r="A898" s="1"/>
      <c r="B898" s="3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2"/>
    </row>
    <row r="899" ht="14.25" customHeight="1">
      <c r="A899" s="1"/>
      <c r="B899" s="3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2"/>
    </row>
    <row r="900" ht="14.25" customHeight="1">
      <c r="A900" s="1"/>
      <c r="B900" s="3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2"/>
    </row>
    <row r="901" ht="14.25" customHeight="1">
      <c r="A901" s="1"/>
      <c r="B901" s="3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"/>
    </row>
    <row r="902" ht="14.25" customHeight="1">
      <c r="A902" s="1"/>
      <c r="B902" s="3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2"/>
    </row>
    <row r="903" ht="14.25" customHeight="1">
      <c r="A903" s="1"/>
      <c r="B903" s="3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2"/>
    </row>
    <row r="904" ht="14.25" customHeight="1">
      <c r="A904" s="1"/>
      <c r="B904" s="3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2"/>
    </row>
    <row r="905" ht="14.25" customHeight="1">
      <c r="A905" s="1"/>
      <c r="B905" s="3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2"/>
    </row>
    <row r="906" ht="14.25" customHeight="1">
      <c r="A906" s="1"/>
      <c r="B906" s="3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"/>
    </row>
    <row r="907" ht="14.25" customHeight="1">
      <c r="A907" s="1"/>
      <c r="B907" s="3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2"/>
    </row>
    <row r="908" ht="14.25" customHeight="1">
      <c r="A908" s="1"/>
      <c r="B908" s="3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2"/>
    </row>
    <row r="909" ht="14.25" customHeight="1">
      <c r="A909" s="1"/>
      <c r="B909" s="3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2"/>
    </row>
    <row r="910" ht="14.25" customHeight="1">
      <c r="A910" s="1"/>
      <c r="B910" s="3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2"/>
    </row>
    <row r="911" ht="14.25" customHeight="1">
      <c r="A911" s="1"/>
      <c r="B911" s="3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2"/>
    </row>
    <row r="912" ht="14.25" customHeight="1">
      <c r="A912" s="1"/>
      <c r="B912" s="3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2"/>
    </row>
    <row r="913" ht="14.25" customHeight="1">
      <c r="A913" s="1"/>
      <c r="B913" s="3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2"/>
    </row>
    <row r="914" ht="14.25" customHeight="1">
      <c r="A914" s="1"/>
      <c r="B914" s="3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2"/>
    </row>
    <row r="915" ht="14.25" customHeight="1">
      <c r="A915" s="1"/>
      <c r="B915" s="3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"/>
    </row>
    <row r="916" ht="14.25" customHeight="1">
      <c r="A916" s="1"/>
      <c r="B916" s="3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2"/>
    </row>
    <row r="917" ht="14.25" customHeight="1">
      <c r="A917" s="1"/>
      <c r="B917" s="3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2"/>
    </row>
    <row r="918" ht="14.25" customHeight="1">
      <c r="A918" s="1"/>
      <c r="B918" s="3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2"/>
    </row>
    <row r="919" ht="14.25" customHeight="1">
      <c r="A919" s="1"/>
      <c r="B919" s="3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2"/>
    </row>
    <row r="920" ht="14.25" customHeight="1">
      <c r="A920" s="1"/>
      <c r="B920" s="3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2"/>
    </row>
    <row r="921" ht="14.25" customHeight="1">
      <c r="A921" s="1"/>
      <c r="B921" s="3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2"/>
    </row>
    <row r="922" ht="14.25" customHeight="1">
      <c r="A922" s="1"/>
      <c r="B922" s="3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2"/>
    </row>
    <row r="923" ht="14.25" customHeight="1">
      <c r="A923" s="1"/>
      <c r="B923" s="3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2"/>
    </row>
    <row r="924" ht="14.25" customHeight="1">
      <c r="A924" s="1"/>
      <c r="B924" s="3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2"/>
    </row>
    <row r="925" ht="14.25" customHeight="1">
      <c r="A925" s="1"/>
      <c r="B925" s="3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2"/>
    </row>
    <row r="926" ht="14.25" customHeight="1">
      <c r="A926" s="1"/>
      <c r="B926" s="3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2"/>
    </row>
    <row r="927" ht="14.25" customHeight="1">
      <c r="A927" s="1"/>
      <c r="B927" s="3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2"/>
    </row>
    <row r="928" ht="14.25" customHeight="1">
      <c r="A928" s="1"/>
      <c r="B928" s="3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2"/>
    </row>
    <row r="929" ht="14.25" customHeight="1">
      <c r="A929" s="1"/>
      <c r="B929" s="3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2"/>
    </row>
    <row r="930" ht="14.25" customHeight="1">
      <c r="A930" s="1"/>
      <c r="B930" s="3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2"/>
    </row>
    <row r="931" ht="14.25" customHeight="1">
      <c r="A931" s="1"/>
      <c r="B931" s="3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2"/>
    </row>
    <row r="932" ht="14.25" customHeight="1">
      <c r="A932" s="1"/>
      <c r="B932" s="3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2"/>
    </row>
    <row r="933" ht="14.25" customHeight="1">
      <c r="A933" s="1"/>
      <c r="B933" s="3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2"/>
    </row>
    <row r="934" ht="14.25" customHeight="1">
      <c r="A934" s="1"/>
      <c r="B934" s="3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2"/>
    </row>
    <row r="935" ht="14.25" customHeight="1">
      <c r="A935" s="1"/>
      <c r="B935" s="3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2"/>
    </row>
    <row r="936" ht="14.25" customHeight="1">
      <c r="A936" s="1"/>
      <c r="B936" s="3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2"/>
    </row>
    <row r="937" ht="14.25" customHeight="1">
      <c r="A937" s="1"/>
      <c r="B937" s="3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2"/>
    </row>
    <row r="938" ht="14.25" customHeight="1">
      <c r="A938" s="1"/>
      <c r="B938" s="3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2"/>
    </row>
    <row r="939" ht="14.25" customHeight="1">
      <c r="A939" s="1"/>
      <c r="B939" s="3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2"/>
    </row>
    <row r="940" ht="14.25" customHeight="1">
      <c r="A940" s="1"/>
      <c r="B940" s="3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2"/>
    </row>
    <row r="941" ht="14.25" customHeight="1">
      <c r="A941" s="1"/>
      <c r="B941" s="3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2"/>
    </row>
    <row r="942" ht="14.25" customHeight="1">
      <c r="A942" s="1"/>
      <c r="B942" s="3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2"/>
    </row>
    <row r="943" ht="14.25" customHeight="1">
      <c r="A943" s="1"/>
      <c r="B943" s="3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2"/>
    </row>
    <row r="944" ht="14.25" customHeight="1">
      <c r="A944" s="1"/>
      <c r="B944" s="3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2"/>
    </row>
    <row r="945" ht="14.25" customHeight="1">
      <c r="A945" s="1"/>
      <c r="B945" s="3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2"/>
    </row>
    <row r="946" ht="14.25" customHeight="1">
      <c r="A946" s="1"/>
      <c r="B946" s="3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2"/>
    </row>
    <row r="947" ht="14.25" customHeight="1">
      <c r="A947" s="1"/>
      <c r="B947" s="3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2"/>
    </row>
    <row r="948" ht="14.25" customHeight="1">
      <c r="A948" s="1"/>
      <c r="B948" s="3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2"/>
    </row>
    <row r="949" ht="14.25" customHeight="1">
      <c r="A949" s="1"/>
      <c r="B949" s="3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2"/>
    </row>
    <row r="950" ht="14.25" customHeight="1">
      <c r="A950" s="1"/>
      <c r="B950" s="3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2"/>
    </row>
    <row r="951" ht="14.25" customHeight="1">
      <c r="A951" s="1"/>
      <c r="B951" s="3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2"/>
    </row>
    <row r="952" ht="14.25" customHeight="1">
      <c r="A952" s="1"/>
      <c r="B952" s="3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2"/>
    </row>
    <row r="953" ht="14.25" customHeight="1">
      <c r="A953" s="1"/>
      <c r="B953" s="3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2"/>
    </row>
    <row r="954" ht="14.25" customHeight="1">
      <c r="A954" s="1"/>
      <c r="B954" s="3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2"/>
    </row>
    <row r="955" ht="14.25" customHeight="1">
      <c r="A955" s="1"/>
      <c r="B955" s="3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2"/>
    </row>
    <row r="956" ht="14.25" customHeight="1">
      <c r="A956" s="1"/>
      <c r="B956" s="3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2"/>
    </row>
    <row r="957" ht="14.25" customHeight="1">
      <c r="A957" s="1"/>
      <c r="B957" s="3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"/>
    </row>
    <row r="958" ht="14.25" customHeight="1">
      <c r="A958" s="1"/>
      <c r="B958" s="3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2"/>
    </row>
    <row r="959" ht="14.25" customHeight="1">
      <c r="A959" s="1"/>
      <c r="B959" s="3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2"/>
    </row>
    <row r="960" ht="14.25" customHeight="1">
      <c r="A960" s="1"/>
      <c r="B960" s="3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2"/>
    </row>
    <row r="961" ht="14.25" customHeight="1">
      <c r="A961" s="1"/>
      <c r="B961" s="3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2"/>
    </row>
    <row r="962" ht="14.25" customHeight="1">
      <c r="A962" s="1"/>
      <c r="B962" s="3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2"/>
    </row>
    <row r="963" ht="14.25" customHeight="1">
      <c r="A963" s="1"/>
      <c r="B963" s="3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2"/>
    </row>
    <row r="964" ht="14.25" customHeight="1">
      <c r="A964" s="1"/>
      <c r="B964" s="3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2"/>
    </row>
    <row r="965" ht="14.25" customHeight="1">
      <c r="A965" s="1"/>
      <c r="B965" s="3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2"/>
    </row>
    <row r="966" ht="14.25" customHeight="1">
      <c r="A966" s="1"/>
      <c r="B966" s="3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2"/>
    </row>
    <row r="967" ht="14.25" customHeight="1">
      <c r="A967" s="1"/>
      <c r="B967" s="3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"/>
    </row>
    <row r="968" ht="14.25" customHeight="1">
      <c r="A968" s="1"/>
      <c r="B968" s="3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2"/>
    </row>
    <row r="969" ht="14.25" customHeight="1">
      <c r="A969" s="1"/>
      <c r="B969" s="3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2"/>
    </row>
    <row r="970" ht="14.25" customHeight="1">
      <c r="A970" s="1"/>
      <c r="B970" s="3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2"/>
    </row>
    <row r="971" ht="14.25" customHeight="1">
      <c r="A971" s="1"/>
      <c r="B971" s="3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2"/>
    </row>
    <row r="972" ht="14.25" customHeight="1">
      <c r="A972" s="1"/>
      <c r="B972" s="3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2"/>
    </row>
    <row r="973" ht="14.25" customHeight="1">
      <c r="A973" s="1"/>
      <c r="B973" s="3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2"/>
    </row>
    <row r="974" ht="14.25" customHeight="1">
      <c r="A974" s="1"/>
      <c r="B974" s="3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2"/>
    </row>
    <row r="975" ht="14.25" customHeight="1">
      <c r="A975" s="1"/>
      <c r="B975" s="3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2"/>
    </row>
    <row r="976" ht="14.25" customHeight="1">
      <c r="A976" s="1"/>
      <c r="B976" s="3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2"/>
    </row>
    <row r="977" ht="14.25" customHeight="1">
      <c r="A977" s="1"/>
      <c r="B977" s="3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2"/>
    </row>
    <row r="978" ht="14.25" customHeight="1">
      <c r="A978" s="1"/>
      <c r="B978" s="3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2"/>
    </row>
    <row r="979" ht="14.25" customHeight="1">
      <c r="A979" s="1"/>
      <c r="B979" s="3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2"/>
    </row>
    <row r="980" ht="14.25" customHeight="1">
      <c r="A980" s="1"/>
      <c r="B980" s="3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2"/>
    </row>
    <row r="981" ht="14.25" customHeight="1">
      <c r="A981" s="1"/>
      <c r="B981" s="3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2"/>
    </row>
    <row r="982" ht="14.25" customHeight="1">
      <c r="A982" s="1"/>
      <c r="B982" s="3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2"/>
    </row>
    <row r="983" ht="14.25" customHeight="1">
      <c r="A983" s="1"/>
      <c r="B983" s="3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2"/>
    </row>
    <row r="984" ht="14.25" customHeight="1">
      <c r="A984" s="1"/>
      <c r="B984" s="3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"/>
    </row>
    <row r="985" ht="14.25" customHeight="1">
      <c r="A985" s="1"/>
      <c r="B985" s="3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2"/>
    </row>
    <row r="986" ht="14.25" customHeight="1">
      <c r="A986" s="1"/>
      <c r="B986" s="3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2"/>
    </row>
    <row r="987" ht="14.25" customHeight="1">
      <c r="A987" s="1"/>
      <c r="B987" s="3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2"/>
    </row>
    <row r="988" ht="14.25" customHeight="1">
      <c r="A988" s="1"/>
      <c r="B988" s="3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2"/>
    </row>
    <row r="989" ht="14.25" customHeight="1">
      <c r="A989" s="1"/>
      <c r="B989" s="3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2"/>
    </row>
    <row r="990" ht="14.25" customHeight="1">
      <c r="A990" s="1"/>
      <c r="B990" s="3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2"/>
    </row>
    <row r="991" ht="14.25" customHeight="1">
      <c r="A991" s="1"/>
      <c r="B991" s="3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2"/>
    </row>
    <row r="992" ht="14.25" customHeight="1">
      <c r="A992" s="1"/>
      <c r="B992" s="3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2"/>
    </row>
    <row r="993" ht="14.25" customHeight="1">
      <c r="A993" s="1"/>
      <c r="B993" s="3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2"/>
    </row>
    <row r="994" ht="14.25" customHeight="1">
      <c r="A994" s="1"/>
      <c r="B994" s="3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2"/>
    </row>
    <row r="995" ht="14.25" customHeight="1">
      <c r="A995" s="1"/>
      <c r="B995" s="3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2"/>
    </row>
    <row r="996" ht="14.25" customHeight="1">
      <c r="A996" s="1"/>
      <c r="B996" s="3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2"/>
    </row>
    <row r="997" ht="14.25" customHeight="1">
      <c r="A997" s="1"/>
      <c r="B997" s="3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2"/>
    </row>
    <row r="998" ht="14.25" customHeight="1">
      <c r="A998" s="1"/>
      <c r="B998" s="3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2"/>
    </row>
    <row r="999" ht="14.25" customHeight="1">
      <c r="A999" s="1"/>
      <c r="B999" s="3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2"/>
    </row>
    <row r="1000" ht="14.25" customHeight="1">
      <c r="A1000" s="1"/>
      <c r="B1000" s="39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2"/>
    </row>
    <row r="1001" ht="14.25" customHeight="1">
      <c r="A1001" s="1"/>
      <c r="B1001" s="39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"/>
    </row>
    <row r="1002" ht="14.25" customHeight="1">
      <c r="A1002" s="1"/>
      <c r="B1002" s="39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2"/>
    </row>
    <row r="1003" ht="14.25" customHeight="1">
      <c r="A1003" s="1"/>
      <c r="B1003" s="39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2"/>
    </row>
    <row r="1004" ht="14.25" customHeight="1">
      <c r="A1004" s="1"/>
      <c r="B1004" s="39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2"/>
    </row>
    <row r="1005" ht="14.25" customHeight="1">
      <c r="A1005" s="1"/>
      <c r="B1005" s="39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2"/>
    </row>
    <row r="1006" ht="14.25" customHeight="1">
      <c r="A1006" s="1"/>
      <c r="B1006" s="39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2"/>
    </row>
    <row r="1007" ht="14.25" customHeight="1">
      <c r="A1007" s="1"/>
      <c r="B1007" s="39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2"/>
    </row>
    <row r="1008" ht="14.25" customHeight="1">
      <c r="A1008" s="1"/>
      <c r="B1008" s="39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2"/>
    </row>
    <row r="1009" ht="14.25" customHeight="1">
      <c r="A1009" s="1"/>
      <c r="B1009" s="39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2"/>
    </row>
    <row r="1010" ht="14.25" customHeight="1">
      <c r="A1010" s="1"/>
      <c r="B1010" s="39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2"/>
    </row>
    <row r="1011" ht="14.25" customHeight="1">
      <c r="A1011" s="1"/>
      <c r="B1011" s="39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2"/>
    </row>
    <row r="1012" ht="14.25" customHeight="1">
      <c r="A1012" s="1"/>
      <c r="B1012" s="39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2"/>
    </row>
    <row r="1013" ht="14.25" customHeight="1">
      <c r="A1013" s="1"/>
      <c r="B1013" s="39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2"/>
    </row>
    <row r="1014" ht="14.25" customHeight="1">
      <c r="A1014" s="1"/>
      <c r="B1014" s="39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2"/>
    </row>
    <row r="1015" ht="14.25" customHeight="1">
      <c r="A1015" s="1"/>
      <c r="B1015" s="39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2"/>
    </row>
    <row r="1016" ht="14.25" customHeight="1">
      <c r="A1016" s="1"/>
      <c r="B1016" s="39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2"/>
    </row>
    <row r="1017" ht="14.25" customHeight="1">
      <c r="A1017" s="1"/>
      <c r="B1017" s="39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2"/>
    </row>
    <row r="1018" ht="14.25" customHeight="1">
      <c r="A1018" s="1"/>
      <c r="B1018" s="39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2"/>
    </row>
    <row r="1019" ht="14.25" customHeight="1">
      <c r="A1019" s="1"/>
      <c r="B1019" s="39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2"/>
    </row>
    <row r="1020" ht="14.25" customHeight="1">
      <c r="A1020" s="1"/>
      <c r="B1020" s="39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2"/>
    </row>
    <row r="1021" ht="14.25" customHeight="1">
      <c r="A1021" s="1"/>
      <c r="B1021" s="39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2"/>
    </row>
    <row r="1022" ht="14.25" customHeight="1">
      <c r="A1022" s="1"/>
      <c r="B1022" s="39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2"/>
    </row>
    <row r="1023" ht="14.25" customHeight="1">
      <c r="A1023" s="1"/>
      <c r="B1023" s="39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2"/>
    </row>
    <row r="1024" ht="14.25" customHeight="1">
      <c r="A1024" s="1"/>
      <c r="B1024" s="39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2"/>
    </row>
    <row r="1025" ht="14.25" customHeight="1">
      <c r="A1025" s="1"/>
      <c r="B1025" s="39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2"/>
    </row>
    <row r="1026" ht="14.25" customHeight="1">
      <c r="A1026" s="1"/>
      <c r="B1026" s="39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2"/>
    </row>
    <row r="1027" ht="14.25" customHeight="1">
      <c r="A1027" s="1"/>
      <c r="B1027" s="39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2"/>
    </row>
    <row r="1028" ht="14.25" customHeight="1">
      <c r="A1028" s="1"/>
      <c r="B1028" s="39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2"/>
    </row>
    <row r="1029" ht="14.25" customHeight="1">
      <c r="A1029" s="1"/>
      <c r="B1029" s="39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2"/>
    </row>
    <row r="1030" ht="14.25" customHeight="1">
      <c r="A1030" s="1"/>
      <c r="B1030" s="39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2"/>
    </row>
    <row r="1031" ht="14.25" customHeight="1">
      <c r="A1031" s="1"/>
      <c r="B1031" s="39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2"/>
    </row>
    <row r="1032" ht="14.25" customHeight="1">
      <c r="A1032" s="1"/>
      <c r="B1032" s="39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2"/>
    </row>
    <row r="1033" ht="14.25" customHeight="1">
      <c r="A1033" s="1"/>
      <c r="B1033" s="39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2"/>
    </row>
    <row r="1034" ht="14.25" customHeight="1">
      <c r="A1034" s="1"/>
      <c r="B1034" s="39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2"/>
    </row>
    <row r="1035" ht="14.25" customHeight="1">
      <c r="A1035" s="1"/>
      <c r="B1035" s="39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2"/>
    </row>
    <row r="1036" ht="14.25" customHeight="1">
      <c r="A1036" s="1"/>
      <c r="B1036" s="39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2"/>
    </row>
    <row r="1037" ht="14.25" customHeight="1">
      <c r="A1037" s="1"/>
      <c r="B1037" s="39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2"/>
    </row>
    <row r="1038" ht="14.25" customHeight="1">
      <c r="A1038" s="1"/>
      <c r="B1038" s="39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2"/>
    </row>
    <row r="1039" ht="14.25" customHeight="1">
      <c r="A1039" s="1"/>
      <c r="B1039" s="39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2"/>
    </row>
    <row r="1040" ht="14.25" customHeight="1">
      <c r="A1040" s="1"/>
      <c r="B1040" s="39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2"/>
    </row>
    <row r="1041" ht="14.25" customHeight="1">
      <c r="A1041" s="1"/>
      <c r="B1041" s="39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2"/>
    </row>
    <row r="1042" ht="14.25" customHeight="1">
      <c r="A1042" s="1"/>
      <c r="B1042" s="39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2"/>
    </row>
    <row r="1043" ht="14.25" customHeight="1">
      <c r="A1043" s="1"/>
      <c r="B1043" s="39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2"/>
    </row>
    <row r="1044" ht="14.25" customHeight="1">
      <c r="A1044" s="1"/>
      <c r="B1044" s="39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2"/>
    </row>
  </sheetData>
  <mergeCells count="1">
    <mergeCell ref="A83:G83"/>
  </mergeCell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2026-08-05T21:24:50Z</dcterms:created>
  <dc:creator>ji 19815</dc:creator>
</cp:coreProperties>
</file>